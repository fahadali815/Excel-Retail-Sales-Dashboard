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Laptop valley\Documents\"/>
    </mc:Choice>
  </mc:AlternateContent>
  <xr:revisionPtr revIDLastSave="0" documentId="13_ncr:1_{4AB5DDC8-20E8-4A20-89B5-76B9E58501F1}" xr6:coauthVersionLast="47" xr6:coauthVersionMax="47" xr10:uidLastSave="{00000000-0000-0000-0000-000000000000}"/>
  <bookViews>
    <workbookView xWindow="-110" yWindow="-110" windowWidth="19420" windowHeight="10300" activeTab="4" xr2:uid="{00000000-000D-0000-FFFF-FFFF00000000}"/>
  </bookViews>
  <sheets>
    <sheet name="Raw_Data" sheetId="1" r:id="rId1"/>
    <sheet name="Clean Data" sheetId="3" r:id="rId2"/>
    <sheet name="Analysis" sheetId="4" r:id="rId3"/>
    <sheet name="Pivot_Analysis" sheetId="6" r:id="rId4"/>
    <sheet name="DashBoard" sheetId="7" r:id="rId5"/>
  </sheets>
  <definedNames>
    <definedName name="ExternalData_1" localSheetId="1" hidden="1">'Clean Data'!$A$1:$N$1437</definedName>
    <definedName name="Slicer_Product_Category">#N/A</definedName>
    <definedName name="Slicer_Region">#N/A</definedName>
    <definedName name="Slicer_Salesperson">#N/A</definedName>
  </definedNames>
  <calcPr calcId="191029"/>
  <pivotCaches>
    <pivotCache cacheId="6"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5" i="7" l="1"/>
  <c r="N5" i="7"/>
  <c r="K5" i="7"/>
  <c r="H5" i="7"/>
  <c r="E5" i="7"/>
  <c r="F8" i="4"/>
  <c r="F9" i="4"/>
  <c r="F10" i="4"/>
  <c r="F7" i="4"/>
  <c r="F6" i="4"/>
  <c r="O2" i="3"/>
  <c r="O3" i="3"/>
  <c r="O4" i="3"/>
  <c r="O5" i="3"/>
  <c r="O6" i="3"/>
  <c r="O7" i="3"/>
  <c r="O8" i="3"/>
  <c r="O9" i="3"/>
  <c r="O10" i="3"/>
  <c r="O11" i="3"/>
  <c r="O12" i="3"/>
  <c r="O13" i="3"/>
  <c r="O14" i="3"/>
  <c r="O15" i="3"/>
  <c r="O16" i="3"/>
  <c r="O17" i="3"/>
  <c r="O18" i="3"/>
  <c r="O19" i="3"/>
  <c r="O20" i="3"/>
  <c r="O21" i="3"/>
  <c r="O22" i="3"/>
  <c r="O23" i="3"/>
  <c r="O24" i="3"/>
  <c r="O25" i="3"/>
  <c r="O26" i="3"/>
  <c r="O27" i="3"/>
  <c r="O28" i="3"/>
  <c r="O29" i="3"/>
  <c r="O30" i="3"/>
  <c r="O31" i="3"/>
  <c r="O32" i="3"/>
  <c r="O33" i="3"/>
  <c r="O34" i="3"/>
  <c r="O35" i="3"/>
  <c r="O36" i="3"/>
  <c r="O37" i="3"/>
  <c r="O38" i="3"/>
  <c r="O39" i="3"/>
  <c r="O40" i="3"/>
  <c r="O41" i="3"/>
  <c r="O42" i="3"/>
  <c r="O43" i="3"/>
  <c r="O44" i="3"/>
  <c r="O45" i="3"/>
  <c r="O46" i="3"/>
  <c r="O47" i="3"/>
  <c r="O48" i="3"/>
  <c r="O49" i="3"/>
  <c r="O50" i="3"/>
  <c r="O51" i="3"/>
  <c r="O52" i="3"/>
  <c r="O53" i="3"/>
  <c r="O54" i="3"/>
  <c r="O55" i="3"/>
  <c r="O56" i="3"/>
  <c r="O57" i="3"/>
  <c r="O58" i="3"/>
  <c r="O59" i="3"/>
  <c r="O60" i="3"/>
  <c r="O61" i="3"/>
  <c r="O62" i="3"/>
  <c r="O63" i="3"/>
  <c r="O64" i="3"/>
  <c r="O65" i="3"/>
  <c r="O66" i="3"/>
  <c r="O67" i="3"/>
  <c r="O68" i="3"/>
  <c r="O69" i="3"/>
  <c r="O70" i="3"/>
  <c r="O71" i="3"/>
  <c r="O72" i="3"/>
  <c r="O73" i="3"/>
  <c r="O74" i="3"/>
  <c r="O75" i="3"/>
  <c r="O76" i="3"/>
  <c r="O77" i="3"/>
  <c r="O78" i="3"/>
  <c r="O79" i="3"/>
  <c r="O80" i="3"/>
  <c r="O81" i="3"/>
  <c r="O82" i="3"/>
  <c r="O83" i="3"/>
  <c r="O84" i="3"/>
  <c r="O85" i="3"/>
  <c r="O86" i="3"/>
  <c r="O87" i="3"/>
  <c r="O88" i="3"/>
  <c r="O89" i="3"/>
  <c r="O90" i="3"/>
  <c r="O91" i="3"/>
  <c r="O92" i="3"/>
  <c r="O93" i="3"/>
  <c r="O94" i="3"/>
  <c r="O95" i="3"/>
  <c r="O96" i="3"/>
  <c r="O97" i="3"/>
  <c r="O98" i="3"/>
  <c r="O99" i="3"/>
  <c r="O100" i="3"/>
  <c r="O101" i="3"/>
  <c r="O102" i="3"/>
  <c r="O103" i="3"/>
  <c r="O104" i="3"/>
  <c r="O105" i="3"/>
  <c r="O106" i="3"/>
  <c r="O107" i="3"/>
  <c r="O108" i="3"/>
  <c r="O109" i="3"/>
  <c r="O110" i="3"/>
  <c r="O111" i="3"/>
  <c r="O112" i="3"/>
  <c r="O113" i="3"/>
  <c r="O114" i="3"/>
  <c r="O115" i="3"/>
  <c r="O116" i="3"/>
  <c r="O117" i="3"/>
  <c r="O118" i="3"/>
  <c r="O119" i="3"/>
  <c r="O120" i="3"/>
  <c r="O121" i="3"/>
  <c r="O122" i="3"/>
  <c r="O123" i="3"/>
  <c r="O124" i="3"/>
  <c r="O125" i="3"/>
  <c r="O126" i="3"/>
  <c r="O127" i="3"/>
  <c r="O128" i="3"/>
  <c r="O129" i="3"/>
  <c r="O130" i="3"/>
  <c r="O131" i="3"/>
  <c r="O132" i="3"/>
  <c r="O133" i="3"/>
  <c r="O134" i="3"/>
  <c r="O135" i="3"/>
  <c r="O136" i="3"/>
  <c r="O137" i="3"/>
  <c r="O138" i="3"/>
  <c r="O139" i="3"/>
  <c r="O140" i="3"/>
  <c r="O141" i="3"/>
  <c r="O142" i="3"/>
  <c r="O143" i="3"/>
  <c r="O144" i="3"/>
  <c r="O145" i="3"/>
  <c r="O146" i="3"/>
  <c r="O147" i="3"/>
  <c r="O148" i="3"/>
  <c r="O149" i="3"/>
  <c r="O150" i="3"/>
  <c r="O151" i="3"/>
  <c r="O152" i="3"/>
  <c r="O153" i="3"/>
  <c r="O154" i="3"/>
  <c r="O155" i="3"/>
  <c r="O156" i="3"/>
  <c r="O157" i="3"/>
  <c r="O158" i="3"/>
  <c r="O159" i="3"/>
  <c r="O160" i="3"/>
  <c r="O161" i="3"/>
  <c r="O162" i="3"/>
  <c r="O163" i="3"/>
  <c r="O164" i="3"/>
  <c r="O165" i="3"/>
  <c r="O166" i="3"/>
  <c r="O167" i="3"/>
  <c r="O168" i="3"/>
  <c r="O169" i="3"/>
  <c r="O170" i="3"/>
  <c r="O171" i="3"/>
  <c r="O172" i="3"/>
  <c r="O173" i="3"/>
  <c r="O174" i="3"/>
  <c r="O175" i="3"/>
  <c r="O176" i="3"/>
  <c r="O177" i="3"/>
  <c r="O178" i="3"/>
  <c r="O179" i="3"/>
  <c r="O180" i="3"/>
  <c r="O181" i="3"/>
  <c r="O182" i="3"/>
  <c r="O183" i="3"/>
  <c r="O184" i="3"/>
  <c r="O185" i="3"/>
  <c r="O186" i="3"/>
  <c r="O187" i="3"/>
  <c r="O188" i="3"/>
  <c r="O189" i="3"/>
  <c r="O190" i="3"/>
  <c r="O191" i="3"/>
  <c r="O192" i="3"/>
  <c r="O193" i="3"/>
  <c r="O194" i="3"/>
  <c r="O195" i="3"/>
  <c r="O196" i="3"/>
  <c r="O197" i="3"/>
  <c r="O198" i="3"/>
  <c r="O199" i="3"/>
  <c r="O200" i="3"/>
  <c r="O201" i="3"/>
  <c r="O202" i="3"/>
  <c r="O203" i="3"/>
  <c r="O204" i="3"/>
  <c r="O205" i="3"/>
  <c r="O206" i="3"/>
  <c r="O207" i="3"/>
  <c r="O208" i="3"/>
  <c r="O209" i="3"/>
  <c r="O210" i="3"/>
  <c r="O211" i="3"/>
  <c r="O212" i="3"/>
  <c r="O213" i="3"/>
  <c r="O214" i="3"/>
  <c r="O215" i="3"/>
  <c r="O216" i="3"/>
  <c r="O217" i="3"/>
  <c r="O218" i="3"/>
  <c r="O219" i="3"/>
  <c r="O220" i="3"/>
  <c r="O221" i="3"/>
  <c r="O222" i="3"/>
  <c r="O223" i="3"/>
  <c r="O224" i="3"/>
  <c r="O225" i="3"/>
  <c r="O226" i="3"/>
  <c r="O227" i="3"/>
  <c r="O228" i="3"/>
  <c r="O229" i="3"/>
  <c r="O230" i="3"/>
  <c r="O231" i="3"/>
  <c r="O232" i="3"/>
  <c r="O233" i="3"/>
  <c r="O234" i="3"/>
  <c r="O235" i="3"/>
  <c r="O236" i="3"/>
  <c r="O237" i="3"/>
  <c r="O238" i="3"/>
  <c r="O239" i="3"/>
  <c r="O240" i="3"/>
  <c r="O241" i="3"/>
  <c r="O242" i="3"/>
  <c r="O243" i="3"/>
  <c r="O244" i="3"/>
  <c r="O245" i="3"/>
  <c r="O246" i="3"/>
  <c r="O247" i="3"/>
  <c r="O248" i="3"/>
  <c r="O249" i="3"/>
  <c r="O250" i="3"/>
  <c r="O251" i="3"/>
  <c r="O252" i="3"/>
  <c r="O253" i="3"/>
  <c r="O254" i="3"/>
  <c r="O255" i="3"/>
  <c r="O256" i="3"/>
  <c r="O257" i="3"/>
  <c r="O258" i="3"/>
  <c r="O259" i="3"/>
  <c r="O260" i="3"/>
  <c r="O261" i="3"/>
  <c r="O262" i="3"/>
  <c r="O263" i="3"/>
  <c r="O264" i="3"/>
  <c r="O265" i="3"/>
  <c r="O266" i="3"/>
  <c r="O267" i="3"/>
  <c r="O268" i="3"/>
  <c r="O269" i="3"/>
  <c r="O270" i="3"/>
  <c r="O271" i="3"/>
  <c r="O272" i="3"/>
  <c r="O273" i="3"/>
  <c r="O274" i="3"/>
  <c r="O275" i="3"/>
  <c r="O276" i="3"/>
  <c r="O277" i="3"/>
  <c r="O278" i="3"/>
  <c r="O279" i="3"/>
  <c r="O280" i="3"/>
  <c r="O281" i="3"/>
  <c r="O282" i="3"/>
  <c r="O283" i="3"/>
  <c r="O284" i="3"/>
  <c r="O285" i="3"/>
  <c r="O286" i="3"/>
  <c r="O287" i="3"/>
  <c r="O288" i="3"/>
  <c r="O289" i="3"/>
  <c r="O290" i="3"/>
  <c r="O291" i="3"/>
  <c r="O292" i="3"/>
  <c r="O293" i="3"/>
  <c r="O294" i="3"/>
  <c r="O295" i="3"/>
  <c r="O296" i="3"/>
  <c r="O297" i="3"/>
  <c r="O298" i="3"/>
  <c r="O299" i="3"/>
  <c r="O300" i="3"/>
  <c r="O301" i="3"/>
  <c r="O302" i="3"/>
  <c r="O303" i="3"/>
  <c r="O304" i="3"/>
  <c r="O305" i="3"/>
  <c r="O306" i="3"/>
  <c r="O307" i="3"/>
  <c r="O308" i="3"/>
  <c r="O309" i="3"/>
  <c r="O310" i="3"/>
  <c r="O311" i="3"/>
  <c r="O312" i="3"/>
  <c r="O313" i="3"/>
  <c r="O314" i="3"/>
  <c r="O315" i="3"/>
  <c r="O316" i="3"/>
  <c r="O317" i="3"/>
  <c r="O318" i="3"/>
  <c r="O319" i="3"/>
  <c r="O320" i="3"/>
  <c r="O321" i="3"/>
  <c r="O322" i="3"/>
  <c r="O323" i="3"/>
  <c r="O324" i="3"/>
  <c r="O325" i="3"/>
  <c r="O326" i="3"/>
  <c r="O327" i="3"/>
  <c r="O328" i="3"/>
  <c r="O329" i="3"/>
  <c r="O330" i="3"/>
  <c r="O331" i="3"/>
  <c r="O332" i="3"/>
  <c r="O333" i="3"/>
  <c r="O334" i="3"/>
  <c r="O335" i="3"/>
  <c r="O336" i="3"/>
  <c r="O337" i="3"/>
  <c r="O338" i="3"/>
  <c r="O339" i="3"/>
  <c r="O340" i="3"/>
  <c r="O341" i="3"/>
  <c r="O342" i="3"/>
  <c r="O343" i="3"/>
  <c r="O344" i="3"/>
  <c r="O345" i="3"/>
  <c r="O346" i="3"/>
  <c r="O347" i="3"/>
  <c r="O348" i="3"/>
  <c r="O349" i="3"/>
  <c r="O350" i="3"/>
  <c r="O351" i="3"/>
  <c r="O352" i="3"/>
  <c r="O353" i="3"/>
  <c r="O354" i="3"/>
  <c r="O355" i="3"/>
  <c r="O356" i="3"/>
  <c r="O357" i="3"/>
  <c r="O358" i="3"/>
  <c r="O359" i="3"/>
  <c r="O360" i="3"/>
  <c r="O361" i="3"/>
  <c r="O362" i="3"/>
  <c r="O363" i="3"/>
  <c r="O364" i="3"/>
  <c r="O365" i="3"/>
  <c r="O366" i="3"/>
  <c r="O367" i="3"/>
  <c r="O368" i="3"/>
  <c r="O369" i="3"/>
  <c r="O370" i="3"/>
  <c r="O371" i="3"/>
  <c r="O372" i="3"/>
  <c r="O373" i="3"/>
  <c r="O374" i="3"/>
  <c r="O375" i="3"/>
  <c r="O376" i="3"/>
  <c r="O377" i="3"/>
  <c r="O378" i="3"/>
  <c r="O379" i="3"/>
  <c r="O380" i="3"/>
  <c r="O381" i="3"/>
  <c r="O382" i="3"/>
  <c r="O383" i="3"/>
  <c r="O384" i="3"/>
  <c r="O385" i="3"/>
  <c r="O386" i="3"/>
  <c r="O387" i="3"/>
  <c r="O388" i="3"/>
  <c r="O389" i="3"/>
  <c r="O390" i="3"/>
  <c r="O391" i="3"/>
  <c r="O392" i="3"/>
  <c r="O393" i="3"/>
  <c r="O394" i="3"/>
  <c r="O395" i="3"/>
  <c r="O396" i="3"/>
  <c r="O397" i="3"/>
  <c r="O398" i="3"/>
  <c r="O399" i="3"/>
  <c r="O400" i="3"/>
  <c r="O401" i="3"/>
  <c r="O402" i="3"/>
  <c r="O403" i="3"/>
  <c r="O404" i="3"/>
  <c r="O405" i="3"/>
  <c r="O406" i="3"/>
  <c r="O407" i="3"/>
  <c r="O408" i="3"/>
  <c r="O409" i="3"/>
  <c r="O410" i="3"/>
  <c r="O411" i="3"/>
  <c r="O412" i="3"/>
  <c r="O413" i="3"/>
  <c r="O414" i="3"/>
  <c r="O415" i="3"/>
  <c r="O416" i="3"/>
  <c r="O417" i="3"/>
  <c r="O418" i="3"/>
  <c r="O419" i="3"/>
  <c r="O420" i="3"/>
  <c r="O421" i="3"/>
  <c r="O422" i="3"/>
  <c r="O423" i="3"/>
  <c r="O424" i="3"/>
  <c r="O425" i="3"/>
  <c r="O426" i="3"/>
  <c r="O427" i="3"/>
  <c r="O428" i="3"/>
  <c r="O429" i="3"/>
  <c r="O430" i="3"/>
  <c r="O431" i="3"/>
  <c r="O432" i="3"/>
  <c r="O433" i="3"/>
  <c r="O434" i="3"/>
  <c r="O435" i="3"/>
  <c r="O436" i="3"/>
  <c r="O437" i="3"/>
  <c r="O438" i="3"/>
  <c r="O439" i="3"/>
  <c r="O440" i="3"/>
  <c r="O441" i="3"/>
  <c r="O442" i="3"/>
  <c r="O443" i="3"/>
  <c r="O444" i="3"/>
  <c r="O445" i="3"/>
  <c r="O446" i="3"/>
  <c r="O447" i="3"/>
  <c r="O448" i="3"/>
  <c r="O449" i="3"/>
  <c r="O450" i="3"/>
  <c r="O451" i="3"/>
  <c r="O452" i="3"/>
  <c r="O453" i="3"/>
  <c r="O454" i="3"/>
  <c r="O455" i="3"/>
  <c r="O456" i="3"/>
  <c r="O457" i="3"/>
  <c r="O458" i="3"/>
  <c r="O459" i="3"/>
  <c r="O460" i="3"/>
  <c r="O461" i="3"/>
  <c r="O462" i="3"/>
  <c r="O463" i="3"/>
  <c r="O464" i="3"/>
  <c r="O465" i="3"/>
  <c r="O466" i="3"/>
  <c r="O467" i="3"/>
  <c r="O468" i="3"/>
  <c r="O469" i="3"/>
  <c r="O470" i="3"/>
  <c r="O471" i="3"/>
  <c r="O472" i="3"/>
  <c r="O473" i="3"/>
  <c r="O474" i="3"/>
  <c r="O475" i="3"/>
  <c r="O476" i="3"/>
  <c r="O477" i="3"/>
  <c r="O478" i="3"/>
  <c r="O479" i="3"/>
  <c r="O480" i="3"/>
  <c r="O481" i="3"/>
  <c r="O482" i="3"/>
  <c r="O483" i="3"/>
  <c r="O484" i="3"/>
  <c r="O485" i="3"/>
  <c r="O486" i="3"/>
  <c r="O487" i="3"/>
  <c r="O488" i="3"/>
  <c r="O489" i="3"/>
  <c r="O490" i="3"/>
  <c r="O491" i="3"/>
  <c r="O492" i="3"/>
  <c r="O493" i="3"/>
  <c r="O494" i="3"/>
  <c r="O495" i="3"/>
  <c r="O496" i="3"/>
  <c r="O497" i="3"/>
  <c r="O498" i="3"/>
  <c r="O499" i="3"/>
  <c r="O500" i="3"/>
  <c r="O501" i="3"/>
  <c r="O502" i="3"/>
  <c r="O503" i="3"/>
  <c r="O504" i="3"/>
  <c r="O505" i="3"/>
  <c r="O506" i="3"/>
  <c r="O507" i="3"/>
  <c r="O508" i="3"/>
  <c r="O509" i="3"/>
  <c r="O510" i="3"/>
  <c r="O511" i="3"/>
  <c r="O512" i="3"/>
  <c r="O513" i="3"/>
  <c r="O514" i="3"/>
  <c r="O515" i="3"/>
  <c r="O516" i="3"/>
  <c r="O517" i="3"/>
  <c r="O518" i="3"/>
  <c r="O519" i="3"/>
  <c r="O520" i="3"/>
  <c r="O521" i="3"/>
  <c r="O522" i="3"/>
  <c r="O523" i="3"/>
  <c r="O524" i="3"/>
  <c r="O525" i="3"/>
  <c r="O526" i="3"/>
  <c r="O527" i="3"/>
  <c r="O528" i="3"/>
  <c r="O529" i="3"/>
  <c r="O530" i="3"/>
  <c r="O531" i="3"/>
  <c r="O532" i="3"/>
  <c r="O533" i="3"/>
  <c r="O534" i="3"/>
  <c r="O535" i="3"/>
  <c r="O536" i="3"/>
  <c r="O537" i="3"/>
  <c r="O538" i="3"/>
  <c r="O539" i="3"/>
  <c r="O540" i="3"/>
  <c r="O541" i="3"/>
  <c r="O542" i="3"/>
  <c r="O543" i="3"/>
  <c r="O544" i="3"/>
  <c r="O545" i="3"/>
  <c r="O546" i="3"/>
  <c r="O547" i="3"/>
  <c r="O548" i="3"/>
  <c r="O549" i="3"/>
  <c r="O550" i="3"/>
  <c r="O551" i="3"/>
  <c r="O552" i="3"/>
  <c r="O553" i="3"/>
  <c r="O554" i="3"/>
  <c r="O555" i="3"/>
  <c r="O556" i="3"/>
  <c r="O557" i="3"/>
  <c r="O558" i="3"/>
  <c r="O559" i="3"/>
  <c r="O560" i="3"/>
  <c r="O561" i="3"/>
  <c r="O562" i="3"/>
  <c r="O563" i="3"/>
  <c r="O564" i="3"/>
  <c r="O565" i="3"/>
  <c r="O566" i="3"/>
  <c r="O567" i="3"/>
  <c r="O568" i="3"/>
  <c r="O569" i="3"/>
  <c r="O570" i="3"/>
  <c r="O571" i="3"/>
  <c r="O572" i="3"/>
  <c r="O573" i="3"/>
  <c r="O574" i="3"/>
  <c r="O575" i="3"/>
  <c r="O576" i="3"/>
  <c r="O577" i="3"/>
  <c r="O578" i="3"/>
  <c r="O579" i="3"/>
  <c r="O580" i="3"/>
  <c r="O581" i="3"/>
  <c r="O582" i="3"/>
  <c r="O583" i="3"/>
  <c r="O584" i="3"/>
  <c r="O585" i="3"/>
  <c r="O586" i="3"/>
  <c r="O587" i="3"/>
  <c r="O588" i="3"/>
  <c r="O589" i="3"/>
  <c r="O590" i="3"/>
  <c r="O591" i="3"/>
  <c r="O592" i="3"/>
  <c r="O593" i="3"/>
  <c r="O594" i="3"/>
  <c r="O595" i="3"/>
  <c r="O596" i="3"/>
  <c r="O597" i="3"/>
  <c r="O598" i="3"/>
  <c r="O599" i="3"/>
  <c r="O600" i="3"/>
  <c r="O601" i="3"/>
  <c r="O602" i="3"/>
  <c r="O603" i="3"/>
  <c r="O604" i="3"/>
  <c r="O605" i="3"/>
  <c r="O606" i="3"/>
  <c r="O607" i="3"/>
  <c r="O608" i="3"/>
  <c r="O609" i="3"/>
  <c r="O610" i="3"/>
  <c r="O611" i="3"/>
  <c r="O612" i="3"/>
  <c r="O613" i="3"/>
  <c r="O614" i="3"/>
  <c r="O615" i="3"/>
  <c r="O616" i="3"/>
  <c r="O617" i="3"/>
  <c r="O618" i="3"/>
  <c r="O619" i="3"/>
  <c r="O620" i="3"/>
  <c r="O621" i="3"/>
  <c r="O622" i="3"/>
  <c r="O623" i="3"/>
  <c r="O624" i="3"/>
  <c r="O625" i="3"/>
  <c r="O626" i="3"/>
  <c r="O627" i="3"/>
  <c r="O628" i="3"/>
  <c r="O629" i="3"/>
  <c r="O630" i="3"/>
  <c r="O631" i="3"/>
  <c r="O632" i="3"/>
  <c r="O633" i="3"/>
  <c r="O634" i="3"/>
  <c r="O635" i="3"/>
  <c r="O636" i="3"/>
  <c r="O637" i="3"/>
  <c r="O638" i="3"/>
  <c r="O639" i="3"/>
  <c r="O640" i="3"/>
  <c r="O641" i="3"/>
  <c r="O642" i="3"/>
  <c r="O643" i="3"/>
  <c r="O644" i="3"/>
  <c r="O645" i="3"/>
  <c r="O646" i="3"/>
  <c r="O647" i="3"/>
  <c r="O648" i="3"/>
  <c r="O649" i="3"/>
  <c r="O650" i="3"/>
  <c r="O651" i="3"/>
  <c r="O652" i="3"/>
  <c r="O653" i="3"/>
  <c r="O654" i="3"/>
  <c r="O655" i="3"/>
  <c r="O656" i="3"/>
  <c r="O657" i="3"/>
  <c r="O658" i="3"/>
  <c r="O659" i="3"/>
  <c r="O660" i="3"/>
  <c r="O661" i="3"/>
  <c r="O662" i="3"/>
  <c r="O663" i="3"/>
  <c r="O664" i="3"/>
  <c r="O665" i="3"/>
  <c r="O666" i="3"/>
  <c r="O667" i="3"/>
  <c r="O668" i="3"/>
  <c r="O669" i="3"/>
  <c r="O670" i="3"/>
  <c r="O671" i="3"/>
  <c r="O672" i="3"/>
  <c r="O673" i="3"/>
  <c r="O674" i="3"/>
  <c r="O675" i="3"/>
  <c r="O676" i="3"/>
  <c r="O677" i="3"/>
  <c r="O678" i="3"/>
  <c r="O679" i="3"/>
  <c r="O680" i="3"/>
  <c r="O681" i="3"/>
  <c r="O682" i="3"/>
  <c r="O683" i="3"/>
  <c r="O684" i="3"/>
  <c r="O685" i="3"/>
  <c r="O686" i="3"/>
  <c r="O687" i="3"/>
  <c r="O688" i="3"/>
  <c r="O689" i="3"/>
  <c r="O690" i="3"/>
  <c r="O691" i="3"/>
  <c r="O692" i="3"/>
  <c r="O693" i="3"/>
  <c r="O694" i="3"/>
  <c r="O695" i="3"/>
  <c r="O696" i="3"/>
  <c r="O697" i="3"/>
  <c r="O698" i="3"/>
  <c r="O699" i="3"/>
  <c r="O700" i="3"/>
  <c r="O701" i="3"/>
  <c r="O702" i="3"/>
  <c r="O703" i="3"/>
  <c r="O704" i="3"/>
  <c r="O705" i="3"/>
  <c r="O706" i="3"/>
  <c r="O707" i="3"/>
  <c r="O708" i="3"/>
  <c r="O709" i="3"/>
  <c r="O710" i="3"/>
  <c r="O711" i="3"/>
  <c r="O712" i="3"/>
  <c r="O713" i="3"/>
  <c r="O714" i="3"/>
  <c r="O715" i="3"/>
  <c r="O716" i="3"/>
  <c r="O717" i="3"/>
  <c r="O718" i="3"/>
  <c r="O719" i="3"/>
  <c r="O720" i="3"/>
  <c r="O721" i="3"/>
  <c r="O722" i="3"/>
  <c r="O723" i="3"/>
  <c r="O724" i="3"/>
  <c r="O725" i="3"/>
  <c r="O726" i="3"/>
  <c r="O727" i="3"/>
  <c r="O728" i="3"/>
  <c r="O729" i="3"/>
  <c r="O730" i="3"/>
  <c r="O731" i="3"/>
  <c r="O732" i="3"/>
  <c r="O733" i="3"/>
  <c r="O734" i="3"/>
  <c r="O735" i="3"/>
  <c r="O736" i="3"/>
  <c r="O737" i="3"/>
  <c r="O738" i="3"/>
  <c r="O739" i="3"/>
  <c r="O740" i="3"/>
  <c r="O741" i="3"/>
  <c r="O742" i="3"/>
  <c r="O743" i="3"/>
  <c r="O744" i="3"/>
  <c r="O745" i="3"/>
  <c r="O746" i="3"/>
  <c r="O747" i="3"/>
  <c r="O748" i="3"/>
  <c r="O749" i="3"/>
  <c r="O750" i="3"/>
  <c r="O751" i="3"/>
  <c r="O752" i="3"/>
  <c r="O753" i="3"/>
  <c r="O754" i="3"/>
  <c r="O755" i="3"/>
  <c r="O756" i="3"/>
  <c r="O757" i="3"/>
  <c r="O758" i="3"/>
  <c r="O759" i="3"/>
  <c r="O760" i="3"/>
  <c r="O761" i="3"/>
  <c r="O762" i="3"/>
  <c r="O763" i="3"/>
  <c r="O764" i="3"/>
  <c r="O765" i="3"/>
  <c r="O766" i="3"/>
  <c r="O767" i="3"/>
  <c r="O768" i="3"/>
  <c r="O769" i="3"/>
  <c r="O770" i="3"/>
  <c r="O771" i="3"/>
  <c r="O772" i="3"/>
  <c r="O773" i="3"/>
  <c r="O774" i="3"/>
  <c r="O775" i="3"/>
  <c r="O776" i="3"/>
  <c r="O777" i="3"/>
  <c r="O778" i="3"/>
  <c r="O779" i="3"/>
  <c r="O780" i="3"/>
  <c r="O781" i="3"/>
  <c r="O782" i="3"/>
  <c r="O783" i="3"/>
  <c r="O784" i="3"/>
  <c r="O785" i="3"/>
  <c r="O786" i="3"/>
  <c r="O787" i="3"/>
  <c r="O788" i="3"/>
  <c r="O789" i="3"/>
  <c r="O790" i="3"/>
  <c r="O791" i="3"/>
  <c r="O792" i="3"/>
  <c r="O793" i="3"/>
  <c r="O794" i="3"/>
  <c r="O795" i="3"/>
  <c r="O796" i="3"/>
  <c r="O797" i="3"/>
  <c r="O798" i="3"/>
  <c r="O799" i="3"/>
  <c r="O800" i="3"/>
  <c r="O801" i="3"/>
  <c r="O802" i="3"/>
  <c r="O803" i="3"/>
  <c r="O804" i="3"/>
  <c r="O805" i="3"/>
  <c r="O806" i="3"/>
  <c r="O807" i="3"/>
  <c r="O808" i="3"/>
  <c r="O809" i="3"/>
  <c r="O810" i="3"/>
  <c r="O811" i="3"/>
  <c r="O812" i="3"/>
  <c r="O813" i="3"/>
  <c r="O814" i="3"/>
  <c r="O815" i="3"/>
  <c r="O816" i="3"/>
  <c r="O817" i="3"/>
  <c r="O818" i="3"/>
  <c r="O819" i="3"/>
  <c r="O820" i="3"/>
  <c r="O821" i="3"/>
  <c r="O822" i="3"/>
  <c r="O823" i="3"/>
  <c r="O824" i="3"/>
  <c r="O825" i="3"/>
  <c r="O826" i="3"/>
  <c r="O827" i="3"/>
  <c r="O828" i="3"/>
  <c r="O829" i="3"/>
  <c r="O830" i="3"/>
  <c r="O831" i="3"/>
  <c r="O832" i="3"/>
  <c r="O833" i="3"/>
  <c r="O834" i="3"/>
  <c r="O835" i="3"/>
  <c r="O836" i="3"/>
  <c r="O837" i="3"/>
  <c r="O838" i="3"/>
  <c r="O839" i="3"/>
  <c r="O840" i="3"/>
  <c r="O841" i="3"/>
  <c r="O842" i="3"/>
  <c r="O843" i="3"/>
  <c r="O844" i="3"/>
  <c r="O845" i="3"/>
  <c r="O846" i="3"/>
  <c r="O847" i="3"/>
  <c r="O848" i="3"/>
  <c r="O849" i="3"/>
  <c r="O850" i="3"/>
  <c r="O851" i="3"/>
  <c r="O852" i="3"/>
  <c r="O853" i="3"/>
  <c r="O854" i="3"/>
  <c r="O855" i="3"/>
  <c r="O856" i="3"/>
  <c r="O857" i="3"/>
  <c r="O858" i="3"/>
  <c r="O859" i="3"/>
  <c r="O860" i="3"/>
  <c r="O861" i="3"/>
  <c r="O862" i="3"/>
  <c r="O863" i="3"/>
  <c r="O864" i="3"/>
  <c r="O865" i="3"/>
  <c r="O866" i="3"/>
  <c r="O867" i="3"/>
  <c r="O868" i="3"/>
  <c r="O869" i="3"/>
  <c r="O870" i="3"/>
  <c r="O871" i="3"/>
  <c r="O872" i="3"/>
  <c r="O873" i="3"/>
  <c r="O874" i="3"/>
  <c r="O875" i="3"/>
  <c r="O876" i="3"/>
  <c r="O877" i="3"/>
  <c r="O878" i="3"/>
  <c r="O879" i="3"/>
  <c r="O880" i="3"/>
  <c r="O881" i="3"/>
  <c r="O882" i="3"/>
  <c r="O883" i="3"/>
  <c r="O884" i="3"/>
  <c r="O885" i="3"/>
  <c r="O886" i="3"/>
  <c r="O887" i="3"/>
  <c r="O888" i="3"/>
  <c r="O889" i="3"/>
  <c r="O890" i="3"/>
  <c r="O891" i="3"/>
  <c r="O892" i="3"/>
  <c r="O893" i="3"/>
  <c r="O894" i="3"/>
  <c r="O895" i="3"/>
  <c r="O896" i="3"/>
  <c r="O897" i="3"/>
  <c r="O898" i="3"/>
  <c r="O899" i="3"/>
  <c r="O900" i="3"/>
  <c r="O901" i="3"/>
  <c r="O902" i="3"/>
  <c r="O903" i="3"/>
  <c r="O904" i="3"/>
  <c r="O905" i="3"/>
  <c r="O906" i="3"/>
  <c r="O907" i="3"/>
  <c r="O908" i="3"/>
  <c r="O909" i="3"/>
  <c r="O910" i="3"/>
  <c r="O911" i="3"/>
  <c r="O912" i="3"/>
  <c r="O913" i="3"/>
  <c r="O914" i="3"/>
  <c r="O915" i="3"/>
  <c r="O916" i="3"/>
  <c r="O917" i="3"/>
  <c r="O918" i="3"/>
  <c r="O919" i="3"/>
  <c r="O920" i="3"/>
  <c r="O921" i="3"/>
  <c r="O922" i="3"/>
  <c r="O923" i="3"/>
  <c r="O924" i="3"/>
  <c r="O925" i="3"/>
  <c r="O926" i="3"/>
  <c r="O927" i="3"/>
  <c r="O928" i="3"/>
  <c r="O929" i="3"/>
  <c r="O930" i="3"/>
  <c r="O931" i="3"/>
  <c r="O932" i="3"/>
  <c r="O933" i="3"/>
  <c r="O934" i="3"/>
  <c r="O935" i="3"/>
  <c r="O936" i="3"/>
  <c r="O937" i="3"/>
  <c r="O938" i="3"/>
  <c r="O939" i="3"/>
  <c r="O940" i="3"/>
  <c r="O941" i="3"/>
  <c r="O942" i="3"/>
  <c r="O943" i="3"/>
  <c r="O944" i="3"/>
  <c r="O945" i="3"/>
  <c r="O946" i="3"/>
  <c r="O947" i="3"/>
  <c r="O948" i="3"/>
  <c r="O949" i="3"/>
  <c r="O950" i="3"/>
  <c r="O951" i="3"/>
  <c r="O952" i="3"/>
  <c r="O953" i="3"/>
  <c r="O954" i="3"/>
  <c r="O955" i="3"/>
  <c r="O956" i="3"/>
  <c r="O957" i="3"/>
  <c r="O958" i="3"/>
  <c r="O959" i="3"/>
  <c r="O960" i="3"/>
  <c r="O961" i="3"/>
  <c r="O962" i="3"/>
  <c r="O963" i="3"/>
  <c r="O964" i="3"/>
  <c r="O965" i="3"/>
  <c r="O966" i="3"/>
  <c r="O967" i="3"/>
  <c r="O968" i="3"/>
  <c r="O969" i="3"/>
  <c r="O970" i="3"/>
  <c r="O971" i="3"/>
  <c r="O972" i="3"/>
  <c r="O973" i="3"/>
  <c r="O974" i="3"/>
  <c r="O975" i="3"/>
  <c r="O976" i="3"/>
  <c r="O977" i="3"/>
  <c r="O978" i="3"/>
  <c r="O979" i="3"/>
  <c r="O980" i="3"/>
  <c r="O981" i="3"/>
  <c r="O982" i="3"/>
  <c r="O983" i="3"/>
  <c r="O984" i="3"/>
  <c r="O985" i="3"/>
  <c r="O986" i="3"/>
  <c r="O987" i="3"/>
  <c r="O988" i="3"/>
  <c r="O989" i="3"/>
  <c r="O990" i="3"/>
  <c r="O991" i="3"/>
  <c r="O992" i="3"/>
  <c r="O993" i="3"/>
  <c r="O994" i="3"/>
  <c r="O995" i="3"/>
  <c r="O996" i="3"/>
  <c r="O997" i="3"/>
  <c r="O998" i="3"/>
  <c r="O999" i="3"/>
  <c r="O1000" i="3"/>
  <c r="O1001" i="3"/>
  <c r="O1002" i="3"/>
  <c r="O1003" i="3"/>
  <c r="O1004" i="3"/>
  <c r="O1005" i="3"/>
  <c r="O1006" i="3"/>
  <c r="O1007" i="3"/>
  <c r="O1008" i="3"/>
  <c r="O1009" i="3"/>
  <c r="O1010" i="3"/>
  <c r="O1011" i="3"/>
  <c r="O1012" i="3"/>
  <c r="O1013" i="3"/>
  <c r="O1014" i="3"/>
  <c r="O1015" i="3"/>
  <c r="O1016" i="3"/>
  <c r="O1017" i="3"/>
  <c r="O1018" i="3"/>
  <c r="O1019" i="3"/>
  <c r="O1020" i="3"/>
  <c r="O1021" i="3"/>
  <c r="O1022" i="3"/>
  <c r="O1023" i="3"/>
  <c r="O1024" i="3"/>
  <c r="O1025" i="3"/>
  <c r="O1026" i="3"/>
  <c r="O1027" i="3"/>
  <c r="O1028" i="3"/>
  <c r="O1029" i="3"/>
  <c r="O1030" i="3"/>
  <c r="O1031" i="3"/>
  <c r="O1032" i="3"/>
  <c r="O1033" i="3"/>
  <c r="O1034" i="3"/>
  <c r="O1035" i="3"/>
  <c r="O1036" i="3"/>
  <c r="O1037" i="3"/>
  <c r="O1038" i="3"/>
  <c r="O1039" i="3"/>
  <c r="O1040" i="3"/>
  <c r="O1041" i="3"/>
  <c r="O1042" i="3"/>
  <c r="O1043" i="3"/>
  <c r="O1044" i="3"/>
  <c r="O1045" i="3"/>
  <c r="O1046" i="3"/>
  <c r="O1047" i="3"/>
  <c r="O1048" i="3"/>
  <c r="O1049" i="3"/>
  <c r="O1050" i="3"/>
  <c r="O1051" i="3"/>
  <c r="O1052" i="3"/>
  <c r="O1053" i="3"/>
  <c r="O1054" i="3"/>
  <c r="O1055" i="3"/>
  <c r="O1056" i="3"/>
  <c r="O1057" i="3"/>
  <c r="O1058" i="3"/>
  <c r="O1059" i="3"/>
  <c r="O1060" i="3"/>
  <c r="O1061" i="3"/>
  <c r="O1062" i="3"/>
  <c r="O1063" i="3"/>
  <c r="O1064" i="3"/>
  <c r="O1065" i="3"/>
  <c r="O1066" i="3"/>
  <c r="O1067" i="3"/>
  <c r="O1068" i="3"/>
  <c r="O1069" i="3"/>
  <c r="O1070" i="3"/>
  <c r="O1071" i="3"/>
  <c r="O1072" i="3"/>
  <c r="O1073" i="3"/>
  <c r="O1074" i="3"/>
  <c r="O1075" i="3"/>
  <c r="O1076" i="3"/>
  <c r="O1077" i="3"/>
  <c r="O1078" i="3"/>
  <c r="O1079" i="3"/>
  <c r="O1080" i="3"/>
  <c r="O1081" i="3"/>
  <c r="O1082" i="3"/>
  <c r="O1083" i="3"/>
  <c r="O1084" i="3"/>
  <c r="O1085" i="3"/>
  <c r="O1086" i="3"/>
  <c r="O1087" i="3"/>
  <c r="O1088" i="3"/>
  <c r="O1089" i="3"/>
  <c r="O1090" i="3"/>
  <c r="O1091" i="3"/>
  <c r="O1092" i="3"/>
  <c r="O1093" i="3"/>
  <c r="O1094" i="3"/>
  <c r="O1095" i="3"/>
  <c r="O1096" i="3"/>
  <c r="O1097" i="3"/>
  <c r="O1098" i="3"/>
  <c r="O1099" i="3"/>
  <c r="O1100" i="3"/>
  <c r="O1101" i="3"/>
  <c r="O1102" i="3"/>
  <c r="O1103" i="3"/>
  <c r="O1104" i="3"/>
  <c r="O1105" i="3"/>
  <c r="O1106" i="3"/>
  <c r="O1107" i="3"/>
  <c r="O1108" i="3"/>
  <c r="O1109" i="3"/>
  <c r="O1110" i="3"/>
  <c r="O1111" i="3"/>
  <c r="O1112" i="3"/>
  <c r="O1113" i="3"/>
  <c r="O1114" i="3"/>
  <c r="O1115" i="3"/>
  <c r="O1116" i="3"/>
  <c r="O1117" i="3"/>
  <c r="O1118" i="3"/>
  <c r="O1119" i="3"/>
  <c r="O1120" i="3"/>
  <c r="O1121" i="3"/>
  <c r="O1122" i="3"/>
  <c r="O1123" i="3"/>
  <c r="O1124" i="3"/>
  <c r="O1125" i="3"/>
  <c r="O1126" i="3"/>
  <c r="O1127" i="3"/>
  <c r="O1128" i="3"/>
  <c r="O1129" i="3"/>
  <c r="O1130" i="3"/>
  <c r="O1131" i="3"/>
  <c r="O1132" i="3"/>
  <c r="O1133" i="3"/>
  <c r="O1134" i="3"/>
  <c r="O1135" i="3"/>
  <c r="O1136" i="3"/>
  <c r="O1137" i="3"/>
  <c r="O1138" i="3"/>
  <c r="O1139" i="3"/>
  <c r="O1140" i="3"/>
  <c r="O1141" i="3"/>
  <c r="O1142" i="3"/>
  <c r="O1143" i="3"/>
  <c r="O1144" i="3"/>
  <c r="O1145" i="3"/>
  <c r="O1146" i="3"/>
  <c r="O1147" i="3"/>
  <c r="O1148" i="3"/>
  <c r="O1149" i="3"/>
  <c r="O1150" i="3"/>
  <c r="O1151" i="3"/>
  <c r="O1152" i="3"/>
  <c r="O1153" i="3"/>
  <c r="O1154" i="3"/>
  <c r="O1155" i="3"/>
  <c r="O1156" i="3"/>
  <c r="O1157" i="3"/>
  <c r="O1158" i="3"/>
  <c r="O1159" i="3"/>
  <c r="O1160" i="3"/>
  <c r="O1161" i="3"/>
  <c r="O1162" i="3"/>
  <c r="O1163" i="3"/>
  <c r="O1164" i="3"/>
  <c r="O1165" i="3"/>
  <c r="O1166" i="3"/>
  <c r="O1167" i="3"/>
  <c r="O1168" i="3"/>
  <c r="O1169" i="3"/>
  <c r="O1170" i="3"/>
  <c r="O1171" i="3"/>
  <c r="O1172" i="3"/>
  <c r="O1173" i="3"/>
  <c r="O1174" i="3"/>
  <c r="O1175" i="3"/>
  <c r="O1176" i="3"/>
  <c r="O1177" i="3"/>
  <c r="O1178" i="3"/>
  <c r="O1179" i="3"/>
  <c r="O1180" i="3"/>
  <c r="O1181" i="3"/>
  <c r="O1182" i="3"/>
  <c r="O1183" i="3"/>
  <c r="O1184" i="3"/>
  <c r="O1185" i="3"/>
  <c r="O1186" i="3"/>
  <c r="O1187" i="3"/>
  <c r="O1188" i="3"/>
  <c r="O1189" i="3"/>
  <c r="O1190" i="3"/>
  <c r="O1191" i="3"/>
  <c r="O1192" i="3"/>
  <c r="O1193" i="3"/>
  <c r="O1194" i="3"/>
  <c r="O1195" i="3"/>
  <c r="O1196" i="3"/>
  <c r="O1197" i="3"/>
  <c r="O1198" i="3"/>
  <c r="O1199" i="3"/>
  <c r="O1200" i="3"/>
  <c r="O1201" i="3"/>
  <c r="O1202" i="3"/>
  <c r="O1203" i="3"/>
  <c r="O1204" i="3"/>
  <c r="O1205" i="3"/>
  <c r="O1206" i="3"/>
  <c r="O1207" i="3"/>
  <c r="O1208" i="3"/>
  <c r="O1209" i="3"/>
  <c r="O1210" i="3"/>
  <c r="O1211" i="3"/>
  <c r="O1212" i="3"/>
  <c r="O1213" i="3"/>
  <c r="O1214" i="3"/>
  <c r="O1215" i="3"/>
  <c r="O1216" i="3"/>
  <c r="O1217" i="3"/>
  <c r="O1218" i="3"/>
  <c r="O1219" i="3"/>
  <c r="O1220" i="3"/>
  <c r="O1221" i="3"/>
  <c r="O1222" i="3"/>
  <c r="O1223" i="3"/>
  <c r="O1224" i="3"/>
  <c r="O1225" i="3"/>
  <c r="O1226" i="3"/>
  <c r="O1227" i="3"/>
  <c r="O1228" i="3"/>
  <c r="O1229" i="3"/>
  <c r="O1230" i="3"/>
  <c r="O1231" i="3"/>
  <c r="O1232" i="3"/>
  <c r="O1233" i="3"/>
  <c r="O1234" i="3"/>
  <c r="O1235" i="3"/>
  <c r="O1236" i="3"/>
  <c r="O1237" i="3"/>
  <c r="O1238" i="3"/>
  <c r="O1239" i="3"/>
  <c r="O1240" i="3"/>
  <c r="O1241" i="3"/>
  <c r="O1242" i="3"/>
  <c r="O1243" i="3"/>
  <c r="O1244" i="3"/>
  <c r="O1245" i="3"/>
  <c r="O1246" i="3"/>
  <c r="O1247" i="3"/>
  <c r="O1248" i="3"/>
  <c r="O1249" i="3"/>
  <c r="O1250" i="3"/>
  <c r="O1251" i="3"/>
  <c r="O1252" i="3"/>
  <c r="O1253" i="3"/>
  <c r="O1254" i="3"/>
  <c r="O1255" i="3"/>
  <c r="O1256" i="3"/>
  <c r="O1257" i="3"/>
  <c r="O1258" i="3"/>
  <c r="O1259" i="3"/>
  <c r="O1260" i="3"/>
  <c r="O1261" i="3"/>
  <c r="O1262" i="3"/>
  <c r="O1263" i="3"/>
  <c r="O1264" i="3"/>
  <c r="O1265" i="3"/>
  <c r="O1266" i="3"/>
  <c r="O1267" i="3"/>
  <c r="O1268" i="3"/>
  <c r="O1269" i="3"/>
  <c r="O1270" i="3"/>
  <c r="O1271" i="3"/>
  <c r="O1272" i="3"/>
  <c r="O1273" i="3"/>
  <c r="O1274" i="3"/>
  <c r="O1275" i="3"/>
  <c r="O1276" i="3"/>
  <c r="O1277" i="3"/>
  <c r="O1278" i="3"/>
  <c r="O1279" i="3"/>
  <c r="O1280" i="3"/>
  <c r="O1281" i="3"/>
  <c r="O1282" i="3"/>
  <c r="O1283" i="3"/>
  <c r="O1284" i="3"/>
  <c r="O1285" i="3"/>
  <c r="O1286" i="3"/>
  <c r="O1287" i="3"/>
  <c r="O1288" i="3"/>
  <c r="O1289" i="3"/>
  <c r="O1290" i="3"/>
  <c r="O1291" i="3"/>
  <c r="O1292" i="3"/>
  <c r="O1293" i="3"/>
  <c r="O1294" i="3"/>
  <c r="O1295" i="3"/>
  <c r="O1296" i="3"/>
  <c r="O1297" i="3"/>
  <c r="O1298" i="3"/>
  <c r="O1299" i="3"/>
  <c r="O1300" i="3"/>
  <c r="O1301" i="3"/>
  <c r="O1302" i="3"/>
  <c r="O1303" i="3"/>
  <c r="O1304" i="3"/>
  <c r="O1305" i="3"/>
  <c r="O1306" i="3"/>
  <c r="O1307" i="3"/>
  <c r="O1308" i="3"/>
  <c r="O1309" i="3"/>
  <c r="O1310" i="3"/>
  <c r="O1311" i="3"/>
  <c r="O1312" i="3"/>
  <c r="O1313" i="3"/>
  <c r="O1314" i="3"/>
  <c r="O1315" i="3"/>
  <c r="O1316" i="3"/>
  <c r="O1317" i="3"/>
  <c r="O1318" i="3"/>
  <c r="O1319" i="3"/>
  <c r="O1320" i="3"/>
  <c r="O1321" i="3"/>
  <c r="O1322" i="3"/>
  <c r="O1323" i="3"/>
  <c r="O1324" i="3"/>
  <c r="O1325" i="3"/>
  <c r="O1326" i="3"/>
  <c r="O1327" i="3"/>
  <c r="O1328" i="3"/>
  <c r="O1329" i="3"/>
  <c r="O1330" i="3"/>
  <c r="O1331" i="3"/>
  <c r="O1332" i="3"/>
  <c r="O1333" i="3"/>
  <c r="O1334" i="3"/>
  <c r="O1335" i="3"/>
  <c r="O1336" i="3"/>
  <c r="O1337" i="3"/>
  <c r="O1338" i="3"/>
  <c r="O1339" i="3"/>
  <c r="O1340" i="3"/>
  <c r="O1341" i="3"/>
  <c r="O1342" i="3"/>
  <c r="O1343" i="3"/>
  <c r="O1344" i="3"/>
  <c r="O1345" i="3"/>
  <c r="O1346" i="3"/>
  <c r="O1347" i="3"/>
  <c r="O1348" i="3"/>
  <c r="O1349" i="3"/>
  <c r="O1350" i="3"/>
  <c r="O1351" i="3"/>
  <c r="O1352" i="3"/>
  <c r="O1353" i="3"/>
  <c r="O1354" i="3"/>
  <c r="O1355" i="3"/>
  <c r="O1356" i="3"/>
  <c r="O1357" i="3"/>
  <c r="O1358" i="3"/>
  <c r="O1359" i="3"/>
  <c r="O1360" i="3"/>
  <c r="O1361" i="3"/>
  <c r="O1362" i="3"/>
  <c r="O1363" i="3"/>
  <c r="O1364" i="3"/>
  <c r="O1365" i="3"/>
  <c r="O1366" i="3"/>
  <c r="O1367" i="3"/>
  <c r="O1368" i="3"/>
  <c r="O1369" i="3"/>
  <c r="O1370" i="3"/>
  <c r="O1371" i="3"/>
  <c r="O1372" i="3"/>
  <c r="O1373" i="3"/>
  <c r="O1374" i="3"/>
  <c r="O1375" i="3"/>
  <c r="O1376" i="3"/>
  <c r="O1377" i="3"/>
  <c r="O1378" i="3"/>
  <c r="O1379" i="3"/>
  <c r="O1380" i="3"/>
  <c r="O1381" i="3"/>
  <c r="O1382" i="3"/>
  <c r="O1383" i="3"/>
  <c r="O1384" i="3"/>
  <c r="O1385" i="3"/>
  <c r="O1386" i="3"/>
  <c r="O1387" i="3"/>
  <c r="O1388" i="3"/>
  <c r="O1389" i="3"/>
  <c r="O1390" i="3"/>
  <c r="O1391" i="3"/>
  <c r="O1392" i="3"/>
  <c r="O1393" i="3"/>
  <c r="O1394" i="3"/>
  <c r="O1395" i="3"/>
  <c r="O1396" i="3"/>
  <c r="O1397" i="3"/>
  <c r="O1398" i="3"/>
  <c r="O1399" i="3"/>
  <c r="O1400" i="3"/>
  <c r="O1401" i="3"/>
  <c r="O1402" i="3"/>
  <c r="O1403" i="3"/>
  <c r="O1404" i="3"/>
  <c r="O1405" i="3"/>
  <c r="O1406" i="3"/>
  <c r="O1407" i="3"/>
  <c r="O1408" i="3"/>
  <c r="O1409" i="3"/>
  <c r="O1410" i="3"/>
  <c r="O1411" i="3"/>
  <c r="O1412" i="3"/>
  <c r="O1413" i="3"/>
  <c r="O1414" i="3"/>
  <c r="O1415" i="3"/>
  <c r="O1416" i="3"/>
  <c r="O1417" i="3"/>
  <c r="O1418" i="3"/>
  <c r="O1419" i="3"/>
  <c r="O1420" i="3"/>
  <c r="O1421" i="3"/>
  <c r="O1422" i="3"/>
  <c r="O1423" i="3"/>
  <c r="O1424" i="3"/>
  <c r="O1425" i="3"/>
  <c r="O1426" i="3"/>
  <c r="O1427" i="3"/>
  <c r="O1428" i="3"/>
  <c r="O1429" i="3"/>
  <c r="O1430" i="3"/>
  <c r="O1431" i="3"/>
  <c r="O1432" i="3"/>
  <c r="O1433" i="3"/>
  <c r="O1434" i="3"/>
  <c r="O1435" i="3"/>
  <c r="O1436" i="3"/>
  <c r="O1437"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E4F45-9AD2-4C9D-B478-08A856464498}" keepAlive="1" name="Query - RawSalesTable" description="Connection to the 'RawSalesTable' query in the workbook." type="5" refreshedVersion="8" background="1" saveData="1">
    <dbPr connection="Provider=Microsoft.Mashup.OleDb.1;Data Source=$Workbook$;Location=RawSalesTable;Extended Properties=&quot;&quot;" command="SELECT * FROM [RawSalesTable]"/>
  </connection>
</connections>
</file>

<file path=xl/sharedStrings.xml><?xml version="1.0" encoding="utf-8"?>
<sst xmlns="http://schemas.openxmlformats.org/spreadsheetml/2006/main" count="20618" uniqueCount="1610">
  <si>
    <t>Order ID</t>
  </si>
  <si>
    <t>Order Date</t>
  </si>
  <si>
    <t>Region</t>
  </si>
  <si>
    <t>City</t>
  </si>
  <si>
    <t>Product Category</t>
  </si>
  <si>
    <t>Product</t>
  </si>
  <si>
    <t>Salesperson</t>
  </si>
  <si>
    <t>Units Sold</t>
  </si>
  <si>
    <t>Unit Price</t>
  </si>
  <si>
    <t>Discount</t>
  </si>
  <si>
    <t>Revenue</t>
  </si>
  <si>
    <t>Cost</t>
  </si>
  <si>
    <t>Profit</t>
  </si>
  <si>
    <t>Payment Method</t>
  </si>
  <si>
    <t>ORD-2025-0001</t>
  </si>
  <si>
    <t>Central</t>
  </si>
  <si>
    <t>Lahore</t>
  </si>
  <si>
    <t>Electronics</t>
  </si>
  <si>
    <t>Headphones</t>
  </si>
  <si>
    <t>Sara Ahmed</t>
  </si>
  <si>
    <t>Digital Wallet</t>
  </si>
  <si>
    <t>ORD-2025-0002</t>
  </si>
  <si>
    <t>North</t>
  </si>
  <si>
    <t>Islamabad</t>
  </si>
  <si>
    <t>Smartphone</t>
  </si>
  <si>
    <t>Bilal Hussain</t>
  </si>
  <si>
    <t>Credit Card</t>
  </si>
  <si>
    <t>ORD-2025-0003</t>
  </si>
  <si>
    <t>South</t>
  </si>
  <si>
    <t>Quetta</t>
  </si>
  <si>
    <t>Home Appliances</t>
  </si>
  <si>
    <t>Air Conditioner</t>
  </si>
  <si>
    <t>Fatima Raza</t>
  </si>
  <si>
    <t>Cash</t>
  </si>
  <si>
    <t>ORD-2025-0004</t>
  </si>
  <si>
    <t>Rawalpindi</t>
  </si>
  <si>
    <t>ORD-2025-0005</t>
  </si>
  <si>
    <t>Peshawar</t>
  </si>
  <si>
    <t>Vacuum Cleaner</t>
  </si>
  <si>
    <t>ORD-2025-0006</t>
  </si>
  <si>
    <t>Water Dispenser</t>
  </si>
  <si>
    <t>CREDIT CARD</t>
  </si>
  <si>
    <t>ORD-2025-0007</t>
  </si>
  <si>
    <t>Multan</t>
  </si>
  <si>
    <t>Office Supplies</t>
  </si>
  <si>
    <t>Office Chair</t>
  </si>
  <si>
    <t>ORD-2025-0008</t>
  </si>
  <si>
    <t>Ayesha Noor</t>
  </si>
  <si>
    <t>ORD-2025-0009</t>
  </si>
  <si>
    <t>Accessories</t>
  </si>
  <si>
    <t>USB Hub</t>
  </si>
  <si>
    <t>ORD-2025-0010</t>
  </si>
  <si>
    <t>Karachi</t>
  </si>
  <si>
    <t>Keyboard</t>
  </si>
  <si>
    <t>ORD-2025-0011</t>
  </si>
  <si>
    <t>02/10/2025</t>
  </si>
  <si>
    <t>Hyderabad</t>
  </si>
  <si>
    <t>Webcam</t>
  </si>
  <si>
    <t>Hamza Shah</t>
  </si>
  <si>
    <t>Bank Transfer</t>
  </si>
  <si>
    <t>ORD-2025-0012</t>
  </si>
  <si>
    <t>Usman Malik</t>
  </si>
  <si>
    <t>ORD-2025-0013</t>
  </si>
  <si>
    <t>Faisalabad</t>
  </si>
  <si>
    <t>Ali Khan</t>
  </si>
  <si>
    <t>ORD-2025-0014</t>
  </si>
  <si>
    <t>ORD-2025-0015</t>
  </si>
  <si>
    <t>ORD-2025-0016</t>
  </si>
  <si>
    <t>central</t>
  </si>
  <si>
    <t>Desk</t>
  </si>
  <si>
    <t>Zara Iqbal</t>
  </si>
  <si>
    <t>ORD-2025-0017</t>
  </si>
  <si>
    <t>ORD-2025-0018</t>
  </si>
  <si>
    <t>ORD-2025-0019</t>
  </si>
  <si>
    <t>ORD-2025-0020</t>
  </si>
  <si>
    <t>Laptop</t>
  </si>
  <si>
    <t>ORD-2025-0021</t>
  </si>
  <si>
    <t>ORD-2025-0022</t>
  </si>
  <si>
    <t>ORD-2025-0023</t>
  </si>
  <si>
    <t>ORD-2025-0024</t>
  </si>
  <si>
    <t>Printer</t>
  </si>
  <si>
    <t>usman malik</t>
  </si>
  <si>
    <t>ORD-2025-0025</t>
  </si>
  <si>
    <t>ORD-2025-0026</t>
  </si>
  <si>
    <t>ORD-2025-0027</t>
  </si>
  <si>
    <t>ORD-2025-0028</t>
  </si>
  <si>
    <t>Microwave</t>
  </si>
  <si>
    <t>ORD-2025-0029</t>
  </si>
  <si>
    <t>ORD-2025-0030</t>
  </si>
  <si>
    <t>ORD-2025-0031</t>
  </si>
  <si>
    <t>ORD-2025-0032</t>
  </si>
  <si>
    <t>Power Bank</t>
  </si>
  <si>
    <t>ORD-2025-0033</t>
  </si>
  <si>
    <t>ORD-2025-0034</t>
  </si>
  <si>
    <t>ORD-2025-0035</t>
  </si>
  <si>
    <t>ORD-2025-0036</t>
  </si>
  <si>
    <t>ORD-2025-0037</t>
  </si>
  <si>
    <t>ORD-2025-0038</t>
  </si>
  <si>
    <t>ORD-2025-0039</t>
  </si>
  <si>
    <t>ORD-2025-0040</t>
  </si>
  <si>
    <t>ORD-2025-0041</t>
  </si>
  <si>
    <t>ORD-2025-0042</t>
  </si>
  <si>
    <t>ORD-2025-0043</t>
  </si>
  <si>
    <t>ORD-2025-0044</t>
  </si>
  <si>
    <t>ORD-2025-0045</t>
  </si>
  <si>
    <t>ORD-2025-0046</t>
  </si>
  <si>
    <t>ORD-2025-0047</t>
  </si>
  <si>
    <t>Mouse</t>
  </si>
  <si>
    <t>ORD-2025-0048</t>
  </si>
  <si>
    <t>ORD-2025-0049</t>
  </si>
  <si>
    <t>ORD-2025-0050</t>
  </si>
  <si>
    <t>BILAL HUSSAIN</t>
  </si>
  <si>
    <t>ORD-2025-0051</t>
  </si>
  <si>
    <t>ORD-2025-0052</t>
  </si>
  <si>
    <t>Monitor</t>
  </si>
  <si>
    <t>ORD-2025-0053</t>
  </si>
  <si>
    <t>ORD-2025-0054</t>
  </si>
  <si>
    <t>credit card</t>
  </si>
  <si>
    <t>ORD-2025-0055</t>
  </si>
  <si>
    <t>ORD-2025-0056</t>
  </si>
  <si>
    <t>bilal hussain</t>
  </si>
  <si>
    <t>ORD-2025-0057</t>
  </si>
  <si>
    <t>ORD-2025-0058</t>
  </si>
  <si>
    <t>ORD-2025-0059</t>
  </si>
  <si>
    <t>ORD-2025-0060</t>
  </si>
  <si>
    <t>ORD-2025-0061</t>
  </si>
  <si>
    <t>ORD-2025-0062</t>
  </si>
  <si>
    <t>ORD-2025-0063</t>
  </si>
  <si>
    <t>ORD-2025-0064</t>
  </si>
  <si>
    <t>ORD-2025-0065</t>
  </si>
  <si>
    <t>ORD-2025-0066</t>
  </si>
  <si>
    <t>ORD-2025-0067</t>
  </si>
  <si>
    <t>ORD-2025-0068</t>
  </si>
  <si>
    <t>ALI KHAN</t>
  </si>
  <si>
    <t>ORD-2025-0069</t>
  </si>
  <si>
    <t>ORD-2025-0070</t>
  </si>
  <si>
    <t>ORD-2025-0071</t>
  </si>
  <si>
    <t>ORD-2025-0072</t>
  </si>
  <si>
    <t>south</t>
  </si>
  <si>
    <t>ORD-2025-0073</t>
  </si>
  <si>
    <t>ORD-2025-0074</t>
  </si>
  <si>
    <t>ORD-2025-0075</t>
  </si>
  <si>
    <t>ORD-2025-0076</t>
  </si>
  <si>
    <t>ORD-2025-0077</t>
  </si>
  <si>
    <t>ORD-2025-0078</t>
  </si>
  <si>
    <t>ORD-2025-0079</t>
  </si>
  <si>
    <t>ORD-2025-0080</t>
  </si>
  <si>
    <t>ORD-2025-0081</t>
  </si>
  <si>
    <t>ORD-2025-0082</t>
  </si>
  <si>
    <t>ORD-2025-0083</t>
  </si>
  <si>
    <t>cash</t>
  </si>
  <si>
    <t>ORD-2025-0084</t>
  </si>
  <si>
    <t>ORD-2025-0085</t>
  </si>
  <si>
    <t>ORD-2025-0086</t>
  </si>
  <si>
    <t>ORD-2025-0087</t>
  </si>
  <si>
    <t>Bank transfer</t>
  </si>
  <si>
    <t>ORD-2025-0088</t>
  </si>
  <si>
    <t>ORD-2025-0089</t>
  </si>
  <si>
    <t>ORD-2025-0090</t>
  </si>
  <si>
    <t>ORD-2025-0091</t>
  </si>
  <si>
    <t>digital wallet</t>
  </si>
  <si>
    <t>ORD-2025-0092</t>
  </si>
  <si>
    <t>ORD-2025-0093</t>
  </si>
  <si>
    <t>ORD-2025-0094</t>
  </si>
  <si>
    <t>ORD-2025-0095</t>
  </si>
  <si>
    <t>ORD-2025-0096</t>
  </si>
  <si>
    <t>ORD-2025-0097</t>
  </si>
  <si>
    <t>07-Jul-2025</t>
  </si>
  <si>
    <t>ORD-2025-0098</t>
  </si>
  <si>
    <t>ORD-2025-0099</t>
  </si>
  <si>
    <t>ORD-2025-0100</t>
  </si>
  <si>
    <t>ORD-2025-0101</t>
  </si>
  <si>
    <t>ORD-2025-0102</t>
  </si>
  <si>
    <t>ORD-2025-0103</t>
  </si>
  <si>
    <t>ORD-2025-0104</t>
  </si>
  <si>
    <t>HOME APPLIANCES</t>
  </si>
  <si>
    <t>ORD-2025-0105</t>
  </si>
  <si>
    <t>ORD-2025-0106</t>
  </si>
  <si>
    <t>ORD-2025-0107</t>
  </si>
  <si>
    <t>ORD-2025-0108</t>
  </si>
  <si>
    <t>ORD-2025-0109</t>
  </si>
  <si>
    <t>home appliances</t>
  </si>
  <si>
    <t>ORD-2025-0110</t>
  </si>
  <si>
    <t>ORD-2025-0111</t>
  </si>
  <si>
    <t>ORD-2025-0112</t>
  </si>
  <si>
    <t>ORD-2025-0113</t>
  </si>
  <si>
    <t>ORD-2025-0114</t>
  </si>
  <si>
    <t>ORD-2025-0115</t>
  </si>
  <si>
    <t>ORD-2025-0116</t>
  </si>
  <si>
    <t>ORD-2025-0117</t>
  </si>
  <si>
    <t>ORD-2025-0118</t>
  </si>
  <si>
    <t>ORD-2025-0119</t>
  </si>
  <si>
    <t>ORD-2025-0120</t>
  </si>
  <si>
    <t>ORD-2025-0121</t>
  </si>
  <si>
    <t>ORD-2025-0122</t>
  </si>
  <si>
    <t>ORD-2025-0123</t>
  </si>
  <si>
    <t>ORD-2025-0124</t>
  </si>
  <si>
    <t>ORD-2025-0125</t>
  </si>
  <si>
    <t>08/06/2025</t>
  </si>
  <si>
    <t>ORD-2025-0126</t>
  </si>
  <si>
    <t>ORD-2025-0127</t>
  </si>
  <si>
    <t>ORD-2025-0128</t>
  </si>
  <si>
    <t>ORD-2025-0129</t>
  </si>
  <si>
    <t>ORD-2025-0130</t>
  </si>
  <si>
    <t>ORD-2025-0131</t>
  </si>
  <si>
    <t>ORD-2025-0132</t>
  </si>
  <si>
    <t>ORD-2025-0133</t>
  </si>
  <si>
    <t>05-Nov-2025</t>
  </si>
  <si>
    <t>ORD-2025-0134</t>
  </si>
  <si>
    <t>ORD-2025-0135</t>
  </si>
  <si>
    <t>ORD-2025-0136</t>
  </si>
  <si>
    <t>ORD-2025-0137</t>
  </si>
  <si>
    <t>ORD-2025-0138</t>
  </si>
  <si>
    <t>ORD-2025-0139</t>
  </si>
  <si>
    <t>ORD-2025-0140</t>
  </si>
  <si>
    <t>ORD-2025-0141</t>
  </si>
  <si>
    <t>ORD-2025-0142</t>
  </si>
  <si>
    <t>ORD-2025-0143</t>
  </si>
  <si>
    <t>ORD-2025-0144</t>
  </si>
  <si>
    <t>ORD-2025-0145</t>
  </si>
  <si>
    <t>ORD-2025-0146</t>
  </si>
  <si>
    <t>ORD-2025-0147</t>
  </si>
  <si>
    <t>ORD-2025-0148</t>
  </si>
  <si>
    <t>ORD-2025-0149</t>
  </si>
  <si>
    <t>ORD-2025-0150</t>
  </si>
  <si>
    <t>ORD-2025-0151</t>
  </si>
  <si>
    <t>ORD-2025-0152</t>
  </si>
  <si>
    <t>ORD-2025-0153</t>
  </si>
  <si>
    <t>ORD-2025-0154</t>
  </si>
  <si>
    <t>ORD-2025-0155</t>
  </si>
  <si>
    <t>ORD-2025-0156</t>
  </si>
  <si>
    <t>ORD-2025-0157</t>
  </si>
  <si>
    <t>BANK TRANSFER</t>
  </si>
  <si>
    <t>ORD-2025-0158</t>
  </si>
  <si>
    <t>ORD-2025-0159</t>
  </si>
  <si>
    <t>ORD-2025-0160</t>
  </si>
  <si>
    <t>ORD-2025-0161</t>
  </si>
  <si>
    <t>ORD-2025-0162</t>
  </si>
  <si>
    <t>ORD-2025-0163</t>
  </si>
  <si>
    <t>ORD-2025-0164</t>
  </si>
  <si>
    <t>ORD-2025-0165</t>
  </si>
  <si>
    <t>ORD-2025-0166</t>
  </si>
  <si>
    <t>ORD-2025-0167</t>
  </si>
  <si>
    <t>AYESHA NOOR</t>
  </si>
  <si>
    <t>ORD-2025-0168</t>
  </si>
  <si>
    <t>ORD-2025-0169</t>
  </si>
  <si>
    <t>ORD-2025-0170</t>
  </si>
  <si>
    <t>ORD-2025-0171</t>
  </si>
  <si>
    <t>ORD-2025-0172</t>
  </si>
  <si>
    <t>zara iqbal</t>
  </si>
  <si>
    <t>ORD-2025-0173</t>
  </si>
  <si>
    <t>ORD-2025-0174</t>
  </si>
  <si>
    <t>ORD-2025-0175</t>
  </si>
  <si>
    <t>ORD-2025-0176</t>
  </si>
  <si>
    <t>ORD-2025-0177</t>
  </si>
  <si>
    <t>ORD-2025-0178</t>
  </si>
  <si>
    <t>ORD-2025-0179</t>
  </si>
  <si>
    <t>ORD-2025-0180</t>
  </si>
  <si>
    <t>ORD-2025-0181</t>
  </si>
  <si>
    <t>ORD-2025-0182</t>
  </si>
  <si>
    <t>ORD-2025-0183</t>
  </si>
  <si>
    <t>ORD-2025-0184</t>
  </si>
  <si>
    <t>ORD-2025-0185</t>
  </si>
  <si>
    <t>ORD-2025-0186</t>
  </si>
  <si>
    <t>ORD-2025-0187</t>
  </si>
  <si>
    <t>ORD-2025-0188</t>
  </si>
  <si>
    <t>ORD-2025-0189</t>
  </si>
  <si>
    <t>ORD-2025-0190</t>
  </si>
  <si>
    <t>ORD-2025-0191</t>
  </si>
  <si>
    <t>ORD-2025-0192</t>
  </si>
  <si>
    <t>ORD-2025-0193</t>
  </si>
  <si>
    <t>ORD-2025-0194</t>
  </si>
  <si>
    <t>ORD-2025-0195</t>
  </si>
  <si>
    <t>ORD-2025-0196</t>
  </si>
  <si>
    <t>ORD-2025-0197</t>
  </si>
  <si>
    <t>ORD-2025-0198</t>
  </si>
  <si>
    <t>ORD-2025-0199</t>
  </si>
  <si>
    <t>ORD-2025-0200</t>
  </si>
  <si>
    <t>ORD-2025-0201</t>
  </si>
  <si>
    <t>ORD-2025-0202</t>
  </si>
  <si>
    <t>ORD-2025-0203</t>
  </si>
  <si>
    <t>ORD-2025-0204</t>
  </si>
  <si>
    <t>ORD-2025-0205</t>
  </si>
  <si>
    <t>ORD-2025-0206</t>
  </si>
  <si>
    <t>ORD-2025-0207</t>
  </si>
  <si>
    <t>ORD-2025-0208</t>
  </si>
  <si>
    <t>ORD-2025-0209</t>
  </si>
  <si>
    <t>ORD-2025-0210</t>
  </si>
  <si>
    <t>ORD-2025-0211</t>
  </si>
  <si>
    <t>ORD-2025-0212</t>
  </si>
  <si>
    <t>ORD-2025-0213</t>
  </si>
  <si>
    <t>ORD-2025-0214</t>
  </si>
  <si>
    <t>ORD-2025-0215</t>
  </si>
  <si>
    <t>ORD-2025-0216</t>
  </si>
  <si>
    <t>ORD-2025-0217</t>
  </si>
  <si>
    <t>ORD-2025-0218</t>
  </si>
  <si>
    <t>ORD-2025-0219</t>
  </si>
  <si>
    <t>ORD-2025-0220</t>
  </si>
  <si>
    <t>ORD-2025-0221</t>
  </si>
  <si>
    <t>ORD-2025-0222</t>
  </si>
  <si>
    <t>ORD-2025-0223</t>
  </si>
  <si>
    <t>NORTH</t>
  </si>
  <si>
    <t>ORD-2025-0224</t>
  </si>
  <si>
    <t>ORD-2025-0225</t>
  </si>
  <si>
    <t>ORD-2025-0226</t>
  </si>
  <si>
    <t>ORD-2025-0227</t>
  </si>
  <si>
    <t>ORD-2025-0228</t>
  </si>
  <si>
    <t>ORD-2025-0229</t>
  </si>
  <si>
    <t>ORD-2025-0230</t>
  </si>
  <si>
    <t>ORD-2025-0231</t>
  </si>
  <si>
    <t>ORD-2025-0232</t>
  </si>
  <si>
    <t>ORD-2025-0233</t>
  </si>
  <si>
    <t>ORD-2025-0234</t>
  </si>
  <si>
    <t>ORD-2025-0235</t>
  </si>
  <si>
    <t>ORD-2025-0236</t>
  </si>
  <si>
    <t>ORD-2025-0237</t>
  </si>
  <si>
    <t>OFFICE SUPPLIES</t>
  </si>
  <si>
    <t>ORD-2025-0238</t>
  </si>
  <si>
    <t>ORD-2025-0239</t>
  </si>
  <si>
    <t>ORD-2025-0240</t>
  </si>
  <si>
    <t>ORD-2025-0241</t>
  </si>
  <si>
    <t>ORD-2025-0242</t>
  </si>
  <si>
    <t>ORD-2025-0243</t>
  </si>
  <si>
    <t>ORD-2025-0244</t>
  </si>
  <si>
    <t>ORD-2025-0245</t>
  </si>
  <si>
    <t>ORD-2025-0246</t>
  </si>
  <si>
    <t>ORD-2025-0247</t>
  </si>
  <si>
    <t>ORD-2025-0248</t>
  </si>
  <si>
    <t>ORD-2025-0249</t>
  </si>
  <si>
    <t>ORD-2025-0250</t>
  </si>
  <si>
    <t>ORD-2025-0251</t>
  </si>
  <si>
    <t>04/04/2025</t>
  </si>
  <si>
    <t>ORD-2025-0252</t>
  </si>
  <si>
    <t>ORD-2025-0253</t>
  </si>
  <si>
    <t>ORD-2025-0254</t>
  </si>
  <si>
    <t>ORD-2025-0255</t>
  </si>
  <si>
    <t>28/03/2025</t>
  </si>
  <si>
    <t>ORD-2025-0256</t>
  </si>
  <si>
    <t>ORD-2025-0257</t>
  </si>
  <si>
    <t>ORD-2025-0258</t>
  </si>
  <si>
    <t>2025-01-31</t>
  </si>
  <si>
    <t>ORD-2025-0259</t>
  </si>
  <si>
    <t>office supplies</t>
  </si>
  <si>
    <t>ORD-2025-0260</t>
  </si>
  <si>
    <t>ORD-2025-0261</t>
  </si>
  <si>
    <t>ORD-2025-0262</t>
  </si>
  <si>
    <t>ORD-2025-0263</t>
  </si>
  <si>
    <t>ORD-2025-0264</t>
  </si>
  <si>
    <t>ORD-2025-0265</t>
  </si>
  <si>
    <t>ORD-2025-0266</t>
  </si>
  <si>
    <t>ORD-2025-0267</t>
  </si>
  <si>
    <t>ORD-2025-0268</t>
  </si>
  <si>
    <t>ORD-2025-0269</t>
  </si>
  <si>
    <t>ORD-2025-0270</t>
  </si>
  <si>
    <t>ORD-2025-0271</t>
  </si>
  <si>
    <t>ORD-2025-0272</t>
  </si>
  <si>
    <t>ORD-2025-0273</t>
  </si>
  <si>
    <t>ORD-2025-0274</t>
  </si>
  <si>
    <t>ORD-2025-0275</t>
  </si>
  <si>
    <t>ORD-2025-0276</t>
  </si>
  <si>
    <t>ORD-2025-0277</t>
  </si>
  <si>
    <t>electronics</t>
  </si>
  <si>
    <t>ORD-2025-0278</t>
  </si>
  <si>
    <t>ORD-2025-0279</t>
  </si>
  <si>
    <t>ORD-2025-0280</t>
  </si>
  <si>
    <t>ORD-2025-0281</t>
  </si>
  <si>
    <t>ORD-2025-0282</t>
  </si>
  <si>
    <t>ORD-2025-0283</t>
  </si>
  <si>
    <t>ORD-2025-0284</t>
  </si>
  <si>
    <t>ORD-2025-0285</t>
  </si>
  <si>
    <t>ORD-2025-0286</t>
  </si>
  <si>
    <t>ORD-2025-0287</t>
  </si>
  <si>
    <t>ORD-2025-0288</t>
  </si>
  <si>
    <t>ORD-2025-0289</t>
  </si>
  <si>
    <t>ORD-2025-0290</t>
  </si>
  <si>
    <t>ORD-2025-0291</t>
  </si>
  <si>
    <t>ORD-2025-0292</t>
  </si>
  <si>
    <t>ORD-2025-0293</t>
  </si>
  <si>
    <t>ORD-2025-0294</t>
  </si>
  <si>
    <t>ORD-2025-0295</t>
  </si>
  <si>
    <t>ORD-2025-0296</t>
  </si>
  <si>
    <t>ORD-2025-0297</t>
  </si>
  <si>
    <t>ORD-2025-0298</t>
  </si>
  <si>
    <t>ORD-2025-0299</t>
  </si>
  <si>
    <t>ORD-2025-0300</t>
  </si>
  <si>
    <t>ORD-2025-0301</t>
  </si>
  <si>
    <t>ORD-2025-0302</t>
  </si>
  <si>
    <t>ORD-2025-0303</t>
  </si>
  <si>
    <t>ORD-2025-0304</t>
  </si>
  <si>
    <t>ORD-2025-0305</t>
  </si>
  <si>
    <t>ORD-2025-0306</t>
  </si>
  <si>
    <t>ORD-2025-0307</t>
  </si>
  <si>
    <t>ORD-2025-0308</t>
  </si>
  <si>
    <t>ORD-2025-0309</t>
  </si>
  <si>
    <t>DIGITAL WALLET</t>
  </si>
  <si>
    <t>ORD-2025-0310</t>
  </si>
  <si>
    <t>ORD-2025-0311</t>
  </si>
  <si>
    <t>ORD-2025-0312</t>
  </si>
  <si>
    <t>ORD-2025-0313</t>
  </si>
  <si>
    <t>ORD-2025-0314</t>
  </si>
  <si>
    <t>ORD-2025-0315</t>
  </si>
  <si>
    <t>ORD-2025-0316</t>
  </si>
  <si>
    <t>SOUTH</t>
  </si>
  <si>
    <t>ORD-2025-0317</t>
  </si>
  <si>
    <t>ORD-2025-0318</t>
  </si>
  <si>
    <t>ORD-2025-0319</t>
  </si>
  <si>
    <t>ORD-2025-0320</t>
  </si>
  <si>
    <t>ORD-2025-0321</t>
  </si>
  <si>
    <t>ORD-2025-0322</t>
  </si>
  <si>
    <t>ORD-2025-0323</t>
  </si>
  <si>
    <t>ORD-2025-0324</t>
  </si>
  <si>
    <t>ORD-2025-0325</t>
  </si>
  <si>
    <t>ORD-2025-0326</t>
  </si>
  <si>
    <t>ORD-2025-0327</t>
  </si>
  <si>
    <t>ORD-2025-0328</t>
  </si>
  <si>
    <t>ORD-2025-0329</t>
  </si>
  <si>
    <t>ORD-2025-0330</t>
  </si>
  <si>
    <t>ORD-2025-0331</t>
  </si>
  <si>
    <t>ORD-2025-0332</t>
  </si>
  <si>
    <t>ORD-2025-0333</t>
  </si>
  <si>
    <t>ORD-2025-0334</t>
  </si>
  <si>
    <t>ORD-2025-0335</t>
  </si>
  <si>
    <t>ORD-2025-0336</t>
  </si>
  <si>
    <t>ORD-2025-0337</t>
  </si>
  <si>
    <t>ORD-2025-0338</t>
  </si>
  <si>
    <t>ORD-2025-0339</t>
  </si>
  <si>
    <t>ORD-2025-0340</t>
  </si>
  <si>
    <t>ORD-2025-0341</t>
  </si>
  <si>
    <t>CENTRAL</t>
  </si>
  <si>
    <t>ORD-2025-0342</t>
  </si>
  <si>
    <t>ORD-2025-0343</t>
  </si>
  <si>
    <t>ORD-2025-0344</t>
  </si>
  <si>
    <t>ORD-2025-0345</t>
  </si>
  <si>
    <t>ORD-2025-0346</t>
  </si>
  <si>
    <t>ORD-2025-0347</t>
  </si>
  <si>
    <t>ORD-2025-0348</t>
  </si>
  <si>
    <t>ORD-2025-0349</t>
  </si>
  <si>
    <t>ORD-2025-0350</t>
  </si>
  <si>
    <t>ORD-2025-0351</t>
  </si>
  <si>
    <t>ORD-2025-0352</t>
  </si>
  <si>
    <t>ORD-2025-0353</t>
  </si>
  <si>
    <t>ORD-2025-0354</t>
  </si>
  <si>
    <t>ORD-2025-0355</t>
  </si>
  <si>
    <t>ORD-2025-0356</t>
  </si>
  <si>
    <t>ORD-2025-0357</t>
  </si>
  <si>
    <t>ORD-2025-0358</t>
  </si>
  <si>
    <t>ORD-2025-0359</t>
  </si>
  <si>
    <t>ORD-2025-0360</t>
  </si>
  <si>
    <t>ORD-2025-0361</t>
  </si>
  <si>
    <t>ORD-2025-0362</t>
  </si>
  <si>
    <t>ORD-2025-0363</t>
  </si>
  <si>
    <t>ORD-2025-0364</t>
  </si>
  <si>
    <t>2025-08-18</t>
  </si>
  <si>
    <t>ORD-2025-0365</t>
  </si>
  <si>
    <t>ORD-2025-0366</t>
  </si>
  <si>
    <t>ORD-2025-0367</t>
  </si>
  <si>
    <t>ORD-2025-0368</t>
  </si>
  <si>
    <t>ORD-2025-0369</t>
  </si>
  <si>
    <t>ORD-2025-0370</t>
  </si>
  <si>
    <t>ORD-2025-0371</t>
  </si>
  <si>
    <t>ORD-2025-0372</t>
  </si>
  <si>
    <t>ORD-2025-0373</t>
  </si>
  <si>
    <t>ORD-2025-0374</t>
  </si>
  <si>
    <t>ORD-2025-0375</t>
  </si>
  <si>
    <t>ORD-2025-0376</t>
  </si>
  <si>
    <t>ORD-2025-0377</t>
  </si>
  <si>
    <t>ORD-2025-0378</t>
  </si>
  <si>
    <t>ORD-2025-0379</t>
  </si>
  <si>
    <t>ORD-2025-0380</t>
  </si>
  <si>
    <t>ORD-2025-0381</t>
  </si>
  <si>
    <t>ORD-2025-0382</t>
  </si>
  <si>
    <t>ORD-2025-0383</t>
  </si>
  <si>
    <t>ORD-2025-0384</t>
  </si>
  <si>
    <t>ORD-2025-0385</t>
  </si>
  <si>
    <t>ORD-2025-0386</t>
  </si>
  <si>
    <t>ORD-2025-0387</t>
  </si>
  <si>
    <t>ORD-2025-0388</t>
  </si>
  <si>
    <t>ORD-2025-0389</t>
  </si>
  <si>
    <t>ORD-2025-0390</t>
  </si>
  <si>
    <t>ORD-2025-0391</t>
  </si>
  <si>
    <t>ORD-2025-0392</t>
  </si>
  <si>
    <t>ORD-2025-0393</t>
  </si>
  <si>
    <t>ORD-2025-0394</t>
  </si>
  <si>
    <t>ORD-2025-0395</t>
  </si>
  <si>
    <t>ORD-2025-0396</t>
  </si>
  <si>
    <t>ORD-2025-0397</t>
  </si>
  <si>
    <t>ORD-2025-0398</t>
  </si>
  <si>
    <t>07-Nov-2025</t>
  </si>
  <si>
    <t>ORD-2025-0399</t>
  </si>
  <si>
    <t>ORD-2025-0400</t>
  </si>
  <si>
    <t>ORD-2025-0401</t>
  </si>
  <si>
    <t>ORD-2025-0402</t>
  </si>
  <si>
    <t>ORD-2025-0403</t>
  </si>
  <si>
    <t>ORD-2025-0404</t>
  </si>
  <si>
    <t>ORD-2025-0405</t>
  </si>
  <si>
    <t>ORD-2025-0406</t>
  </si>
  <si>
    <t>ORD-2025-0407</t>
  </si>
  <si>
    <t>ORD-2025-0408</t>
  </si>
  <si>
    <t>ORD-2025-0409</t>
  </si>
  <si>
    <t>ORD-2025-0410</t>
  </si>
  <si>
    <t>ORD-2025-0411</t>
  </si>
  <si>
    <t>ORD-2025-0412</t>
  </si>
  <si>
    <t>ORD-2025-0413</t>
  </si>
  <si>
    <t>ORD-2025-0414</t>
  </si>
  <si>
    <t>ORD-2025-0415</t>
  </si>
  <si>
    <t>ORD-2025-0416</t>
  </si>
  <si>
    <t>ORD-2025-0417</t>
  </si>
  <si>
    <t>ORD-2025-0418</t>
  </si>
  <si>
    <t>ORD-2025-0419</t>
  </si>
  <si>
    <t>ORD-2025-0420</t>
  </si>
  <si>
    <t>ORD-2025-0421</t>
  </si>
  <si>
    <t>ORD-2025-0422</t>
  </si>
  <si>
    <t>ORD-2025-0423</t>
  </si>
  <si>
    <t>ORD-2025-0424</t>
  </si>
  <si>
    <t>ORD-2025-0425</t>
  </si>
  <si>
    <t>ORD-2025-0426</t>
  </si>
  <si>
    <t>ORD-2025-0427</t>
  </si>
  <si>
    <t>ORD-2025-0428</t>
  </si>
  <si>
    <t>ORD-2025-0429</t>
  </si>
  <si>
    <t>ORD-2025-0430</t>
  </si>
  <si>
    <t>ORD-2025-0431</t>
  </si>
  <si>
    <t>ORD-2025-0432</t>
  </si>
  <si>
    <t>ORD-2025-0433</t>
  </si>
  <si>
    <t>ORD-2025-0434</t>
  </si>
  <si>
    <t>ORD-2025-0435</t>
  </si>
  <si>
    <t>ORD-2025-0436</t>
  </si>
  <si>
    <t>ORD-2025-0437</t>
  </si>
  <si>
    <t>ORD-2025-0438</t>
  </si>
  <si>
    <t>ORD-2025-0439</t>
  </si>
  <si>
    <t>ORD-2025-0440</t>
  </si>
  <si>
    <t>ORD-2025-0441</t>
  </si>
  <si>
    <t>ORD-2025-0442</t>
  </si>
  <si>
    <t>ORD-2025-0443</t>
  </si>
  <si>
    <t>ORD-2025-0444</t>
  </si>
  <si>
    <t>ORD-2025-0445</t>
  </si>
  <si>
    <t>ORD-2025-0446</t>
  </si>
  <si>
    <t>ORD-2025-0447</t>
  </si>
  <si>
    <t>ORD-2025-0448</t>
  </si>
  <si>
    <t>ORD-2025-0449</t>
  </si>
  <si>
    <t>ORD-2025-0450</t>
  </si>
  <si>
    <t>ORD-2025-0451</t>
  </si>
  <si>
    <t>ORD-2025-0452</t>
  </si>
  <si>
    <t>ORD-2025-0453</t>
  </si>
  <si>
    <t>ORD-2025-0454</t>
  </si>
  <si>
    <t>ORD-2025-0455</t>
  </si>
  <si>
    <t>ORD-2025-0456</t>
  </si>
  <si>
    <t>ORD-2025-0457</t>
  </si>
  <si>
    <t>ORD-2025-0458</t>
  </si>
  <si>
    <t>ORD-2025-0459</t>
  </si>
  <si>
    <t>ORD-2025-0460</t>
  </si>
  <si>
    <t>ORD-2025-0461</t>
  </si>
  <si>
    <t>ORD-2025-0462</t>
  </si>
  <si>
    <t>ORD-2025-0463</t>
  </si>
  <si>
    <t>ORD-2025-0464</t>
  </si>
  <si>
    <t>ORD-2025-0465</t>
  </si>
  <si>
    <t>ORD-2025-0466</t>
  </si>
  <si>
    <t>ORD-2025-0467</t>
  </si>
  <si>
    <t>ORD-2025-0468</t>
  </si>
  <si>
    <t>ORD-2025-0469</t>
  </si>
  <si>
    <t>ORD-2025-0470</t>
  </si>
  <si>
    <t>ORD-2025-0471</t>
  </si>
  <si>
    <t>ORD-2025-0472</t>
  </si>
  <si>
    <t>ORD-2025-0473</t>
  </si>
  <si>
    <t>ORD-2025-0474</t>
  </si>
  <si>
    <t>ORD-2025-0475</t>
  </si>
  <si>
    <t>ORD-2025-0476</t>
  </si>
  <si>
    <t>ORD-2025-0477</t>
  </si>
  <si>
    <t>ORD-2025-0478</t>
  </si>
  <si>
    <t>ORD-2025-0479</t>
  </si>
  <si>
    <t>ORD-2025-0480</t>
  </si>
  <si>
    <t>ORD-2025-0481</t>
  </si>
  <si>
    <t>ORD-2025-0482</t>
  </si>
  <si>
    <t>ORD-2025-0483</t>
  </si>
  <si>
    <t>ORD-2025-0484</t>
  </si>
  <si>
    <t>ORD-2025-0485</t>
  </si>
  <si>
    <t>ORD-2025-0486</t>
  </si>
  <si>
    <t>ORD-2025-0487</t>
  </si>
  <si>
    <t>ORD-2025-0488</t>
  </si>
  <si>
    <t>ORD-2025-0489</t>
  </si>
  <si>
    <t>ORD-2025-0490</t>
  </si>
  <si>
    <t>ORD-2025-0491</t>
  </si>
  <si>
    <t>ORD-2025-0492</t>
  </si>
  <si>
    <t>ORD-2025-0493</t>
  </si>
  <si>
    <t>ORD-2025-0494</t>
  </si>
  <si>
    <t>ORD-2025-0495</t>
  </si>
  <si>
    <t>ORD-2025-0496</t>
  </si>
  <si>
    <t>ORD-2025-0497</t>
  </si>
  <si>
    <t>ORD-2025-0498</t>
  </si>
  <si>
    <t>ORD-2025-0499</t>
  </si>
  <si>
    <t>ORD-2025-0500</t>
  </si>
  <si>
    <t>ORD-2025-0501</t>
  </si>
  <si>
    <t>ORD-2025-0502</t>
  </si>
  <si>
    <t>ORD-2025-0503</t>
  </si>
  <si>
    <t>ORD-2025-0504</t>
  </si>
  <si>
    <t>ORD-2025-0505</t>
  </si>
  <si>
    <t>ORD-2025-0506</t>
  </si>
  <si>
    <t>ORD-2025-0507</t>
  </si>
  <si>
    <t>ORD-2025-0508</t>
  </si>
  <si>
    <t>ORD-2025-0509</t>
  </si>
  <si>
    <t>ORD-2025-0510</t>
  </si>
  <si>
    <t>06-May-2025</t>
  </si>
  <si>
    <t>ORD-2025-0511</t>
  </si>
  <si>
    <t>ORD-2025-0512</t>
  </si>
  <si>
    <t>ORD-2025-0513</t>
  </si>
  <si>
    <t>ORD-2025-0514</t>
  </si>
  <si>
    <t>ORD-2025-0515</t>
  </si>
  <si>
    <t>ORD-2025-0516</t>
  </si>
  <si>
    <t>ORD-2025-0517</t>
  </si>
  <si>
    <t>ORD-2025-0518</t>
  </si>
  <si>
    <t>2025-05-11</t>
  </si>
  <si>
    <t>ORD-2025-0519</t>
  </si>
  <si>
    <t>ORD-2025-0520</t>
  </si>
  <si>
    <t>ORD-2025-0521</t>
  </si>
  <si>
    <t>ORD-2025-0522</t>
  </si>
  <si>
    <t>ORD-2025-0523</t>
  </si>
  <si>
    <t>ORD-2025-0524</t>
  </si>
  <si>
    <t>ORD-2025-0525</t>
  </si>
  <si>
    <t>ORD-2025-0526</t>
  </si>
  <si>
    <t>ORD-2025-0527</t>
  </si>
  <si>
    <t>ORD-2025-0528</t>
  </si>
  <si>
    <t>ORD-2025-0529</t>
  </si>
  <si>
    <t>ORD-2025-0530</t>
  </si>
  <si>
    <t>04-Oct-2025</t>
  </si>
  <si>
    <t>ORD-2025-0531</t>
  </si>
  <si>
    <t>ORD-2025-0532</t>
  </si>
  <si>
    <t>ORD-2025-0533</t>
  </si>
  <si>
    <t>ORD-2025-0534</t>
  </si>
  <si>
    <t>ORD-2025-0535</t>
  </si>
  <si>
    <t>ORD-2025-0536</t>
  </si>
  <si>
    <t>04-Sep-2025</t>
  </si>
  <si>
    <t>ORD-2025-0537</t>
  </si>
  <si>
    <t>ORD-2025-0538</t>
  </si>
  <si>
    <t>ORD-2025-0539</t>
  </si>
  <si>
    <t>ORD-2025-0540</t>
  </si>
  <si>
    <t>ORD-2025-0541</t>
  </si>
  <si>
    <t>ORD-2025-0542</t>
  </si>
  <si>
    <t>ORD-2025-0543</t>
  </si>
  <si>
    <t>ORD-2025-0544</t>
  </si>
  <si>
    <t>ORD-2025-0545</t>
  </si>
  <si>
    <t>ORD-2025-0546</t>
  </si>
  <si>
    <t>ORD-2025-0547</t>
  </si>
  <si>
    <t>ORD-2025-0548</t>
  </si>
  <si>
    <t>ORD-2025-0549</t>
  </si>
  <si>
    <t>29-Aug-2025</t>
  </si>
  <si>
    <t>ORD-2025-0550</t>
  </si>
  <si>
    <t>ORD-2025-0551</t>
  </si>
  <si>
    <t>ORD-2025-0552</t>
  </si>
  <si>
    <t>ORD-2025-0553</t>
  </si>
  <si>
    <t>ORD-2025-0554</t>
  </si>
  <si>
    <t>ORD-2025-0555</t>
  </si>
  <si>
    <t>ORD-2025-0556</t>
  </si>
  <si>
    <t>ORD-2025-0557</t>
  </si>
  <si>
    <t>ORD-2025-0558</t>
  </si>
  <si>
    <t>ORD-2025-0559</t>
  </si>
  <si>
    <t>ORD-2025-0560</t>
  </si>
  <si>
    <t>ORD-2025-0561</t>
  </si>
  <si>
    <t>ORD-2025-0562</t>
  </si>
  <si>
    <t>ORD-2025-0563</t>
  </si>
  <si>
    <t>ORD-2025-0564</t>
  </si>
  <si>
    <t>ORD-2025-0565</t>
  </si>
  <si>
    <t>ORD-2025-0566</t>
  </si>
  <si>
    <t>ORD-2025-0567</t>
  </si>
  <si>
    <t>ORD-2025-0568</t>
  </si>
  <si>
    <t>ORD-2025-0569</t>
  </si>
  <si>
    <t>ORD-2025-0570</t>
  </si>
  <si>
    <t>ORD-2025-0571</t>
  </si>
  <si>
    <t>ORD-2025-0572</t>
  </si>
  <si>
    <t>ORD-2025-0573</t>
  </si>
  <si>
    <t>ORD-2025-0574</t>
  </si>
  <si>
    <t>ORD-2025-0575</t>
  </si>
  <si>
    <t>ORD-2025-0576</t>
  </si>
  <si>
    <t>ORD-2025-0577</t>
  </si>
  <si>
    <t>ORD-2025-0578</t>
  </si>
  <si>
    <t>ORD-2025-0579</t>
  </si>
  <si>
    <t>ORD-2025-0580</t>
  </si>
  <si>
    <t>ORD-2025-0581</t>
  </si>
  <si>
    <t>ORD-2025-0582</t>
  </si>
  <si>
    <t>ORD-2025-0583</t>
  </si>
  <si>
    <t>ORD-2025-0584</t>
  </si>
  <si>
    <t>ORD-2025-0585</t>
  </si>
  <si>
    <t>ORD-2025-0586</t>
  </si>
  <si>
    <t>ORD-2025-0587</t>
  </si>
  <si>
    <t>ORD-2025-0588</t>
  </si>
  <si>
    <t>ORD-2025-0589</t>
  </si>
  <si>
    <t>ORD-2025-0590</t>
  </si>
  <si>
    <t>ORD-2025-0591</t>
  </si>
  <si>
    <t>ORD-2025-0592</t>
  </si>
  <si>
    <t>ORD-2025-0593</t>
  </si>
  <si>
    <t>ORD-2025-0594</t>
  </si>
  <si>
    <t>ORD-2025-0595</t>
  </si>
  <si>
    <t>ORD-2025-0596</t>
  </si>
  <si>
    <t>ORD-2025-0597</t>
  </si>
  <si>
    <t>ORD-2025-0598</t>
  </si>
  <si>
    <t>ORD-2025-0599</t>
  </si>
  <si>
    <t>ORD-2025-0600</t>
  </si>
  <si>
    <t>ORD-2025-0601</t>
  </si>
  <si>
    <t>ORD-2025-0602</t>
  </si>
  <si>
    <t>ORD-2025-0603</t>
  </si>
  <si>
    <t>ORD-2025-0604</t>
  </si>
  <si>
    <t>ORD-2025-0605</t>
  </si>
  <si>
    <t>ORD-2025-0606</t>
  </si>
  <si>
    <t>ORD-2025-0607</t>
  </si>
  <si>
    <t>ORD-2025-0608</t>
  </si>
  <si>
    <t>ORD-2025-0609</t>
  </si>
  <si>
    <t>ORD-2025-0610</t>
  </si>
  <si>
    <t>ORD-2025-0611</t>
  </si>
  <si>
    <t>ORD-2025-0612</t>
  </si>
  <si>
    <t>ORD-2025-0613</t>
  </si>
  <si>
    <t>ORD-2025-0614</t>
  </si>
  <si>
    <t>ORD-2025-0615</t>
  </si>
  <si>
    <t>ORD-2025-0616</t>
  </si>
  <si>
    <t>ORD-2025-0617</t>
  </si>
  <si>
    <t>ORD-2025-0618</t>
  </si>
  <si>
    <t>ORD-2025-0619</t>
  </si>
  <si>
    <t>ORD-2025-0620</t>
  </si>
  <si>
    <t>ORD-2025-0621</t>
  </si>
  <si>
    <t>ORD-2025-0622</t>
  </si>
  <si>
    <t>ORD-2025-0623</t>
  </si>
  <si>
    <t>ORD-2025-0624</t>
  </si>
  <si>
    <t>ORD-2025-0625</t>
  </si>
  <si>
    <t>ORD-2025-0626</t>
  </si>
  <si>
    <t>ORD-2025-0627</t>
  </si>
  <si>
    <t>ORD-2025-0628</t>
  </si>
  <si>
    <t>ORD-2025-0629</t>
  </si>
  <si>
    <t>ORD-2025-0630</t>
  </si>
  <si>
    <t>ORD-2025-0631</t>
  </si>
  <si>
    <t>ORD-2025-0632</t>
  </si>
  <si>
    <t>ORD-2025-0633</t>
  </si>
  <si>
    <t>ORD-2025-0634</t>
  </si>
  <si>
    <t>ORD-2025-0635</t>
  </si>
  <si>
    <t>ORD-2025-0636</t>
  </si>
  <si>
    <t>ORD-2025-0637</t>
  </si>
  <si>
    <t>ORD-2025-0638</t>
  </si>
  <si>
    <t>ORD-2025-0639</t>
  </si>
  <si>
    <t>ORD-2025-0640</t>
  </si>
  <si>
    <t>ORD-2025-0641</t>
  </si>
  <si>
    <t>ORD-2025-0642</t>
  </si>
  <si>
    <t>ORD-2025-0643</t>
  </si>
  <si>
    <t>ORD-2025-0644</t>
  </si>
  <si>
    <t>ORD-2025-0645</t>
  </si>
  <si>
    <t>ORD-2025-0646</t>
  </si>
  <si>
    <t>ORD-2025-0647</t>
  </si>
  <si>
    <t>ORD-2025-0648</t>
  </si>
  <si>
    <t>ORD-2025-0649</t>
  </si>
  <si>
    <t>ORD-2025-0650</t>
  </si>
  <si>
    <t>ORD-2025-0651</t>
  </si>
  <si>
    <t>ORD-2025-0652</t>
  </si>
  <si>
    <t>ORD-2025-0653</t>
  </si>
  <si>
    <t>ORD-2025-0654</t>
  </si>
  <si>
    <t>ORD-2025-0655</t>
  </si>
  <si>
    <t>ORD-2025-0656</t>
  </si>
  <si>
    <t>ORD-2025-0657</t>
  </si>
  <si>
    <t>ORD-2025-0658</t>
  </si>
  <si>
    <t>ORD-2025-0659</t>
  </si>
  <si>
    <t>ORD-2025-0660</t>
  </si>
  <si>
    <t>ORD-2025-0661</t>
  </si>
  <si>
    <t>fatima raza</t>
  </si>
  <si>
    <t>ORD-2025-0662</t>
  </si>
  <si>
    <t>ORD-2025-0663</t>
  </si>
  <si>
    <t>ORD-2025-0664</t>
  </si>
  <si>
    <t>ORD-2025-0665</t>
  </si>
  <si>
    <t>ORD-2025-0666</t>
  </si>
  <si>
    <t>ORD-2025-0667</t>
  </si>
  <si>
    <t>ORD-2025-0668</t>
  </si>
  <si>
    <t>ORD-2025-0669</t>
  </si>
  <si>
    <t>ORD-2025-0670</t>
  </si>
  <si>
    <t>ORD-2025-0671</t>
  </si>
  <si>
    <t>ORD-2025-0672</t>
  </si>
  <si>
    <t>ORD-2025-0673</t>
  </si>
  <si>
    <t>ORD-2025-0674</t>
  </si>
  <si>
    <t>ORD-2025-0675</t>
  </si>
  <si>
    <t>ORD-2025-0676</t>
  </si>
  <si>
    <t>ORD-2025-0677</t>
  </si>
  <si>
    <t>ORD-2025-0678</t>
  </si>
  <si>
    <t>ORD-2025-0679</t>
  </si>
  <si>
    <t>ORD-2025-0680</t>
  </si>
  <si>
    <t>ORD-2025-0681</t>
  </si>
  <si>
    <t>ORD-2025-0682</t>
  </si>
  <si>
    <t>ORD-2025-0683</t>
  </si>
  <si>
    <t>ORD-2025-0684</t>
  </si>
  <si>
    <t>ORD-2025-0685</t>
  </si>
  <si>
    <t>ORD-2025-0686</t>
  </si>
  <si>
    <t>ORD-2025-0687</t>
  </si>
  <si>
    <t>ORD-2025-0688</t>
  </si>
  <si>
    <t>ORD-2025-0689</t>
  </si>
  <si>
    <t>ORD-2025-0690</t>
  </si>
  <si>
    <t>ORD-2025-0691</t>
  </si>
  <si>
    <t>ORD-2025-0692</t>
  </si>
  <si>
    <t>HAMZA SHAH</t>
  </si>
  <si>
    <t>ORD-2025-0693</t>
  </si>
  <si>
    <t>ORD-2025-0694</t>
  </si>
  <si>
    <t>ORD-2025-0695</t>
  </si>
  <si>
    <t>ORD-2025-0696</t>
  </si>
  <si>
    <t>ORD-2025-0697</t>
  </si>
  <si>
    <t>ORD-2025-0698</t>
  </si>
  <si>
    <t>ORD-2025-0699</t>
  </si>
  <si>
    <t>ORD-2025-0700</t>
  </si>
  <si>
    <t>ORD-2025-0701</t>
  </si>
  <si>
    <t>ORD-2025-0702</t>
  </si>
  <si>
    <t>ORD-2025-0703</t>
  </si>
  <si>
    <t>ORD-2025-0704</t>
  </si>
  <si>
    <t>ORD-2025-0705</t>
  </si>
  <si>
    <t>ORD-2025-0706</t>
  </si>
  <si>
    <t>ORD-2025-0707</t>
  </si>
  <si>
    <t>ORD-2025-0708</t>
  </si>
  <si>
    <t>ORD-2025-0709</t>
  </si>
  <si>
    <t>ORD-2025-0710</t>
  </si>
  <si>
    <t>ORD-2025-0711</t>
  </si>
  <si>
    <t>ORD-2025-0712</t>
  </si>
  <si>
    <t>ORD-2025-0713</t>
  </si>
  <si>
    <t>ORD-2025-0714</t>
  </si>
  <si>
    <t>ORD-2025-0715</t>
  </si>
  <si>
    <t>ORD-2025-0716</t>
  </si>
  <si>
    <t>ORD-2025-0717</t>
  </si>
  <si>
    <t>ORD-2025-0718</t>
  </si>
  <si>
    <t>ORD-2025-0719</t>
  </si>
  <si>
    <t>ORD-2025-0720</t>
  </si>
  <si>
    <t>ORD-2025-0721</t>
  </si>
  <si>
    <t>ORD-2025-0722</t>
  </si>
  <si>
    <t>ORD-2025-0723</t>
  </si>
  <si>
    <t>ORD-2025-0724</t>
  </si>
  <si>
    <t>ORD-2025-0725</t>
  </si>
  <si>
    <t>ORD-2025-0726</t>
  </si>
  <si>
    <t>ORD-2025-0727</t>
  </si>
  <si>
    <t>ORD-2025-0728</t>
  </si>
  <si>
    <t>ORD-2025-0729</t>
  </si>
  <si>
    <t>ORD-2025-0730</t>
  </si>
  <si>
    <t>ORD-2025-0731</t>
  </si>
  <si>
    <t>ORD-2025-0732</t>
  </si>
  <si>
    <t>ORD-2025-0733</t>
  </si>
  <si>
    <t>ORD-2025-0734</t>
  </si>
  <si>
    <t>ORD-2025-0735</t>
  </si>
  <si>
    <t>ORD-2025-0736</t>
  </si>
  <si>
    <t>ORD-2025-0737</t>
  </si>
  <si>
    <t>ORD-2025-0738</t>
  </si>
  <si>
    <t>ORD-2025-0739</t>
  </si>
  <si>
    <t>ORD-2025-0740</t>
  </si>
  <si>
    <t>ORD-2025-0741</t>
  </si>
  <si>
    <t>ORD-2025-0742</t>
  </si>
  <si>
    <t>ORD-2025-0743</t>
  </si>
  <si>
    <t>ORD-2025-0744</t>
  </si>
  <si>
    <t>ORD-2025-0745</t>
  </si>
  <si>
    <t>ORD-2025-0746</t>
  </si>
  <si>
    <t>ORD-2025-0747</t>
  </si>
  <si>
    <t>ORD-2025-0748</t>
  </si>
  <si>
    <t>ORD-2025-0749</t>
  </si>
  <si>
    <t>ORD-2025-0750</t>
  </si>
  <si>
    <t>ORD-2025-0751</t>
  </si>
  <si>
    <t>ORD-2025-0752</t>
  </si>
  <si>
    <t>ORD-2025-0753</t>
  </si>
  <si>
    <t>ORD-2025-0754</t>
  </si>
  <si>
    <t>ORD-2025-0755</t>
  </si>
  <si>
    <t>ORD-2025-0756</t>
  </si>
  <si>
    <t>ORD-2025-0757</t>
  </si>
  <si>
    <t>ORD-2025-0758</t>
  </si>
  <si>
    <t>ORD-2025-0759</t>
  </si>
  <si>
    <t>ORD-2025-0760</t>
  </si>
  <si>
    <t>ORD-2025-0761</t>
  </si>
  <si>
    <t>ORD-2025-0762</t>
  </si>
  <si>
    <t>ORD-2025-0763</t>
  </si>
  <si>
    <t>ORD-2025-0764</t>
  </si>
  <si>
    <t>ORD-2025-0765</t>
  </si>
  <si>
    <t>ORD-2025-0766</t>
  </si>
  <si>
    <t>ORD-2025-0767</t>
  </si>
  <si>
    <t>ORD-2025-0768</t>
  </si>
  <si>
    <t>ORD-2025-0769</t>
  </si>
  <si>
    <t>ORD-2025-0770</t>
  </si>
  <si>
    <t>ORD-2025-0771</t>
  </si>
  <si>
    <t>ORD-2025-0772</t>
  </si>
  <si>
    <t>ORD-2025-0773</t>
  </si>
  <si>
    <t>ORD-2025-0774</t>
  </si>
  <si>
    <t>ORD-2025-0775</t>
  </si>
  <si>
    <t>ORD-2025-0776</t>
  </si>
  <si>
    <t>ORD-2025-0777</t>
  </si>
  <si>
    <t>ORD-2025-0778</t>
  </si>
  <si>
    <t>ORD-2025-0779</t>
  </si>
  <si>
    <t>ORD-2025-0780</t>
  </si>
  <si>
    <t>ORD-2025-0781</t>
  </si>
  <si>
    <t>ORD-2025-0782</t>
  </si>
  <si>
    <t>ORD-2025-0783</t>
  </si>
  <si>
    <t>ORD-2025-0784</t>
  </si>
  <si>
    <t>ORD-2025-0785</t>
  </si>
  <si>
    <t>ORD-2025-0786</t>
  </si>
  <si>
    <t>ORD-2025-0787</t>
  </si>
  <si>
    <t>ORD-2025-0788</t>
  </si>
  <si>
    <t>ORD-2025-0789</t>
  </si>
  <si>
    <t>ORD-2025-0790</t>
  </si>
  <si>
    <t>ORD-2025-0791</t>
  </si>
  <si>
    <t>ORD-2025-0792</t>
  </si>
  <si>
    <t>ORD-2025-0793</t>
  </si>
  <si>
    <t>ORD-2025-0794</t>
  </si>
  <si>
    <t>ORD-2025-0795</t>
  </si>
  <si>
    <t>ORD-2025-0796</t>
  </si>
  <si>
    <t>ORD-2025-0797</t>
  </si>
  <si>
    <t>ORD-2025-0798</t>
  </si>
  <si>
    <t>ORD-2025-0799</t>
  </si>
  <si>
    <t>ORD-2025-0800</t>
  </si>
  <si>
    <t>ORD-2025-0801</t>
  </si>
  <si>
    <t>ORD-2025-0802</t>
  </si>
  <si>
    <t>ORD-2025-0803</t>
  </si>
  <si>
    <t>2025-04-09</t>
  </si>
  <si>
    <t>ORD-2025-0804</t>
  </si>
  <si>
    <t>ORD-2025-0805</t>
  </si>
  <si>
    <t>ORD-2025-0806</t>
  </si>
  <si>
    <t>ORD-2025-0807</t>
  </si>
  <si>
    <t>ORD-2025-0808</t>
  </si>
  <si>
    <t>ORD-2025-0809</t>
  </si>
  <si>
    <t>accessories</t>
  </si>
  <si>
    <t>ORD-2025-0810</t>
  </si>
  <si>
    <t>ORD-2025-0811</t>
  </si>
  <si>
    <t>ORD-2025-0812</t>
  </si>
  <si>
    <t>ORD-2025-0813</t>
  </si>
  <si>
    <t>ORD-2025-0814</t>
  </si>
  <si>
    <t>ORD-2025-0815</t>
  </si>
  <si>
    <t>ORD-2025-0816</t>
  </si>
  <si>
    <t>ORD-2025-0817</t>
  </si>
  <si>
    <t>ORD-2025-0818</t>
  </si>
  <si>
    <t>ORD-2025-0819</t>
  </si>
  <si>
    <t>ORD-2025-0820</t>
  </si>
  <si>
    <t>ORD-2025-0821</t>
  </si>
  <si>
    <t>ORD-2025-0822</t>
  </si>
  <si>
    <t>ORD-2025-0823</t>
  </si>
  <si>
    <t>ORD-2025-0824</t>
  </si>
  <si>
    <t>ORD-2025-0825</t>
  </si>
  <si>
    <t>ORD-2025-0826</t>
  </si>
  <si>
    <t>ORD-2025-0827</t>
  </si>
  <si>
    <t>ORD-2025-0828</t>
  </si>
  <si>
    <t>ORD-2025-0829</t>
  </si>
  <si>
    <t>ORD-2025-0830</t>
  </si>
  <si>
    <t>ORD-2025-0831</t>
  </si>
  <si>
    <t>ORD-2025-0832</t>
  </si>
  <si>
    <t>ORD-2025-0833</t>
  </si>
  <si>
    <t>ORD-2025-0834</t>
  </si>
  <si>
    <t>ORD-2025-0835</t>
  </si>
  <si>
    <t>ORD-2025-0836</t>
  </si>
  <si>
    <t>ORD-2025-0837</t>
  </si>
  <si>
    <t>ORD-2025-0838</t>
  </si>
  <si>
    <t>ORD-2025-0839</t>
  </si>
  <si>
    <t>ORD-2025-0840</t>
  </si>
  <si>
    <t>ORD-2025-0841</t>
  </si>
  <si>
    <t>ORD-2025-0842</t>
  </si>
  <si>
    <t>ORD-2025-0843</t>
  </si>
  <si>
    <t>ORD-2025-0844</t>
  </si>
  <si>
    <t>ORD-2025-0845</t>
  </si>
  <si>
    <t>ORD-2025-0846</t>
  </si>
  <si>
    <t>ORD-2025-0847</t>
  </si>
  <si>
    <t>ORD-2025-0848</t>
  </si>
  <si>
    <t>ORD-2025-0849</t>
  </si>
  <si>
    <t>ORD-2025-0850</t>
  </si>
  <si>
    <t>ORD-2025-0851</t>
  </si>
  <si>
    <t>ORD-2025-0852</t>
  </si>
  <si>
    <t>ORD-2025-0853</t>
  </si>
  <si>
    <t>ORD-2025-0854</t>
  </si>
  <si>
    <t>ORD-2025-0855</t>
  </si>
  <si>
    <t>ORD-2025-0856</t>
  </si>
  <si>
    <t>ORD-2025-0857</t>
  </si>
  <si>
    <t>ORD-2025-0858</t>
  </si>
  <si>
    <t>ORD-2025-0859</t>
  </si>
  <si>
    <t>ORD-2025-0860</t>
  </si>
  <si>
    <t>ORD-2025-0861</t>
  </si>
  <si>
    <t>ORD-2025-0862</t>
  </si>
  <si>
    <t>ORD-2025-0863</t>
  </si>
  <si>
    <t>ORD-2025-0864</t>
  </si>
  <si>
    <t>ORD-2025-0865</t>
  </si>
  <si>
    <t>ORD-2025-0866</t>
  </si>
  <si>
    <t>ORD-2025-0867</t>
  </si>
  <si>
    <t>ORD-2025-0868</t>
  </si>
  <si>
    <t>ORD-2025-0869</t>
  </si>
  <si>
    <t>ORD-2025-0870</t>
  </si>
  <si>
    <t>ORD-2025-0871</t>
  </si>
  <si>
    <t>ORD-2025-0872</t>
  </si>
  <si>
    <t>ORD-2025-0873</t>
  </si>
  <si>
    <t>ORD-2025-0874</t>
  </si>
  <si>
    <t>ORD-2025-0875</t>
  </si>
  <si>
    <t>ORD-2025-0876</t>
  </si>
  <si>
    <t>ORD-2025-0877</t>
  </si>
  <si>
    <t>ORD-2025-0878</t>
  </si>
  <si>
    <t>ORD-2025-0879</t>
  </si>
  <si>
    <t>ORD-2025-0880</t>
  </si>
  <si>
    <t>ORD-2025-0881</t>
  </si>
  <si>
    <t>ORD-2025-0882</t>
  </si>
  <si>
    <t>ORD-2025-0883</t>
  </si>
  <si>
    <t>ORD-2025-0884</t>
  </si>
  <si>
    <t>ORD-2025-0885</t>
  </si>
  <si>
    <t>ORD-2025-0886</t>
  </si>
  <si>
    <t>ORD-2025-0887</t>
  </si>
  <si>
    <t>ORD-2025-0888</t>
  </si>
  <si>
    <t>ORD-2025-0889</t>
  </si>
  <si>
    <t>ORD-2025-0890</t>
  </si>
  <si>
    <t>ORD-2025-0891</t>
  </si>
  <si>
    <t>ORD-2025-0892</t>
  </si>
  <si>
    <t>ORD-2025-0893</t>
  </si>
  <si>
    <t>ORD-2025-0894</t>
  </si>
  <si>
    <t>ORD-2025-0895</t>
  </si>
  <si>
    <t>ORD-2025-0896</t>
  </si>
  <si>
    <t>ORD-2025-0897</t>
  </si>
  <si>
    <t>ORD-2025-0898</t>
  </si>
  <si>
    <t>ORD-2025-0899</t>
  </si>
  <si>
    <t>ORD-2025-0900</t>
  </si>
  <si>
    <t>ORD-2025-0901</t>
  </si>
  <si>
    <t>ORD-2025-0902</t>
  </si>
  <si>
    <t>ORD-2025-0903</t>
  </si>
  <si>
    <t>ORD-2025-0904</t>
  </si>
  <si>
    <t>ORD-2025-0905</t>
  </si>
  <si>
    <t>ORD-2025-0906</t>
  </si>
  <si>
    <t>ORD-2025-0907</t>
  </si>
  <si>
    <t>ORD-2025-0908</t>
  </si>
  <si>
    <t>ORD-2025-0909</t>
  </si>
  <si>
    <t>ORD-2025-0910</t>
  </si>
  <si>
    <t>ORD-2025-0911</t>
  </si>
  <si>
    <t>ORD-2025-0912</t>
  </si>
  <si>
    <t>ORD-2025-0913</t>
  </si>
  <si>
    <t>ORD-2025-0914</t>
  </si>
  <si>
    <t>ORD-2025-0915</t>
  </si>
  <si>
    <t>ORD-2025-0916</t>
  </si>
  <si>
    <t>ORD-2025-0917</t>
  </si>
  <si>
    <t>ORD-2025-0918</t>
  </si>
  <si>
    <t>ORD-2025-0919</t>
  </si>
  <si>
    <t>ORD-2025-0920</t>
  </si>
  <si>
    <t>ORD-2025-0921</t>
  </si>
  <si>
    <t>ORD-2025-0922</t>
  </si>
  <si>
    <t>ORD-2025-0923</t>
  </si>
  <si>
    <t>ORD-2025-0924</t>
  </si>
  <si>
    <t>ORD-2025-0925</t>
  </si>
  <si>
    <t>ORD-2025-0926</t>
  </si>
  <si>
    <t>ORD-2025-0927</t>
  </si>
  <si>
    <t>ORD-2025-0928</t>
  </si>
  <si>
    <t>ORD-2025-0929</t>
  </si>
  <si>
    <t>ORD-2025-0930</t>
  </si>
  <si>
    <t>ORD-2025-0931</t>
  </si>
  <si>
    <t>ORD-2025-0932</t>
  </si>
  <si>
    <t>ORD-2025-0933</t>
  </si>
  <si>
    <t>ORD-2025-0934</t>
  </si>
  <si>
    <t>ORD-2025-0935</t>
  </si>
  <si>
    <t>ORD-2025-0936</t>
  </si>
  <si>
    <t>ORD-2025-0937</t>
  </si>
  <si>
    <t>ORD-2025-0938</t>
  </si>
  <si>
    <t>ORD-2025-0939</t>
  </si>
  <si>
    <t>ORD-2025-0940</t>
  </si>
  <si>
    <t>ORD-2025-0941</t>
  </si>
  <si>
    <t>ORD-2025-0942</t>
  </si>
  <si>
    <t>ORD-2025-0943</t>
  </si>
  <si>
    <t>ORD-2025-0944</t>
  </si>
  <si>
    <t>ORD-2025-0945</t>
  </si>
  <si>
    <t>ORD-2025-0946</t>
  </si>
  <si>
    <t>ORD-2025-0947</t>
  </si>
  <si>
    <t>ORD-2025-0948</t>
  </si>
  <si>
    <t>ORD-2025-0949</t>
  </si>
  <si>
    <t>ORD-2025-0950</t>
  </si>
  <si>
    <t>ORD-2025-0951</t>
  </si>
  <si>
    <t>ORD-2025-0952</t>
  </si>
  <si>
    <t>ORD-2025-0953</t>
  </si>
  <si>
    <t>ORD-2025-0954</t>
  </si>
  <si>
    <t>ORD-2025-0955</t>
  </si>
  <si>
    <t>ORD-2025-0956</t>
  </si>
  <si>
    <t>ORD-2025-0957</t>
  </si>
  <si>
    <t>ORD-2025-0958</t>
  </si>
  <si>
    <t>ORD-2025-0959</t>
  </si>
  <si>
    <t>ORD-2025-0960</t>
  </si>
  <si>
    <t>ORD-2025-0961</t>
  </si>
  <si>
    <t>ORD-2025-0962</t>
  </si>
  <si>
    <t>ORD-2025-0963</t>
  </si>
  <si>
    <t>ORD-2025-0964</t>
  </si>
  <si>
    <t>ORD-2025-0965</t>
  </si>
  <si>
    <t>ORD-2025-0966</t>
  </si>
  <si>
    <t>ORD-2025-0967</t>
  </si>
  <si>
    <t>ORD-2025-0968</t>
  </si>
  <si>
    <t>ORD-2025-0969</t>
  </si>
  <si>
    <t>ORD-2025-0970</t>
  </si>
  <si>
    <t>ORD-2025-0971</t>
  </si>
  <si>
    <t>30/06/2025</t>
  </si>
  <si>
    <t>ORD-2025-0972</t>
  </si>
  <si>
    <t>ORD-2025-0973</t>
  </si>
  <si>
    <t>ORD-2025-0974</t>
  </si>
  <si>
    <t>ORD-2025-0975</t>
  </si>
  <si>
    <t>ORD-2025-0976</t>
  </si>
  <si>
    <t>ORD-2025-0977</t>
  </si>
  <si>
    <t>ORD-2025-0978</t>
  </si>
  <si>
    <t>ORD-2025-0979</t>
  </si>
  <si>
    <t>ORD-2025-0980</t>
  </si>
  <si>
    <t>ORD-2025-0981</t>
  </si>
  <si>
    <t>ORD-2025-0982</t>
  </si>
  <si>
    <t>ORD-2025-0983</t>
  </si>
  <si>
    <t>ORD-2025-0984</t>
  </si>
  <si>
    <t>ORD-2025-0985</t>
  </si>
  <si>
    <t>ORD-2025-0986</t>
  </si>
  <si>
    <t>ORD-2025-0987</t>
  </si>
  <si>
    <t>ORD-2025-0988</t>
  </si>
  <si>
    <t>ORD-2025-0989</t>
  </si>
  <si>
    <t>ORD-2025-0990</t>
  </si>
  <si>
    <t>ORD-2025-0991</t>
  </si>
  <si>
    <t>ORD-2025-0992</t>
  </si>
  <si>
    <t>ORD-2025-0993</t>
  </si>
  <si>
    <t>ORD-2025-0994</t>
  </si>
  <si>
    <t>ORD-2025-0995</t>
  </si>
  <si>
    <t>ORD-2025-0996</t>
  </si>
  <si>
    <t>ORD-2025-0997</t>
  </si>
  <si>
    <t>ORD-2025-0998</t>
  </si>
  <si>
    <t>ORD-2025-0999</t>
  </si>
  <si>
    <t>ORD-2025-1000</t>
  </si>
  <si>
    <t>ORD-2025-1001</t>
  </si>
  <si>
    <t>ORD-2025-1002</t>
  </si>
  <si>
    <t>ORD-2025-1003</t>
  </si>
  <si>
    <t>ORD-2025-1004</t>
  </si>
  <si>
    <t>ORD-2025-1005</t>
  </si>
  <si>
    <t>ORD-2025-1006</t>
  </si>
  <si>
    <t>ORD-2025-1007</t>
  </si>
  <si>
    <t>ORD-2025-1008</t>
  </si>
  <si>
    <t>ORD-2025-1009</t>
  </si>
  <si>
    <t>ORD-2025-1010</t>
  </si>
  <si>
    <t>ORD-2025-1011</t>
  </si>
  <si>
    <t>ORD-2025-1012</t>
  </si>
  <si>
    <t>ORD-2025-1013</t>
  </si>
  <si>
    <t>ORD-2025-1014</t>
  </si>
  <si>
    <t>ORD-2025-1015</t>
  </si>
  <si>
    <t>ORD-2025-1016</t>
  </si>
  <si>
    <t>ORD-2025-1017</t>
  </si>
  <si>
    <t>ORD-2025-1018</t>
  </si>
  <si>
    <t>ORD-2025-1019</t>
  </si>
  <si>
    <t>ORD-2025-1020</t>
  </si>
  <si>
    <t>ORD-2025-1021</t>
  </si>
  <si>
    <t>26-May-2025</t>
  </si>
  <si>
    <t>ORD-2025-1022</t>
  </si>
  <si>
    <t>ORD-2025-1023</t>
  </si>
  <si>
    <t>ORD-2025-1024</t>
  </si>
  <si>
    <t>ORD-2025-1025</t>
  </si>
  <si>
    <t>ORD-2025-1026</t>
  </si>
  <si>
    <t>ORD-2025-1027</t>
  </si>
  <si>
    <t>ORD-2025-1028</t>
  </si>
  <si>
    <t>ORD-2025-1029</t>
  </si>
  <si>
    <t>ORD-2025-1030</t>
  </si>
  <si>
    <t>ORD-2025-1031</t>
  </si>
  <si>
    <t>ORD-2025-1032</t>
  </si>
  <si>
    <t>ORD-2025-1033</t>
  </si>
  <si>
    <t>ORD-2025-1034</t>
  </si>
  <si>
    <t>ORD-2025-1035</t>
  </si>
  <si>
    <t>ORD-2025-1036</t>
  </si>
  <si>
    <t>ORD-2025-1037</t>
  </si>
  <si>
    <t>ORD-2025-1038</t>
  </si>
  <si>
    <t>ORD-2025-1039</t>
  </si>
  <si>
    <t>CASH</t>
  </si>
  <si>
    <t>ORD-2025-1040</t>
  </si>
  <si>
    <t>ORD-2025-1041</t>
  </si>
  <si>
    <t>ORD-2025-1042</t>
  </si>
  <si>
    <t>ORD-2025-1043</t>
  </si>
  <si>
    <t>ORD-2025-1044</t>
  </si>
  <si>
    <t>ORD-2025-1045</t>
  </si>
  <si>
    <t>ORD-2025-1046</t>
  </si>
  <si>
    <t>ORD-2025-1047</t>
  </si>
  <si>
    <t>ORD-2025-1048</t>
  </si>
  <si>
    <t>ORD-2025-1049</t>
  </si>
  <si>
    <t>ORD-2025-1050</t>
  </si>
  <si>
    <t>ORD-2025-1051</t>
  </si>
  <si>
    <t>ORD-2025-1052</t>
  </si>
  <si>
    <t>ORD-2025-1053</t>
  </si>
  <si>
    <t>ORD-2025-1054</t>
  </si>
  <si>
    <t>ORD-2025-1055</t>
  </si>
  <si>
    <t>ORD-2025-1056</t>
  </si>
  <si>
    <t>ORD-2025-1057</t>
  </si>
  <si>
    <t>27-Apr-2025</t>
  </si>
  <si>
    <t>ORD-2025-1058</t>
  </si>
  <si>
    <t>ORD-2025-1059</t>
  </si>
  <si>
    <t>ORD-2025-1060</t>
  </si>
  <si>
    <t>ORD-2025-1061</t>
  </si>
  <si>
    <t>ORD-2025-1062</t>
  </si>
  <si>
    <t>ORD-2025-1063</t>
  </si>
  <si>
    <t>ORD-2025-1064</t>
  </si>
  <si>
    <t>ORD-2025-1065</t>
  </si>
  <si>
    <t>ORD-2025-1066</t>
  </si>
  <si>
    <t>ORD-2025-1067</t>
  </si>
  <si>
    <t>ORD-2025-1068</t>
  </si>
  <si>
    <t>ORD-2025-1069</t>
  </si>
  <si>
    <t>ORD-2025-1070</t>
  </si>
  <si>
    <t>ORD-2025-1071</t>
  </si>
  <si>
    <t>ORD-2025-1072</t>
  </si>
  <si>
    <t>ORD-2025-1073</t>
  </si>
  <si>
    <t>ORD-2025-1074</t>
  </si>
  <si>
    <t>ORD-2025-1075</t>
  </si>
  <si>
    <t>ORD-2025-1076</t>
  </si>
  <si>
    <t>ORD-2025-1077</t>
  </si>
  <si>
    <t>ORD-2025-1078</t>
  </si>
  <si>
    <t>ORD-2025-1079</t>
  </si>
  <si>
    <t>ORD-2025-1080</t>
  </si>
  <si>
    <t>ORD-2025-1081</t>
  </si>
  <si>
    <t>ORD-2025-1082</t>
  </si>
  <si>
    <t>ORD-2025-1083</t>
  </si>
  <si>
    <t>03/04/2025</t>
  </si>
  <si>
    <t>ORD-2025-1084</t>
  </si>
  <si>
    <t>19/02/2025</t>
  </si>
  <si>
    <t>ORD-2025-1085</t>
  </si>
  <si>
    <t>ORD-2025-1086</t>
  </si>
  <si>
    <t>ORD-2025-1087</t>
  </si>
  <si>
    <t>ORD-2025-1088</t>
  </si>
  <si>
    <t>ORD-2025-1089</t>
  </si>
  <si>
    <t>ORD-2025-1090</t>
  </si>
  <si>
    <t>ORD-2025-1091</t>
  </si>
  <si>
    <t>ORD-2025-1092</t>
  </si>
  <si>
    <t>ORD-2025-1093</t>
  </si>
  <si>
    <t>ELECTRONICS</t>
  </si>
  <si>
    <t>ORD-2025-1094</t>
  </si>
  <si>
    <t>ORD-2025-1095</t>
  </si>
  <si>
    <t>ORD-2025-1096</t>
  </si>
  <si>
    <t>ORD-2025-1097</t>
  </si>
  <si>
    <t>ORD-2025-1098</t>
  </si>
  <si>
    <t>ORD-2025-1099</t>
  </si>
  <si>
    <t>ORD-2025-1100</t>
  </si>
  <si>
    <t>ORD-2025-1101</t>
  </si>
  <si>
    <t>ORD-2025-1102</t>
  </si>
  <si>
    <t>ORD-2025-1103</t>
  </si>
  <si>
    <t>ORD-2025-1104</t>
  </si>
  <si>
    <t>hamza shah</t>
  </si>
  <si>
    <t>ORD-2025-1105</t>
  </si>
  <si>
    <t>ORD-2025-1106</t>
  </si>
  <si>
    <t>ORD-2025-1107</t>
  </si>
  <si>
    <t>ORD-2025-1108</t>
  </si>
  <si>
    <t>ORD-2025-1109</t>
  </si>
  <si>
    <t>ORD-2025-1110</t>
  </si>
  <si>
    <t>ORD-2025-1111</t>
  </si>
  <si>
    <t>ORD-2025-1112</t>
  </si>
  <si>
    <t>ORD-2025-1113</t>
  </si>
  <si>
    <t>ORD-2025-1114</t>
  </si>
  <si>
    <t>ORD-2025-1115</t>
  </si>
  <si>
    <t>ORD-2025-1116</t>
  </si>
  <si>
    <t>ORD-2025-1117</t>
  </si>
  <si>
    <t>ORD-2025-1118</t>
  </si>
  <si>
    <t>ORD-2025-1119</t>
  </si>
  <si>
    <t>ORD-2025-1120</t>
  </si>
  <si>
    <t>ORD-2025-1121</t>
  </si>
  <si>
    <t>ORD-2025-1122</t>
  </si>
  <si>
    <t>17-May-2025</t>
  </si>
  <si>
    <t>ORD-2025-1123</t>
  </si>
  <si>
    <t>ORD-2025-1124</t>
  </si>
  <si>
    <t>ORD-2025-1125</t>
  </si>
  <si>
    <t>ORD-2025-1126</t>
  </si>
  <si>
    <t>ORD-2025-1127</t>
  </si>
  <si>
    <t>ORD-2025-1128</t>
  </si>
  <si>
    <t>ORD-2025-1129</t>
  </si>
  <si>
    <t>ORD-2025-1130</t>
  </si>
  <si>
    <t>ORD-2025-1131</t>
  </si>
  <si>
    <t>ORD-2025-1132</t>
  </si>
  <si>
    <t>ORD-2025-1133</t>
  </si>
  <si>
    <t>ORD-2025-1134</t>
  </si>
  <si>
    <t>ORD-2025-1135</t>
  </si>
  <si>
    <t>ORD-2025-1136</t>
  </si>
  <si>
    <t>ORD-2025-1137</t>
  </si>
  <si>
    <t>ORD-2025-1138</t>
  </si>
  <si>
    <t>ORD-2025-1139</t>
  </si>
  <si>
    <t>12-Jun-2025</t>
  </si>
  <si>
    <t>ORD-2025-1140</t>
  </si>
  <si>
    <t>ORD-2025-1141</t>
  </si>
  <si>
    <t>ORD-2025-1142</t>
  </si>
  <si>
    <t>ORD-2025-1143</t>
  </si>
  <si>
    <t>ORD-2025-1144</t>
  </si>
  <si>
    <t>ORD-2025-1145</t>
  </si>
  <si>
    <t>ORD-2025-1146</t>
  </si>
  <si>
    <t>ORD-2025-1147</t>
  </si>
  <si>
    <t>ORD-2025-1148</t>
  </si>
  <si>
    <t>ORD-2025-1149</t>
  </si>
  <si>
    <t>ORD-2025-1150</t>
  </si>
  <si>
    <t>ORD-2025-1151</t>
  </si>
  <si>
    <t>ORD-2025-1152</t>
  </si>
  <si>
    <t>ORD-2025-1153</t>
  </si>
  <si>
    <t>ORD-2025-1154</t>
  </si>
  <si>
    <t>ORD-2025-1155</t>
  </si>
  <si>
    <t>ORD-2025-1156</t>
  </si>
  <si>
    <t>ORD-2025-1157</t>
  </si>
  <si>
    <t>ORD-2025-1158</t>
  </si>
  <si>
    <t>ORD-2025-1159</t>
  </si>
  <si>
    <t>ORD-2025-1160</t>
  </si>
  <si>
    <t>ORD-2025-1161</t>
  </si>
  <si>
    <t>ORD-2025-1162</t>
  </si>
  <si>
    <t>ORD-2025-1163</t>
  </si>
  <si>
    <t>ORD-2025-1164</t>
  </si>
  <si>
    <t>ORD-2025-1165</t>
  </si>
  <si>
    <t>ORD-2025-1166</t>
  </si>
  <si>
    <t>ORD-2025-1167</t>
  </si>
  <si>
    <t>ORD-2025-1168</t>
  </si>
  <si>
    <t>ORD-2025-1169</t>
  </si>
  <si>
    <t>ORD-2025-1170</t>
  </si>
  <si>
    <t>ORD-2025-1171</t>
  </si>
  <si>
    <t>ORD-2025-1172</t>
  </si>
  <si>
    <t>ORD-2025-1173</t>
  </si>
  <si>
    <t>ORD-2025-1174</t>
  </si>
  <si>
    <t>ORD-2025-1175</t>
  </si>
  <si>
    <t>ORD-2025-1176</t>
  </si>
  <si>
    <t>ORD-2025-1177</t>
  </si>
  <si>
    <t>ORD-2025-1178</t>
  </si>
  <si>
    <t>ORD-2025-1179</t>
  </si>
  <si>
    <t>ORD-2025-1180</t>
  </si>
  <si>
    <t>ORD-2025-1181</t>
  </si>
  <si>
    <t>ORD-2025-1182</t>
  </si>
  <si>
    <t>ORD-2025-1183</t>
  </si>
  <si>
    <t>ORD-2025-1184</t>
  </si>
  <si>
    <t>ORD-2025-1185</t>
  </si>
  <si>
    <t>ORD-2025-1186</t>
  </si>
  <si>
    <t>ORD-2025-1187</t>
  </si>
  <si>
    <t>ORD-2025-1188</t>
  </si>
  <si>
    <t>ORD-2025-1189</t>
  </si>
  <si>
    <t>ORD-2025-1190</t>
  </si>
  <si>
    <t>ORD-2025-1191</t>
  </si>
  <si>
    <t>ORD-2025-1192</t>
  </si>
  <si>
    <t>ORD-2025-1193</t>
  </si>
  <si>
    <t>ORD-2025-1194</t>
  </si>
  <si>
    <t>ORD-2025-1195</t>
  </si>
  <si>
    <t>ORD-2025-1196</t>
  </si>
  <si>
    <t>ORD-2025-1197</t>
  </si>
  <si>
    <t>ORD-2025-1198</t>
  </si>
  <si>
    <t>ORD-2025-1199</t>
  </si>
  <si>
    <t>ORD-2025-1200</t>
  </si>
  <si>
    <t>ORD-2025-1201</t>
  </si>
  <si>
    <t>ORD-2025-1202</t>
  </si>
  <si>
    <t>ORD-2025-1203</t>
  </si>
  <si>
    <t>ORD-2025-1204</t>
  </si>
  <si>
    <t>ORD-2025-1205</t>
  </si>
  <si>
    <t>ORD-2025-1206</t>
  </si>
  <si>
    <t>ORD-2025-1207</t>
  </si>
  <si>
    <t>ORD-2025-1208</t>
  </si>
  <si>
    <t>ORD-2025-1209</t>
  </si>
  <si>
    <t>ORD-2025-1210</t>
  </si>
  <si>
    <t>ORD-2025-1211</t>
  </si>
  <si>
    <t>ORD-2025-1212</t>
  </si>
  <si>
    <t>ORD-2025-1213</t>
  </si>
  <si>
    <t>ORD-2025-1214</t>
  </si>
  <si>
    <t>ORD-2025-1215</t>
  </si>
  <si>
    <t>ORD-2025-1216</t>
  </si>
  <si>
    <t>ORD-2025-1217</t>
  </si>
  <si>
    <t>ORD-2025-1218</t>
  </si>
  <si>
    <t>ORD-2025-1219</t>
  </si>
  <si>
    <t>ORD-2025-1220</t>
  </si>
  <si>
    <t>ORD-2025-1221</t>
  </si>
  <si>
    <t>ORD-2025-1222</t>
  </si>
  <si>
    <t>ORD-2025-1223</t>
  </si>
  <si>
    <t>ORD-2025-1224</t>
  </si>
  <si>
    <t>ORD-2025-1225</t>
  </si>
  <si>
    <t>ORD-2025-1226</t>
  </si>
  <si>
    <t>ORD-2025-1227</t>
  </si>
  <si>
    <t>ORD-2025-1228</t>
  </si>
  <si>
    <t>ORD-2025-1229</t>
  </si>
  <si>
    <t>ORD-2025-1230</t>
  </si>
  <si>
    <t>ORD-2025-1231</t>
  </si>
  <si>
    <t>ORD-2025-1232</t>
  </si>
  <si>
    <t>ORD-2025-1233</t>
  </si>
  <si>
    <t>ORD-2025-1234</t>
  </si>
  <si>
    <t>ORD-2025-1235</t>
  </si>
  <si>
    <t>ORD-2025-1236</t>
  </si>
  <si>
    <t>ORD-2025-1237</t>
  </si>
  <si>
    <t>ORD-2025-1238</t>
  </si>
  <si>
    <t>ORD-2025-1239</t>
  </si>
  <si>
    <t>ORD-2025-1240</t>
  </si>
  <si>
    <t>ORD-2025-1241</t>
  </si>
  <si>
    <t>ORD-2025-1242</t>
  </si>
  <si>
    <t>ORD-2025-1243</t>
  </si>
  <si>
    <t>ORD-2025-1244</t>
  </si>
  <si>
    <t>ORD-2025-1245</t>
  </si>
  <si>
    <t>ORD-2025-1246</t>
  </si>
  <si>
    <t>ORD-2025-1247</t>
  </si>
  <si>
    <t>ORD-2025-1248</t>
  </si>
  <si>
    <t>ORD-2025-1249</t>
  </si>
  <si>
    <t>ORD-2025-1250</t>
  </si>
  <si>
    <t>ORD-2025-1251</t>
  </si>
  <si>
    <t>ORD-2025-1252</t>
  </si>
  <si>
    <t>ORD-2025-1253</t>
  </si>
  <si>
    <t>ORD-2025-1254</t>
  </si>
  <si>
    <t>ORD-2025-1255</t>
  </si>
  <si>
    <t>ORD-2025-1256</t>
  </si>
  <si>
    <t>ORD-2025-1257</t>
  </si>
  <si>
    <t>ORD-2025-1258</t>
  </si>
  <si>
    <t>ORD-2025-1259</t>
  </si>
  <si>
    <t>ORD-2025-1260</t>
  </si>
  <si>
    <t>ORD-2025-1261</t>
  </si>
  <si>
    <t>ORD-2025-1262</t>
  </si>
  <si>
    <t>ORD-2025-1263</t>
  </si>
  <si>
    <t>ORD-2025-1264</t>
  </si>
  <si>
    <t>ORD-2025-1265</t>
  </si>
  <si>
    <t>ORD-2025-1266</t>
  </si>
  <si>
    <t>ORD-2025-1267</t>
  </si>
  <si>
    <t>ORD-2025-1268</t>
  </si>
  <si>
    <t>ORD-2025-1269</t>
  </si>
  <si>
    <t>ORD-2025-1270</t>
  </si>
  <si>
    <t>ORD-2025-1271</t>
  </si>
  <si>
    <t>ORD-2025-1272</t>
  </si>
  <si>
    <t>ORD-2025-1273</t>
  </si>
  <si>
    <t>ORD-2025-1274</t>
  </si>
  <si>
    <t>ORD-2025-1275</t>
  </si>
  <si>
    <t>ORD-2025-1276</t>
  </si>
  <si>
    <t>ORD-2025-1277</t>
  </si>
  <si>
    <t>ORD-2025-1278</t>
  </si>
  <si>
    <t>ORD-2025-1279</t>
  </si>
  <si>
    <t>ORD-2025-1280</t>
  </si>
  <si>
    <t>ORD-2025-1281</t>
  </si>
  <si>
    <t>ORD-2025-1282</t>
  </si>
  <si>
    <t>2025-12-15</t>
  </si>
  <si>
    <t>ORD-2025-1283</t>
  </si>
  <si>
    <t>ORD-2025-1284</t>
  </si>
  <si>
    <t>ORD-2025-1285</t>
  </si>
  <si>
    <t>ORD-2025-1286</t>
  </si>
  <si>
    <t>ORD-2025-1287</t>
  </si>
  <si>
    <t>ORD-2025-1288</t>
  </si>
  <si>
    <t>ORD-2025-1289</t>
  </si>
  <si>
    <t>ORD-2025-1290</t>
  </si>
  <si>
    <t>ORD-2025-1291</t>
  </si>
  <si>
    <t>ORD-2025-1292</t>
  </si>
  <si>
    <t>ORD-2025-1293</t>
  </si>
  <si>
    <t>ORD-2025-1294</t>
  </si>
  <si>
    <t>ORD-2025-1295</t>
  </si>
  <si>
    <t>ORD-2025-1296</t>
  </si>
  <si>
    <t>ORD-2025-1297</t>
  </si>
  <si>
    <t>ORD-2025-1298</t>
  </si>
  <si>
    <t>ORD-2025-1299</t>
  </si>
  <si>
    <t>ORD-2025-1300</t>
  </si>
  <si>
    <t>ORD-2025-1301</t>
  </si>
  <si>
    <t>ORD-2025-1302</t>
  </si>
  <si>
    <t>ORD-2025-1303</t>
  </si>
  <si>
    <t>ORD-2025-1304</t>
  </si>
  <si>
    <t>ORD-2025-1305</t>
  </si>
  <si>
    <t>ORD-2025-1306</t>
  </si>
  <si>
    <t>ORD-2025-1307</t>
  </si>
  <si>
    <t>ORD-2025-1308</t>
  </si>
  <si>
    <t>ORD-2025-1309</t>
  </si>
  <si>
    <t>ORD-2025-1310</t>
  </si>
  <si>
    <t>ORD-2025-1311</t>
  </si>
  <si>
    <t>ORD-2025-1312</t>
  </si>
  <si>
    <t>ORD-2025-1313</t>
  </si>
  <si>
    <t>ORD-2025-1314</t>
  </si>
  <si>
    <t>ORD-2025-1315</t>
  </si>
  <si>
    <t>ORD-2025-1316</t>
  </si>
  <si>
    <t>ORD-2025-1317</t>
  </si>
  <si>
    <t>ORD-2025-1318</t>
  </si>
  <si>
    <t>ORD-2025-1319</t>
  </si>
  <si>
    <t>ORD-2025-1320</t>
  </si>
  <si>
    <t>ORD-2025-1321</t>
  </si>
  <si>
    <t>ORD-2025-1322</t>
  </si>
  <si>
    <t>ORD-2025-1323</t>
  </si>
  <si>
    <t>ORD-2025-1324</t>
  </si>
  <si>
    <t>ORD-2025-1325</t>
  </si>
  <si>
    <t>ORD-2025-1326</t>
  </si>
  <si>
    <t>ORD-2025-1327</t>
  </si>
  <si>
    <t>ORD-2025-1328</t>
  </si>
  <si>
    <t>ORD-2025-1329</t>
  </si>
  <si>
    <t>ORD-2025-1330</t>
  </si>
  <si>
    <t>ORD-2025-1331</t>
  </si>
  <si>
    <t>ORD-2025-1332</t>
  </si>
  <si>
    <t>ORD-2025-1333</t>
  </si>
  <si>
    <t>ORD-2025-1334</t>
  </si>
  <si>
    <t>ORD-2025-1335</t>
  </si>
  <si>
    <t>ORD-2025-1336</t>
  </si>
  <si>
    <t>ORD-2025-1337</t>
  </si>
  <si>
    <t>ORD-2025-1338</t>
  </si>
  <si>
    <t>ORD-2025-1339</t>
  </si>
  <si>
    <t>ORD-2025-1340</t>
  </si>
  <si>
    <t>ORD-2025-1341</t>
  </si>
  <si>
    <t>ORD-2025-1342</t>
  </si>
  <si>
    <t>ORD-2025-1343</t>
  </si>
  <si>
    <t>ORD-2025-1344</t>
  </si>
  <si>
    <t>ORD-2025-1345</t>
  </si>
  <si>
    <t>ORD-2025-1346</t>
  </si>
  <si>
    <t>ORD-2025-1347</t>
  </si>
  <si>
    <t>ORD-2025-1348</t>
  </si>
  <si>
    <t>ORD-2025-1349</t>
  </si>
  <si>
    <t>ORD-2025-1350</t>
  </si>
  <si>
    <t>ORD-2025-1351</t>
  </si>
  <si>
    <t>ORD-2025-1352</t>
  </si>
  <si>
    <t>ORD-2025-1353</t>
  </si>
  <si>
    <t>ORD-2025-1354</t>
  </si>
  <si>
    <t>ORD-2025-1355</t>
  </si>
  <si>
    <t>ORD-2025-1356</t>
  </si>
  <si>
    <t>ORD-2025-1357</t>
  </si>
  <si>
    <t>ORD-2025-1358</t>
  </si>
  <si>
    <t>ORD-2025-1359</t>
  </si>
  <si>
    <t>ORD-2025-1360</t>
  </si>
  <si>
    <t>ORD-2025-1361</t>
  </si>
  <si>
    <t>ORD-2025-1362</t>
  </si>
  <si>
    <t>ORD-2025-1363</t>
  </si>
  <si>
    <t>ORD-2025-1364</t>
  </si>
  <si>
    <t>ORD-2025-1365</t>
  </si>
  <si>
    <t>ORD-2025-1366</t>
  </si>
  <si>
    <t>ORD-2025-1367</t>
  </si>
  <si>
    <t>ORD-2025-1368</t>
  </si>
  <si>
    <t>ORD-2025-1369</t>
  </si>
  <si>
    <t>ORD-2025-1370</t>
  </si>
  <si>
    <t>ORD-2025-1371</t>
  </si>
  <si>
    <t>ORD-2025-1372</t>
  </si>
  <si>
    <t>ORD-2025-1373</t>
  </si>
  <si>
    <t>ORD-2025-1374</t>
  </si>
  <si>
    <t>ORD-2025-1375</t>
  </si>
  <si>
    <t>ORD-2025-1376</t>
  </si>
  <si>
    <t>ORD-2025-1377</t>
  </si>
  <si>
    <t>ORD-2025-1378</t>
  </si>
  <si>
    <t>ORD-2025-1379</t>
  </si>
  <si>
    <t>ORD-2025-1380</t>
  </si>
  <si>
    <t>ORD-2025-1381</t>
  </si>
  <si>
    <t>ORD-2025-1382</t>
  </si>
  <si>
    <t>ORD-2025-1383</t>
  </si>
  <si>
    <t>ORD-2025-1384</t>
  </si>
  <si>
    <t>ORD-2025-1385</t>
  </si>
  <si>
    <t>ORD-2025-1386</t>
  </si>
  <si>
    <t>ORD-2025-1387</t>
  </si>
  <si>
    <t>ORD-2025-1388</t>
  </si>
  <si>
    <t>ORD-2025-1389</t>
  </si>
  <si>
    <t>ORD-2025-1390</t>
  </si>
  <si>
    <t>ORD-2025-1391</t>
  </si>
  <si>
    <t>ORD-2025-1392</t>
  </si>
  <si>
    <t>ORD-2025-1393</t>
  </si>
  <si>
    <t>ORD-2025-1394</t>
  </si>
  <si>
    <t>ORD-2025-1395</t>
  </si>
  <si>
    <t>ORD-2025-1396</t>
  </si>
  <si>
    <t>ORD-2025-1397</t>
  </si>
  <si>
    <t>ORD-2025-1398</t>
  </si>
  <si>
    <t>ORD-2025-1399</t>
  </si>
  <si>
    <t>ORD-2025-1400</t>
  </si>
  <si>
    <t>ORD-2025-1401</t>
  </si>
  <si>
    <t>ORD-2025-1402</t>
  </si>
  <si>
    <t>ORD-2025-1403</t>
  </si>
  <si>
    <t>ORD-2025-1404</t>
  </si>
  <si>
    <t>ORD-2025-1405</t>
  </si>
  <si>
    <t>ORD-2025-1406</t>
  </si>
  <si>
    <t>ORD-2025-1407</t>
  </si>
  <si>
    <t>ORD-2025-1408</t>
  </si>
  <si>
    <t>ORD-2025-1409</t>
  </si>
  <si>
    <t>ORD-2025-1410</t>
  </si>
  <si>
    <t>ORD-2025-1411</t>
  </si>
  <si>
    <t>ORD-2025-1412</t>
  </si>
  <si>
    <t>ORD-2025-1413</t>
  </si>
  <si>
    <t>ORD-2025-1414</t>
  </si>
  <si>
    <t>ORD-2025-1415</t>
  </si>
  <si>
    <t>ORD-2025-1416</t>
  </si>
  <si>
    <t>ORD-2025-1417</t>
  </si>
  <si>
    <t>ORD-2025-1418</t>
  </si>
  <si>
    <t>ORD-2025-1419</t>
  </si>
  <si>
    <t>ORD-2025-1420</t>
  </si>
  <si>
    <t>ORD-2025-1421</t>
  </si>
  <si>
    <t>ORD-2025-1422</t>
  </si>
  <si>
    <t>ORD-2025-1423</t>
  </si>
  <si>
    <t>ORD-2025-1424</t>
  </si>
  <si>
    <t>ORD-2025-1425</t>
  </si>
  <si>
    <t>ORD-2025-1426</t>
  </si>
  <si>
    <t>ORD-2025-1427</t>
  </si>
  <si>
    <t>ORD-2025-1428</t>
  </si>
  <si>
    <t>ORD-2025-1429</t>
  </si>
  <si>
    <t>ORD-2025-1430</t>
  </si>
  <si>
    <t>ORD-2025-1431</t>
  </si>
  <si>
    <t>ORD-2025-1432</t>
  </si>
  <si>
    <t>ORD-2025-1433</t>
  </si>
  <si>
    <t>ORD-2025-1434</t>
  </si>
  <si>
    <t>ORD-2025-1435</t>
  </si>
  <si>
    <t>ORD-2025-1436</t>
  </si>
  <si>
    <t>ORD-2025-1437</t>
  </si>
  <si>
    <t>ORD-2025-1438</t>
  </si>
  <si>
    <t>ORD-2025-1439</t>
  </si>
  <si>
    <t>ORD-2025-1440</t>
  </si>
  <si>
    <t>ORD-2025-1441</t>
  </si>
  <si>
    <t>ORD-2025-1442</t>
  </si>
  <si>
    <t>ORD-2025-1443</t>
  </si>
  <si>
    <t>ORD-2025-1444</t>
  </si>
  <si>
    <t>ORD-2025-1445</t>
  </si>
  <si>
    <t>ORD-2025-1446</t>
  </si>
  <si>
    <t>ORD-2025-1447</t>
  </si>
  <si>
    <t>ORD-2025-1448</t>
  </si>
  <si>
    <t>ORD-2025-1449</t>
  </si>
  <si>
    <t>ORD-2025-1450</t>
  </si>
  <si>
    <t>ORD-2025-1451</t>
  </si>
  <si>
    <t>ORD-2025-1452</t>
  </si>
  <si>
    <t>ORD-2025-1453</t>
  </si>
  <si>
    <t>ORD-2025-1454</t>
  </si>
  <si>
    <t>ORD-2025-1455</t>
  </si>
  <si>
    <t>ORD-2025-1456</t>
  </si>
  <si>
    <t>ORD-2025-1457</t>
  </si>
  <si>
    <t>ORD-2025-1458</t>
  </si>
  <si>
    <t>ORD-2025-1459</t>
  </si>
  <si>
    <t>ORD-2025-1460</t>
  </si>
  <si>
    <t>ORD-2025-1461</t>
  </si>
  <si>
    <t>ORD-2025-1462</t>
  </si>
  <si>
    <t>ORD-2025-1463</t>
  </si>
  <si>
    <t>ORD-2025-1464</t>
  </si>
  <si>
    <t>ORD-2025-1465</t>
  </si>
  <si>
    <t>ORD-2025-1466</t>
  </si>
  <si>
    <t>ORD-2025-1467</t>
  </si>
  <si>
    <t>ORD-2025-1468</t>
  </si>
  <si>
    <t>ORD-2025-1469</t>
  </si>
  <si>
    <t>ORD-2025-1470</t>
  </si>
  <si>
    <t>ORD-2025-1471</t>
  </si>
  <si>
    <t>ORD-2025-1472</t>
  </si>
  <si>
    <t>ORD-2025-1473</t>
  </si>
  <si>
    <t>ORD-2025-1474</t>
  </si>
  <si>
    <t>ORD-2025-1475</t>
  </si>
  <si>
    <t>ORD-2025-1476</t>
  </si>
  <si>
    <t>ORD-2025-1477</t>
  </si>
  <si>
    <t>ORD-2025-1478</t>
  </si>
  <si>
    <t>ORD-2025-1479</t>
  </si>
  <si>
    <t>ORD-2025-1480</t>
  </si>
  <si>
    <t>Usb Hub</t>
  </si>
  <si>
    <t>Profit Margin</t>
  </si>
  <si>
    <t>KPI</t>
  </si>
  <si>
    <t>Value</t>
  </si>
  <si>
    <t>Total Revenue</t>
  </si>
  <si>
    <t>Total profit</t>
  </si>
  <si>
    <t>Overall profit margin</t>
  </si>
  <si>
    <t>Total units sold</t>
  </si>
  <si>
    <t>Total Transactions</t>
  </si>
  <si>
    <t>Row Labels</t>
  </si>
  <si>
    <t>Grand Total</t>
  </si>
  <si>
    <t xml:space="preserve">    RETAIL SALES PERFORMANCE DASHBOARD</t>
  </si>
  <si>
    <t>TOTAL REVENUE</t>
  </si>
  <si>
    <t>TOTAL PROFIT</t>
  </si>
  <si>
    <t>PROFIT MARGIN</t>
  </si>
  <si>
    <t>TRANSACTIONS</t>
  </si>
  <si>
    <t>UNITS SOLD</t>
  </si>
  <si>
    <t xml:space="preserve">  REVENUE</t>
  </si>
  <si>
    <t xml:space="preserve">  PROFIT</t>
  </si>
  <si>
    <t>Sum of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</si>
</sst>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dd\-mmm\-yyyy"/>
    <numFmt numFmtId="165" formatCode="&quot;$&quot;0.00,,&quot;M&quot;"/>
  </numFmts>
  <fonts count="8">
    <font>
      <sz val="11"/>
      <name val="Carlito"/>
    </font>
    <font>
      <b/>
      <sz val="11"/>
      <color rgb="FFFFFFFF"/>
      <name val="Carlito"/>
    </font>
    <font>
      <sz val="18"/>
      <name val="Carlito"/>
    </font>
    <font>
      <b/>
      <sz val="72"/>
      <color rgb="FFC00000"/>
      <name val="Carlito"/>
    </font>
    <font>
      <b/>
      <sz val="22"/>
      <color rgb="FFC00000"/>
      <name val="Carlito"/>
    </font>
    <font>
      <b/>
      <sz val="36"/>
      <name val="Carlito"/>
    </font>
    <font>
      <b/>
      <i/>
      <sz val="28"/>
      <color rgb="FFC00000"/>
      <name val="Carlito"/>
    </font>
    <font>
      <b/>
      <i/>
      <sz val="18"/>
      <color theme="3"/>
      <name val="Arial Black"/>
      <family val="2"/>
    </font>
  </fonts>
  <fills count="7">
    <fill>
      <patternFill patternType="none"/>
    </fill>
    <fill>
      <patternFill patternType="gray125"/>
    </fill>
    <fill>
      <patternFill patternType="solid">
        <fgColor rgb="FF1F4E78"/>
      </patternFill>
    </fill>
    <fill>
      <patternFill patternType="solid">
        <fgColor theme="0"/>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2"/>
        <bgColor indexed="64"/>
      </patternFill>
    </fill>
  </fills>
  <borders count="1">
    <border>
      <left/>
      <right/>
      <top/>
      <bottom/>
      <diagonal/>
    </border>
  </borders>
  <cellStyleXfs count="1">
    <xf numFmtId="0" fontId="0" fillId="0" borderId="0"/>
  </cellStyleXfs>
  <cellXfs count="27">
    <xf numFmtId="0" fontId="0" fillId="0" borderId="0" xfId="0"/>
    <xf numFmtId="0" fontId="1" fillId="2" borderId="0" xfId="0" applyNumberFormat="1" applyFont="1" applyFill="1" applyBorder="1" applyAlignment="1">
      <alignment horizontal="center" vertical="center"/>
    </xf>
    <xf numFmtId="0" fontId="0" fillId="0" borderId="0" xfId="0" applyNumberFormat="1" applyFont="1" applyFill="1" applyBorder="1" applyAlignment="1"/>
    <xf numFmtId="164" fontId="0" fillId="0" borderId="0" xfId="0" applyNumberFormat="1" applyFont="1" applyFill="1" applyBorder="1" applyAlignment="1"/>
    <xf numFmtId="1" fontId="0" fillId="0" borderId="0" xfId="0" applyNumberFormat="1" applyFont="1" applyFill="1" applyBorder="1" applyAlignment="1"/>
    <xf numFmtId="4" fontId="0" fillId="0" borderId="0" xfId="0" applyNumberFormat="1" applyFont="1" applyFill="1" applyBorder="1" applyAlignment="1"/>
    <xf numFmtId="9" fontId="0" fillId="0" borderId="0" xfId="0" applyNumberFormat="1" applyFont="1" applyFill="1" applyBorder="1" applyAlignment="1"/>
    <xf numFmtId="0" fontId="0" fillId="0" borderId="0" xfId="0" applyNumberFormat="1"/>
    <xf numFmtId="14" fontId="0" fillId="0" borderId="0" xfId="0" applyNumberFormat="1"/>
    <xf numFmtId="10" fontId="0" fillId="0" borderId="0" xfId="0" applyNumberFormat="1"/>
    <xf numFmtId="0" fontId="2" fillId="0" borderId="0" xfId="0" applyFont="1"/>
    <xf numFmtId="0" fontId="0" fillId="0" borderId="0" xfId="0" pivotButton="1"/>
    <xf numFmtId="0" fontId="0" fillId="0" borderId="0" xfId="0" applyAlignment="1">
      <alignment horizontal="left"/>
    </xf>
    <xf numFmtId="0" fontId="0" fillId="3" borderId="0" xfId="0" applyFill="1"/>
    <xf numFmtId="0" fontId="3" fillId="3" borderId="0" xfId="0" applyFont="1" applyFill="1"/>
    <xf numFmtId="0" fontId="3" fillId="0" borderId="0" xfId="0" applyFont="1"/>
    <xf numFmtId="0" fontId="4" fillId="3" borderId="0" xfId="0" applyFont="1" applyFill="1"/>
    <xf numFmtId="0" fontId="4" fillId="4" borderId="0" xfId="0" applyFont="1" applyFill="1"/>
    <xf numFmtId="0" fontId="5" fillId="3" borderId="0" xfId="0" applyFont="1" applyFill="1"/>
    <xf numFmtId="165" fontId="5" fillId="4" borderId="0" xfId="0" applyNumberFormat="1" applyFont="1" applyFill="1"/>
    <xf numFmtId="0" fontId="5" fillId="4" borderId="0" xfId="0" applyFont="1" applyFill="1"/>
    <xf numFmtId="10" fontId="5" fillId="4" borderId="0" xfId="0" applyNumberFormat="1" applyFont="1" applyFill="1"/>
    <xf numFmtId="3" fontId="5" fillId="4" borderId="0" xfId="0" applyNumberFormat="1" applyFont="1" applyFill="1"/>
    <xf numFmtId="0" fontId="6" fillId="5" borderId="0" xfId="0" applyFont="1" applyFill="1"/>
    <xf numFmtId="0" fontId="7" fillId="6" borderId="0" xfId="0" applyFont="1" applyFill="1"/>
    <xf numFmtId="2" fontId="7" fillId="6" borderId="0" xfId="0" applyNumberFormat="1" applyFont="1" applyFill="1"/>
    <xf numFmtId="10" fontId="7" fillId="6" borderId="0" xfId="0" applyNumberFormat="1" applyFont="1" applyFill="1"/>
  </cellXfs>
  <cellStyles count="1">
    <cellStyle name="Normal" xfId="0" builtinId="0"/>
  </cellStyles>
  <dxfs count="11">
    <dxf>
      <font>
        <b/>
        <i val="0"/>
        <sz val="11"/>
        <color theme="0"/>
      </font>
      <fill>
        <patternFill>
          <bgColor rgb="FF990000"/>
        </patternFill>
      </fill>
      <border>
        <bottom style="thin">
          <color theme="5"/>
        </bottom>
        <vertical/>
        <horizontal/>
      </border>
    </dxf>
    <dxf>
      <font>
        <color theme="1"/>
      </font>
      <border>
        <left style="thin">
          <color theme="5"/>
        </left>
        <right style="thin">
          <color theme="5"/>
        </right>
        <top style="thin">
          <color theme="5"/>
        </top>
        <bottom style="thin">
          <color theme="5"/>
        </bottom>
        <vertical/>
        <horizontal/>
      </border>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s>
  <tableStyles count="1" defaultTableStyle="TableStyleMedium2" defaultPivotStyle="PivotStyleLight16">
    <tableStyle name="SlicerStyleDark2 2" pivot="0" table="0" count="10" xr9:uid="{1B738E16-3065-4A0E-B17D-4313FFFA80CB}">
      <tableStyleElement type="wholeTable" dxfId="1"/>
      <tableStyleElement type="headerRow" dxfId="0"/>
    </tableStyle>
  </tableStyles>
  <colors>
    <mruColors>
      <color rgb="FFB21212"/>
      <color rgb="FF990000"/>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b/>
            <i val="0"/>
            <sz val="10"/>
            <color theme="0"/>
          </font>
          <fill>
            <patternFill patternType="solid">
              <fgColor theme="5"/>
              <bgColor rgb="FFB21212"/>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[Excel_Retail_Sales_Portfolio_Project_RAW.xlsx]Pivot_Analysis!PivotTable3</c:name>
    <c:fmtId val="34"/>
  </c:pivotSource>
  <c:chart>
    <c:title>
      <c:tx>
        <c:rich>
          <a:bodyPr rot="0" spcFirstLastPara="1" vertOverflow="ellipsis" vert="horz" wrap="square" anchor="ctr" anchorCtr="1"/>
          <a:lstStyle/>
          <a:p>
            <a:pPr>
              <a:defRPr sz="1600" b="1" i="0" u="none" strike="noStrike" kern="1200" cap="all" spc="150" baseline="0">
                <a:solidFill>
                  <a:schemeClr val="tx1"/>
                </a:solidFill>
                <a:latin typeface="+mn-lt"/>
                <a:ea typeface="+mn-ea"/>
                <a:cs typeface="+mn-cs"/>
              </a:defRPr>
            </a:pPr>
            <a:r>
              <a:rPr lang="en-US" sz="1600" b="1">
                <a:solidFill>
                  <a:schemeClr val="tx1"/>
                </a:solidFill>
              </a:rPr>
              <a:t>     REVENUE</a:t>
            </a:r>
            <a:r>
              <a:rPr lang="en-US" sz="1600" b="1" baseline="0">
                <a:solidFill>
                  <a:schemeClr val="tx1"/>
                </a:solidFill>
              </a:rPr>
              <a:t> &amp; PROFIT BY REGION</a:t>
            </a:r>
            <a:endParaRPr lang="en-US" sz="1600" b="1">
              <a:solidFill>
                <a:schemeClr val="tx1"/>
              </a:solidFill>
            </a:endParaRPr>
          </a:p>
        </c:rich>
      </c:tx>
      <c:layout>
        <c:manualLayout>
          <c:xMode val="edge"/>
          <c:yMode val="edge"/>
          <c:x val="0.13818907006705164"/>
          <c:y val="1.1895173321923243E-2"/>
        </c:manualLayout>
      </c:layout>
      <c:overlay val="0"/>
      <c:spPr>
        <a:noFill/>
        <a:ln>
          <a:noFill/>
        </a:ln>
        <a:effectLst/>
      </c:spPr>
      <c:txPr>
        <a:bodyPr rot="0" spcFirstLastPara="1" vertOverflow="ellipsis" vert="horz" wrap="square" anchor="ctr" anchorCtr="1"/>
        <a:lstStyle/>
        <a:p>
          <a:pPr>
            <a:defRPr sz="1600" b="1" i="0" u="none" strike="noStrike" kern="1200" cap="all" spc="150" baseline="0">
              <a:solidFill>
                <a:schemeClr val="tx1"/>
              </a:solidFill>
              <a:latin typeface="+mn-lt"/>
              <a:ea typeface="+mn-ea"/>
              <a:cs typeface="+mn-cs"/>
            </a:defRPr>
          </a:pPr>
          <a:endParaRPr lang="en-US"/>
        </a:p>
      </c:txPr>
    </c:title>
    <c:autoTitleDeleted val="0"/>
    <c:pivotFmts>
      <c:pivotFmt>
        <c:idx val="0"/>
        <c:spPr>
          <a:solidFill>
            <a:srgbClr val="C00000"/>
          </a:solidFill>
          <a:ln>
            <a:noFill/>
          </a:ln>
          <a:effectLst>
            <a:innerShdw blurRad="114300">
              <a:schemeClr val="accent1"/>
            </a:innerShdw>
          </a:effectLst>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1">
              <a:lumMod val="85000"/>
            </a:schemeClr>
          </a:solidFill>
          <a:ln>
            <a:noFill/>
          </a:ln>
          <a:effectLst>
            <a:innerShdw blurRad="114300">
              <a:schemeClr val="accent1"/>
            </a:innerShdw>
          </a:effectLst>
        </c:spPr>
        <c:marker>
          <c:symbol val="circle"/>
          <c:size val="6"/>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lumMod val="85000"/>
            </a:schemeClr>
          </a:solidFill>
          <a:ln>
            <a:noFill/>
          </a:ln>
          <a:effectLst>
            <a:innerShdw blurRad="114300">
              <a:schemeClr val="accent2"/>
            </a:innerShdw>
          </a:effectLst>
        </c:spPr>
        <c:dLbl>
          <c:idx val="0"/>
          <c:layout>
            <c:manualLayout>
              <c:x val="1.9031434835318148E-2"/>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lumMod val="85000"/>
            </a:schemeClr>
          </a:solidFill>
          <a:ln>
            <a:noFill/>
          </a:ln>
          <a:effectLst>
            <a:innerShdw blurRad="114300">
              <a:schemeClr val="accent2"/>
            </a:innerShdw>
          </a:effectLst>
        </c:spPr>
        <c:dLbl>
          <c:idx val="0"/>
          <c:layout>
            <c:manualLayout>
              <c:x val="3.2625316860545393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bg1">
              <a:lumMod val="85000"/>
            </a:schemeClr>
          </a:solidFill>
          <a:ln>
            <a:noFill/>
          </a:ln>
          <a:effectLst>
            <a:innerShdw blurRad="114300">
              <a:schemeClr val="accent2"/>
            </a:innerShdw>
          </a:effectLst>
        </c:spPr>
        <c:dLbl>
          <c:idx val="0"/>
          <c:layout>
            <c:manualLayout>
              <c:x val="2.4469094683850189E-2"/>
              <c:y val="0"/>
            </c:manualLayout>
          </c:layout>
          <c:numFmt formatCode="&quot;$&quot;0.00,,&quot;M&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0539326030314569"/>
                  <c:h val="5.5486293379994167E-2"/>
                </c:manualLayout>
              </c15:layout>
            </c:ext>
          </c:extLst>
        </c:dLbl>
      </c:pivotFmt>
      <c:pivotFmt>
        <c:idx val="5"/>
        <c:spPr>
          <a:solidFill>
            <a:srgbClr val="C00000"/>
          </a:solid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bg1">
              <a:lumMod val="85000"/>
            </a:schemeClr>
          </a:solid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bg1">
              <a:lumMod val="85000"/>
            </a:schemeClr>
          </a:solidFill>
          <a:ln>
            <a:noFill/>
          </a:ln>
          <a:effectLst>
            <a:innerShdw blurRad="114300">
              <a:schemeClr val="accent2"/>
            </a:innerShdw>
          </a:effectLst>
        </c:spPr>
        <c:dLbl>
          <c:idx val="0"/>
          <c:layout>
            <c:manualLayout>
              <c:x val="2.4469094683850189E-2"/>
              <c:y val="0"/>
            </c:manualLayout>
          </c:layout>
          <c:numFmt formatCode="&quot;$&quot;0.00,,&quot;M&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0539326030314569"/>
                  <c:h val="5.5486293379994167E-2"/>
                </c:manualLayout>
              </c15:layout>
            </c:ext>
          </c:extLst>
        </c:dLbl>
      </c:pivotFmt>
      <c:pivotFmt>
        <c:idx val="8"/>
        <c:spPr>
          <a:solidFill>
            <a:schemeClr val="bg1">
              <a:lumMod val="85000"/>
            </a:schemeClr>
          </a:solidFill>
          <a:ln>
            <a:noFill/>
          </a:ln>
          <a:effectLst>
            <a:innerShdw blurRad="114300">
              <a:schemeClr val="accent2"/>
            </a:innerShdw>
          </a:effectLst>
        </c:spPr>
        <c:dLbl>
          <c:idx val="0"/>
          <c:layout>
            <c:manualLayout>
              <c:x val="3.2625316860545393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bg1">
              <a:lumMod val="85000"/>
            </a:schemeClr>
          </a:solidFill>
          <a:ln>
            <a:noFill/>
          </a:ln>
          <a:effectLst>
            <a:innerShdw blurRad="114300">
              <a:schemeClr val="accent2"/>
            </a:innerShdw>
          </a:effectLst>
        </c:spPr>
        <c:dLbl>
          <c:idx val="0"/>
          <c:layout>
            <c:manualLayout>
              <c:x val="1.9031434835318148E-2"/>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C00000"/>
          </a:solidFill>
          <a:ln>
            <a:noFill/>
          </a:ln>
          <a:effectLst>
            <a:innerShdw blurRad="114300">
              <a:schemeClr val="accent1"/>
            </a:innerShdw>
          </a:effectLst>
        </c:spPr>
        <c:marker>
          <c:symbol val="none"/>
        </c:marker>
        <c:dLbl>
          <c:idx val="0"/>
          <c:numFmt formatCode="&quot;$&quot;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bg1">
              <a:lumMod val="85000"/>
            </a:schemeClr>
          </a:solidFill>
          <a:ln>
            <a:noFill/>
          </a:ln>
          <a:effectLst>
            <a:innerShdw blurRad="114300">
              <a:schemeClr val="accent1"/>
            </a:innerShdw>
          </a:effectLst>
        </c:spPr>
        <c:marker>
          <c:symbol val="none"/>
        </c:marker>
        <c:dLbl>
          <c:idx val="0"/>
          <c:numFmt formatCode="&quot;$&quot;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bg1">
              <a:lumMod val="85000"/>
            </a:schemeClr>
          </a:solidFill>
          <a:ln>
            <a:noFill/>
          </a:ln>
          <a:effectLst>
            <a:innerShdw blurRad="114300">
              <a:schemeClr val="accent1"/>
            </a:innerShdw>
          </a:effectLst>
        </c:spPr>
        <c:dLbl>
          <c:idx val="0"/>
          <c:layout>
            <c:manualLayout>
              <c:x val="2.4469094683850189E-2"/>
              <c:y val="0"/>
            </c:manualLayout>
          </c:layout>
          <c:numFmt formatCode="&quot;$&quot;0.00,,&quot;M&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0539326030314569"/>
                  <c:h val="5.5486293379994167E-2"/>
                </c:manualLayout>
              </c15:layout>
            </c:ext>
          </c:extLst>
        </c:dLbl>
      </c:pivotFmt>
      <c:pivotFmt>
        <c:idx val="13"/>
        <c:spPr>
          <a:solidFill>
            <a:schemeClr val="bg1">
              <a:lumMod val="85000"/>
            </a:schemeClr>
          </a:solidFill>
          <a:ln>
            <a:noFill/>
          </a:ln>
          <a:effectLst>
            <a:innerShdw blurRad="114300">
              <a:schemeClr val="accent1"/>
            </a:innerShdw>
          </a:effectLst>
        </c:spPr>
        <c:dLbl>
          <c:idx val="0"/>
          <c:layout>
            <c:manualLayout>
              <c:x val="3.2625316860545393E-2"/>
              <c:y val="0"/>
            </c:manualLayout>
          </c:layout>
          <c:numFmt formatCode="&quot;$&quot;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bg1">
              <a:lumMod val="85000"/>
            </a:schemeClr>
          </a:solidFill>
          <a:ln>
            <a:noFill/>
          </a:ln>
          <a:effectLst>
            <a:innerShdw blurRad="114300">
              <a:schemeClr val="accent1"/>
            </a:innerShdw>
          </a:effectLst>
        </c:spPr>
        <c:dLbl>
          <c:idx val="0"/>
          <c:layout>
            <c:manualLayout>
              <c:x val="1.9031434835318148E-2"/>
              <c:y val="-8.4875562720133283E-17"/>
            </c:manualLayout>
          </c:layout>
          <c:numFmt formatCode="&quot;$&quot;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033117907766688"/>
          <c:y val="0.13323855351414407"/>
          <c:w val="0.58405293088363952"/>
          <c:h val="0.65853091280256637"/>
        </c:manualLayout>
      </c:layout>
      <c:barChart>
        <c:barDir val="col"/>
        <c:grouping val="clustered"/>
        <c:varyColors val="0"/>
        <c:ser>
          <c:idx val="0"/>
          <c:order val="0"/>
          <c:tx>
            <c:strRef>
              <c:f>Pivot_Analysis!$B$4</c:f>
              <c:strCache>
                <c:ptCount val="1"/>
                <c:pt idx="0">
                  <c:v>  REVENUE</c:v>
                </c:pt>
              </c:strCache>
            </c:strRef>
          </c:tx>
          <c:spPr>
            <a:solidFill>
              <a:srgbClr val="C00000"/>
            </a:solidFill>
            <a:ln>
              <a:noFill/>
            </a:ln>
            <a:effectLst>
              <a:innerShdw blurRad="114300">
                <a:schemeClr val="accent1"/>
              </a:innerShdw>
            </a:effectLst>
          </c:spPr>
          <c:invertIfNegative val="0"/>
          <c:dLbls>
            <c:numFmt formatCode="&quot;$&quot;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Pivot_Analysis!$A$5:$A$8</c:f>
              <c:strCache>
                <c:ptCount val="3"/>
                <c:pt idx="0">
                  <c:v>Central</c:v>
                </c:pt>
                <c:pt idx="1">
                  <c:v>North</c:v>
                </c:pt>
                <c:pt idx="2">
                  <c:v>South</c:v>
                </c:pt>
              </c:strCache>
            </c:strRef>
          </c:cat>
          <c:val>
            <c:numRef>
              <c:f>Pivot_Analysis!$B$5:$B$8</c:f>
              <c:numCache>
                <c:formatCode>General</c:formatCode>
                <c:ptCount val="3"/>
                <c:pt idx="0">
                  <c:v>79493157.860000044</c:v>
                </c:pt>
                <c:pt idx="1">
                  <c:v>93709201.310000017</c:v>
                </c:pt>
                <c:pt idx="2">
                  <c:v>82325796.440000087</c:v>
                </c:pt>
              </c:numCache>
            </c:numRef>
          </c:val>
          <c:extLst>
            <c:ext xmlns:c16="http://schemas.microsoft.com/office/drawing/2014/chart" uri="{C3380CC4-5D6E-409C-BE32-E72D297353CC}">
              <c16:uniqueId val="{00000000-1D61-4626-8E15-F3EB7D323322}"/>
            </c:ext>
          </c:extLst>
        </c:ser>
        <c:ser>
          <c:idx val="1"/>
          <c:order val="1"/>
          <c:tx>
            <c:strRef>
              <c:f>Pivot_Analysis!$C$4</c:f>
              <c:strCache>
                <c:ptCount val="1"/>
                <c:pt idx="0">
                  <c:v>  PROFIT</c:v>
                </c:pt>
              </c:strCache>
            </c:strRef>
          </c:tx>
          <c:spPr>
            <a:solidFill>
              <a:schemeClr val="bg1">
                <a:lumMod val="85000"/>
              </a:schemeClr>
            </a:solidFill>
            <a:ln>
              <a:noFill/>
            </a:ln>
            <a:effectLst>
              <a:innerShdw blurRad="114300">
                <a:schemeClr val="accent2"/>
              </a:innerShdw>
            </a:effectLst>
          </c:spPr>
          <c:invertIfNegative val="0"/>
          <c:dPt>
            <c:idx val="0"/>
            <c:invertIfNegative val="0"/>
            <c:bubble3D val="0"/>
            <c:spPr>
              <a:solidFill>
                <a:schemeClr val="bg1">
                  <a:lumMod val="85000"/>
                </a:schemeClr>
              </a:solidFill>
              <a:ln>
                <a:noFill/>
              </a:ln>
              <a:effectLst>
                <a:innerShdw blurRad="114300">
                  <a:schemeClr val="accent2"/>
                </a:innerShdw>
              </a:effectLst>
            </c:spPr>
            <c:extLst>
              <c:ext xmlns:c16="http://schemas.microsoft.com/office/drawing/2014/chart" uri="{C3380CC4-5D6E-409C-BE32-E72D297353CC}">
                <c16:uniqueId val="{00000001-1D61-4626-8E15-F3EB7D323322}"/>
              </c:ext>
            </c:extLst>
          </c:dPt>
          <c:dPt>
            <c:idx val="1"/>
            <c:invertIfNegative val="0"/>
            <c:bubble3D val="0"/>
            <c:spPr>
              <a:solidFill>
                <a:schemeClr val="bg1">
                  <a:lumMod val="85000"/>
                </a:schemeClr>
              </a:solidFill>
              <a:ln>
                <a:noFill/>
              </a:ln>
              <a:effectLst>
                <a:innerShdw blurRad="114300">
                  <a:schemeClr val="accent2"/>
                </a:innerShdw>
              </a:effectLst>
            </c:spPr>
            <c:extLst>
              <c:ext xmlns:c16="http://schemas.microsoft.com/office/drawing/2014/chart" uri="{C3380CC4-5D6E-409C-BE32-E72D297353CC}">
                <c16:uniqueId val="{00000002-1D61-4626-8E15-F3EB7D323322}"/>
              </c:ext>
            </c:extLst>
          </c:dPt>
          <c:dPt>
            <c:idx val="2"/>
            <c:invertIfNegative val="0"/>
            <c:bubble3D val="0"/>
            <c:spPr>
              <a:solidFill>
                <a:schemeClr val="bg1">
                  <a:lumMod val="85000"/>
                </a:schemeClr>
              </a:solidFill>
              <a:ln>
                <a:noFill/>
              </a:ln>
              <a:effectLst>
                <a:innerShdw blurRad="114300">
                  <a:schemeClr val="accent2"/>
                </a:innerShdw>
              </a:effectLst>
            </c:spPr>
            <c:extLst>
              <c:ext xmlns:c16="http://schemas.microsoft.com/office/drawing/2014/chart" uri="{C3380CC4-5D6E-409C-BE32-E72D297353CC}">
                <c16:uniqueId val="{00000003-1D61-4626-8E15-F3EB7D323322}"/>
              </c:ext>
            </c:extLst>
          </c:dPt>
          <c:dLbls>
            <c:dLbl>
              <c:idx val="0"/>
              <c:layout>
                <c:manualLayout>
                  <c:x val="2.4469094683850189E-2"/>
                  <c:y val="0"/>
                </c:manualLayout>
              </c:layout>
              <c:numFmt formatCode="&quot;$&quot;0.00,,&quot;M&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0539326030314569"/>
                      <c:h val="5.5486293379994167E-2"/>
                    </c:manualLayout>
                  </c15:layout>
                </c:ext>
                <c:ext xmlns:c16="http://schemas.microsoft.com/office/drawing/2014/chart" uri="{C3380CC4-5D6E-409C-BE32-E72D297353CC}">
                  <c16:uniqueId val="{00000001-1D61-4626-8E15-F3EB7D323322}"/>
                </c:ext>
              </c:extLst>
            </c:dLbl>
            <c:dLbl>
              <c:idx val="1"/>
              <c:layout>
                <c:manualLayout>
                  <c:x val="3.2625316860545393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D61-4626-8E15-F3EB7D323322}"/>
                </c:ext>
              </c:extLst>
            </c:dLbl>
            <c:dLbl>
              <c:idx val="2"/>
              <c:layout>
                <c:manualLayout>
                  <c:x val="1.9031434835318148E-2"/>
                  <c:y val="-8.4875562720133283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D61-4626-8E15-F3EB7D323322}"/>
                </c:ext>
              </c:extLst>
            </c:dLbl>
            <c:numFmt formatCode="&quot;$&quot;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Pivot_Analysis!$A$5:$A$8</c:f>
              <c:strCache>
                <c:ptCount val="3"/>
                <c:pt idx="0">
                  <c:v>Central</c:v>
                </c:pt>
                <c:pt idx="1">
                  <c:v>North</c:v>
                </c:pt>
                <c:pt idx="2">
                  <c:v>South</c:v>
                </c:pt>
              </c:strCache>
            </c:strRef>
          </c:cat>
          <c:val>
            <c:numRef>
              <c:f>Pivot_Analysis!$C$5:$C$8</c:f>
              <c:numCache>
                <c:formatCode>General</c:formatCode>
                <c:ptCount val="3"/>
                <c:pt idx="0">
                  <c:v>19434954.259999983</c:v>
                </c:pt>
                <c:pt idx="1">
                  <c:v>22791765.830000006</c:v>
                </c:pt>
                <c:pt idx="2">
                  <c:v>20082765.389999967</c:v>
                </c:pt>
              </c:numCache>
            </c:numRef>
          </c:val>
          <c:extLst>
            <c:ext xmlns:c16="http://schemas.microsoft.com/office/drawing/2014/chart" uri="{C3380CC4-5D6E-409C-BE32-E72D297353CC}">
              <c16:uniqueId val="{00000004-1D61-4626-8E15-F3EB7D323322}"/>
            </c:ext>
          </c:extLst>
        </c:ser>
        <c:dLbls>
          <c:showLegendKey val="0"/>
          <c:showVal val="0"/>
          <c:showCatName val="0"/>
          <c:showSerName val="0"/>
          <c:showPercent val="0"/>
          <c:showBubbleSize val="0"/>
        </c:dLbls>
        <c:gapWidth val="164"/>
        <c:overlap val="-22"/>
        <c:axId val="1345142863"/>
        <c:axId val="1345141903"/>
      </c:barChart>
      <c:catAx>
        <c:axId val="1345142863"/>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5141903"/>
        <c:crosses val="autoZero"/>
        <c:auto val="1"/>
        <c:lblAlgn val="ctr"/>
        <c:lblOffset val="100"/>
        <c:noMultiLvlLbl val="0"/>
      </c:catAx>
      <c:valAx>
        <c:axId val="1345141903"/>
        <c:scaling>
          <c:orientation val="minMax"/>
        </c:scaling>
        <c:delete val="1"/>
        <c:axPos val="l"/>
        <c:numFmt formatCode="General" sourceLinked="1"/>
        <c:majorTickMark val="none"/>
        <c:minorTickMark val="none"/>
        <c:tickLblPos val="nextTo"/>
        <c:crossAx val="13451428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[Excel_Retail_Sales_Portfolio_Project_RAW.xlsx]Pivot_Analysis!PivotTable1</c:name>
    <c:fmtId val="17"/>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US" sz="1600" b="1">
                <a:solidFill>
                  <a:schemeClr val="tx1"/>
                </a:solidFill>
              </a:rPr>
              <a:t>TOP</a:t>
            </a:r>
            <a:r>
              <a:rPr lang="en-US" sz="1600" b="1" baseline="0">
                <a:solidFill>
                  <a:schemeClr val="tx1"/>
                </a:solidFill>
              </a:rPr>
              <a:t> 5 PRODUCTS BY REVENUE</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ivotFmts>
      <c:pivotFmt>
        <c:idx val="0"/>
        <c:spPr>
          <a:solidFill>
            <a:srgbClr val="C00000"/>
          </a:solidFill>
          <a:ln>
            <a:noFill/>
          </a:ln>
          <a:effectLst/>
        </c:spPr>
        <c:marker>
          <c:symbol val="none"/>
        </c:marker>
        <c:dLbl>
          <c:idx val="0"/>
          <c:numFmt formatCode="&quot;$&quot;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ln>
          <a:effectLst/>
        </c:spPr>
        <c:marker>
          <c:symbol val="none"/>
        </c:marker>
        <c:dLbl>
          <c:idx val="0"/>
          <c:numFmt formatCode="&quot;$&quot;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numFmt formatCode="&quot;$&quot;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175571803524561"/>
          <c:y val="0.2130479002624672"/>
          <c:w val="0.80699548059451154"/>
          <c:h val="0.77736111111111106"/>
        </c:manualLayout>
      </c:layout>
      <c:barChart>
        <c:barDir val="bar"/>
        <c:grouping val="clustered"/>
        <c:varyColors val="0"/>
        <c:ser>
          <c:idx val="0"/>
          <c:order val="0"/>
          <c:tx>
            <c:strRef>
              <c:f>Pivot_Analysis!$B$17</c:f>
              <c:strCache>
                <c:ptCount val="1"/>
                <c:pt idx="0">
                  <c:v>Total</c:v>
                </c:pt>
              </c:strCache>
            </c:strRef>
          </c:tx>
          <c:spPr>
            <a:solidFill>
              <a:srgbClr val="C00000"/>
            </a:solidFill>
            <a:ln>
              <a:noFill/>
            </a:ln>
            <a:effectLst/>
          </c:spPr>
          <c:invertIfNegative val="0"/>
          <c:dLbls>
            <c:numFmt formatCode="&quot;$&quot;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Pivot_Analysis!$A$18:$A$23</c:f>
              <c:strCache>
                <c:ptCount val="5"/>
                <c:pt idx="0">
                  <c:v>Air Conditioner</c:v>
                </c:pt>
                <c:pt idx="1">
                  <c:v>Laptop</c:v>
                </c:pt>
                <c:pt idx="2">
                  <c:v>Microwave</c:v>
                </c:pt>
                <c:pt idx="3">
                  <c:v>Monitor</c:v>
                </c:pt>
                <c:pt idx="4">
                  <c:v>Smartphone</c:v>
                </c:pt>
              </c:strCache>
            </c:strRef>
          </c:cat>
          <c:val>
            <c:numRef>
              <c:f>Pivot_Analysis!$B$18:$B$23</c:f>
              <c:numCache>
                <c:formatCode>General</c:formatCode>
                <c:ptCount val="5"/>
                <c:pt idx="0">
                  <c:v>46049743.959999979</c:v>
                </c:pt>
                <c:pt idx="1">
                  <c:v>58810126.890000015</c:v>
                </c:pt>
                <c:pt idx="2">
                  <c:v>13453894.700000001</c:v>
                </c:pt>
                <c:pt idx="3">
                  <c:v>17659356.709999997</c:v>
                </c:pt>
                <c:pt idx="4">
                  <c:v>41872832.909999982</c:v>
                </c:pt>
              </c:numCache>
            </c:numRef>
          </c:val>
          <c:extLst>
            <c:ext xmlns:c16="http://schemas.microsoft.com/office/drawing/2014/chart" uri="{C3380CC4-5D6E-409C-BE32-E72D297353CC}">
              <c16:uniqueId val="{00000000-379A-4F8B-A187-70CC8D53041D}"/>
            </c:ext>
          </c:extLst>
        </c:ser>
        <c:dLbls>
          <c:showLegendKey val="0"/>
          <c:showVal val="0"/>
          <c:showCatName val="0"/>
          <c:showSerName val="0"/>
          <c:showPercent val="0"/>
          <c:showBubbleSize val="0"/>
        </c:dLbls>
        <c:gapWidth val="182"/>
        <c:axId val="980784416"/>
        <c:axId val="980785376"/>
      </c:barChart>
      <c:catAx>
        <c:axId val="9807844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0785376"/>
        <c:crosses val="autoZero"/>
        <c:auto val="1"/>
        <c:lblAlgn val="ctr"/>
        <c:lblOffset val="100"/>
        <c:noMultiLvlLbl val="0"/>
      </c:catAx>
      <c:valAx>
        <c:axId val="980785376"/>
        <c:scaling>
          <c:orientation val="minMax"/>
        </c:scaling>
        <c:delete val="1"/>
        <c:axPos val="b"/>
        <c:numFmt formatCode="General" sourceLinked="1"/>
        <c:majorTickMark val="none"/>
        <c:minorTickMark val="none"/>
        <c:tickLblPos val="nextTo"/>
        <c:crossAx val="9807844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[Excel_Retail_Sales_Portfolio_Project_RAW.xlsx]Pivot_Analysis!PivotTable4</c:name>
    <c:fmtId val="6"/>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US" sz="1600" b="1">
                <a:solidFill>
                  <a:schemeClr val="tx1"/>
                </a:solidFill>
              </a:rPr>
              <a:t>TOP</a:t>
            </a:r>
            <a:r>
              <a:rPr lang="en-US" sz="1600" b="1" baseline="0">
                <a:solidFill>
                  <a:schemeClr val="tx1"/>
                </a:solidFill>
              </a:rPr>
              <a:t> 5 SALES PERSONS BY REVENUE</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ivotFmts>
      <c:pivotFmt>
        <c:idx val="0"/>
        <c:spPr>
          <a:solidFill>
            <a:srgbClr val="C00000"/>
          </a:solidFill>
          <a:ln>
            <a:noFill/>
          </a:ln>
          <a:effectLst/>
        </c:spPr>
        <c:marker>
          <c:symbol val="none"/>
        </c:marker>
        <c:dLbl>
          <c:idx val="0"/>
          <c:numFmt formatCode="&quot;$&quot;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ln>
          <a:effectLst/>
        </c:spPr>
        <c:marker>
          <c:symbol val="none"/>
        </c:marker>
        <c:dLbl>
          <c:idx val="0"/>
          <c:numFmt formatCode="&quot;$&quot;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numFmt formatCode="&quot;$&quot;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080119240728294"/>
          <c:y val="0.22630600233755777"/>
          <c:w val="0.80691187555691901"/>
          <c:h val="0.77369411764705887"/>
        </c:manualLayout>
      </c:layout>
      <c:barChart>
        <c:barDir val="bar"/>
        <c:grouping val="clustered"/>
        <c:varyColors val="0"/>
        <c:ser>
          <c:idx val="0"/>
          <c:order val="0"/>
          <c:tx>
            <c:strRef>
              <c:f>Pivot_Analysis!$B$31</c:f>
              <c:strCache>
                <c:ptCount val="1"/>
                <c:pt idx="0">
                  <c:v>Total</c:v>
                </c:pt>
              </c:strCache>
            </c:strRef>
          </c:tx>
          <c:spPr>
            <a:solidFill>
              <a:srgbClr val="C00000"/>
            </a:solidFill>
            <a:ln>
              <a:noFill/>
            </a:ln>
            <a:effectLst/>
          </c:spPr>
          <c:invertIfNegative val="0"/>
          <c:dLbls>
            <c:numFmt formatCode="&quot;$&quot;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Pivot_Analysis!$A$32:$A$40</c:f>
              <c:strCache>
                <c:ptCount val="8"/>
                <c:pt idx="0">
                  <c:v>Ali Khan</c:v>
                </c:pt>
                <c:pt idx="1">
                  <c:v>Ayesha Noor</c:v>
                </c:pt>
                <c:pt idx="2">
                  <c:v>Bilal Hussain</c:v>
                </c:pt>
                <c:pt idx="3">
                  <c:v>Fatima Raza</c:v>
                </c:pt>
                <c:pt idx="4">
                  <c:v>Hamza Shah</c:v>
                </c:pt>
                <c:pt idx="5">
                  <c:v>Sara Ahmed</c:v>
                </c:pt>
                <c:pt idx="6">
                  <c:v>Usman Malik</c:v>
                </c:pt>
                <c:pt idx="7">
                  <c:v>Zara Iqbal</c:v>
                </c:pt>
              </c:strCache>
            </c:strRef>
          </c:cat>
          <c:val>
            <c:numRef>
              <c:f>Pivot_Analysis!$B$32:$B$40</c:f>
              <c:numCache>
                <c:formatCode>General</c:formatCode>
                <c:ptCount val="8"/>
                <c:pt idx="0">
                  <c:v>31564555.439999998</c:v>
                </c:pt>
                <c:pt idx="1">
                  <c:v>24502797.780000001</c:v>
                </c:pt>
                <c:pt idx="2">
                  <c:v>39684212.630000003</c:v>
                </c:pt>
                <c:pt idx="3">
                  <c:v>33899568.159999996</c:v>
                </c:pt>
                <c:pt idx="4">
                  <c:v>31826740.320000011</c:v>
                </c:pt>
                <c:pt idx="5">
                  <c:v>32684982.09999999</c:v>
                </c:pt>
                <c:pt idx="6">
                  <c:v>28693708.230000012</c:v>
                </c:pt>
                <c:pt idx="7">
                  <c:v>32671590.950000003</c:v>
                </c:pt>
              </c:numCache>
            </c:numRef>
          </c:val>
          <c:extLst>
            <c:ext xmlns:c16="http://schemas.microsoft.com/office/drawing/2014/chart" uri="{C3380CC4-5D6E-409C-BE32-E72D297353CC}">
              <c16:uniqueId val="{00000000-C1D4-40E2-9545-EDC44957E5F0}"/>
            </c:ext>
          </c:extLst>
        </c:ser>
        <c:dLbls>
          <c:showLegendKey val="0"/>
          <c:showVal val="0"/>
          <c:showCatName val="0"/>
          <c:showSerName val="0"/>
          <c:showPercent val="0"/>
          <c:showBubbleSize val="0"/>
        </c:dLbls>
        <c:gapWidth val="182"/>
        <c:axId val="59522112"/>
        <c:axId val="59526912"/>
      </c:barChart>
      <c:catAx>
        <c:axId val="595221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526912"/>
        <c:crosses val="autoZero"/>
        <c:auto val="1"/>
        <c:lblAlgn val="ctr"/>
        <c:lblOffset val="100"/>
        <c:noMultiLvlLbl val="0"/>
      </c:catAx>
      <c:valAx>
        <c:axId val="59526912"/>
        <c:scaling>
          <c:orientation val="minMax"/>
        </c:scaling>
        <c:delete val="1"/>
        <c:axPos val="b"/>
        <c:numFmt formatCode="General" sourceLinked="1"/>
        <c:majorTickMark val="none"/>
        <c:minorTickMark val="none"/>
        <c:tickLblPos val="nextTo"/>
        <c:crossAx val="595221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[Excel_Retail_Sales_Portfolio_Project_RAW.xlsx]Pivot_Analysis!PivotTable5</c:name>
    <c:fmtId val="32"/>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US" sz="1600" b="1">
                <a:solidFill>
                  <a:schemeClr val="tx1"/>
                </a:solidFill>
              </a:rPr>
              <a:t>REVENUE</a:t>
            </a:r>
            <a:r>
              <a:rPr lang="en-US" sz="1600" b="1" baseline="0">
                <a:solidFill>
                  <a:schemeClr val="tx1"/>
                </a:solidFill>
              </a:rPr>
              <a:t> BY PRODUCT CATEGORY</a:t>
            </a:r>
            <a:endParaRPr lang="en-US" sz="1600" b="1">
              <a:solidFill>
                <a:schemeClr val="tx1"/>
              </a:solidFill>
            </a:endParaRPr>
          </a:p>
        </c:rich>
      </c:tx>
      <c:overlay val="0"/>
      <c:spPr>
        <a:noFill/>
        <a:ln w="9525">
          <a:solidFill>
            <a:schemeClr val="bg1"/>
          </a:solid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ivotFmts>
      <c:pivotFmt>
        <c:idx val="0"/>
        <c:spPr>
          <a:solidFill>
            <a:srgbClr val="C00000"/>
          </a:solidFill>
          <a:ln>
            <a:noFill/>
          </a:ln>
          <a:effectLst/>
        </c:spPr>
        <c:marker>
          <c:symbol val="none"/>
        </c:marker>
        <c:dLbl>
          <c:idx val="0"/>
          <c:numFmt formatCode="&quot;$&quot;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ln>
          <a:effectLst/>
        </c:spPr>
        <c:marker>
          <c:symbol val="none"/>
        </c:marker>
        <c:dLbl>
          <c:idx val="0"/>
          <c:numFmt formatCode="&quot;$&quot;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numFmt formatCode="&quot;$&quot;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19648552611797521"/>
          <c:w val="0.93860464666578625"/>
          <c:h val="0.71856089329948203"/>
        </c:manualLayout>
      </c:layout>
      <c:barChart>
        <c:barDir val="col"/>
        <c:grouping val="clustered"/>
        <c:varyColors val="0"/>
        <c:ser>
          <c:idx val="0"/>
          <c:order val="0"/>
          <c:tx>
            <c:strRef>
              <c:f>Pivot_Analysis!$B$48</c:f>
              <c:strCache>
                <c:ptCount val="1"/>
                <c:pt idx="0">
                  <c:v>Total</c:v>
                </c:pt>
              </c:strCache>
            </c:strRef>
          </c:tx>
          <c:spPr>
            <a:solidFill>
              <a:srgbClr val="C00000"/>
            </a:solidFill>
            <a:ln>
              <a:noFill/>
            </a:ln>
            <a:effectLst/>
          </c:spPr>
          <c:invertIfNegative val="0"/>
          <c:dLbls>
            <c:numFmt formatCode="&quot;$&quot;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Pivot_Analysis!$A$49:$A$53</c:f>
              <c:strCache>
                <c:ptCount val="4"/>
                <c:pt idx="0">
                  <c:v>Accessories</c:v>
                </c:pt>
                <c:pt idx="1">
                  <c:v>Electronics</c:v>
                </c:pt>
                <c:pt idx="2">
                  <c:v>Home Appliances</c:v>
                </c:pt>
                <c:pt idx="3">
                  <c:v>Office Supplies</c:v>
                </c:pt>
              </c:strCache>
            </c:strRef>
          </c:cat>
          <c:val>
            <c:numRef>
              <c:f>Pivot_Analysis!$B$49:$B$53</c:f>
              <c:numCache>
                <c:formatCode>General</c:formatCode>
                <c:ptCount val="4"/>
                <c:pt idx="0">
                  <c:v>10243524.379999993</c:v>
                </c:pt>
                <c:pt idx="1">
                  <c:v>123731610.38999999</c:v>
                </c:pt>
                <c:pt idx="2">
                  <c:v>82090558.170000046</c:v>
                </c:pt>
                <c:pt idx="3">
                  <c:v>39462462.66999995</c:v>
                </c:pt>
              </c:numCache>
            </c:numRef>
          </c:val>
          <c:extLst>
            <c:ext xmlns:c16="http://schemas.microsoft.com/office/drawing/2014/chart" uri="{C3380CC4-5D6E-409C-BE32-E72D297353CC}">
              <c16:uniqueId val="{00000000-672F-4829-983B-01B894EB6DF7}"/>
            </c:ext>
          </c:extLst>
        </c:ser>
        <c:dLbls>
          <c:showLegendKey val="0"/>
          <c:showVal val="0"/>
          <c:showCatName val="0"/>
          <c:showSerName val="0"/>
          <c:showPercent val="0"/>
          <c:showBubbleSize val="0"/>
        </c:dLbls>
        <c:gapWidth val="219"/>
        <c:overlap val="-27"/>
        <c:axId val="59541312"/>
        <c:axId val="59544192"/>
      </c:barChart>
      <c:catAx>
        <c:axId val="59541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544192"/>
        <c:crosses val="autoZero"/>
        <c:auto val="1"/>
        <c:lblAlgn val="ctr"/>
        <c:lblOffset val="100"/>
        <c:noMultiLvlLbl val="0"/>
      </c:catAx>
      <c:valAx>
        <c:axId val="59544192"/>
        <c:scaling>
          <c:orientation val="minMax"/>
        </c:scaling>
        <c:delete val="1"/>
        <c:axPos val="l"/>
        <c:numFmt formatCode="General" sourceLinked="1"/>
        <c:majorTickMark val="none"/>
        <c:minorTickMark val="none"/>
        <c:tickLblPos val="nextTo"/>
        <c:crossAx val="595413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13</xdr:col>
      <xdr:colOff>1737783</xdr:colOff>
      <xdr:row>7</xdr:row>
      <xdr:rowOff>101902</xdr:rowOff>
    </xdr:from>
    <xdr:to>
      <xdr:col>23</xdr:col>
      <xdr:colOff>480483</xdr:colOff>
      <xdr:row>27</xdr:row>
      <xdr:rowOff>161169</xdr:rowOff>
    </xdr:to>
    <xdr:graphicFrame macro="">
      <xdr:nvGraphicFramePr>
        <xdr:cNvPr id="3" name="Chart 2">
          <a:extLst>
            <a:ext uri="{FF2B5EF4-FFF2-40B4-BE49-F238E27FC236}">
              <a16:creationId xmlns:a16="http://schemas.microsoft.com/office/drawing/2014/main" id="{4B553ABF-10F3-486F-8E0B-BEFC396C46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287865</xdr:colOff>
      <xdr:row>29</xdr:row>
      <xdr:rowOff>151190</xdr:rowOff>
    </xdr:from>
    <xdr:to>
      <xdr:col>13</xdr:col>
      <xdr:colOff>1399115</xdr:colOff>
      <xdr:row>50</xdr:row>
      <xdr:rowOff>32656</xdr:rowOff>
    </xdr:to>
    <xdr:graphicFrame macro="">
      <xdr:nvGraphicFramePr>
        <xdr:cNvPr id="4" name="Chart 3">
          <a:extLst>
            <a:ext uri="{FF2B5EF4-FFF2-40B4-BE49-F238E27FC236}">
              <a16:creationId xmlns:a16="http://schemas.microsoft.com/office/drawing/2014/main" id="{515AA561-F365-42C4-ACD9-9E0AAC9FA3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1750484</xdr:colOff>
      <xdr:row>29</xdr:row>
      <xdr:rowOff>151191</xdr:rowOff>
    </xdr:from>
    <xdr:to>
      <xdr:col>23</xdr:col>
      <xdr:colOff>493184</xdr:colOff>
      <xdr:row>50</xdr:row>
      <xdr:rowOff>32657</xdr:rowOff>
    </xdr:to>
    <xdr:graphicFrame macro="">
      <xdr:nvGraphicFramePr>
        <xdr:cNvPr id="5" name="Chart 4">
          <a:extLst>
            <a:ext uri="{FF2B5EF4-FFF2-40B4-BE49-F238E27FC236}">
              <a16:creationId xmlns:a16="http://schemas.microsoft.com/office/drawing/2014/main" id="{566A7D20-0719-415B-BA6F-79A6C1379E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372531</xdr:colOff>
      <xdr:row>7</xdr:row>
      <xdr:rowOff>99786</xdr:rowOff>
    </xdr:from>
    <xdr:to>
      <xdr:col>13</xdr:col>
      <xdr:colOff>1354665</xdr:colOff>
      <xdr:row>27</xdr:row>
      <xdr:rowOff>159053</xdr:rowOff>
    </xdr:to>
    <xdr:graphicFrame macro="">
      <xdr:nvGraphicFramePr>
        <xdr:cNvPr id="6" name="Chart 5">
          <a:extLst>
            <a:ext uri="{FF2B5EF4-FFF2-40B4-BE49-F238E27FC236}">
              <a16:creationId xmlns:a16="http://schemas.microsoft.com/office/drawing/2014/main" id="{908E8BF4-2196-426A-A48E-5714B314E4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63500</xdr:colOff>
      <xdr:row>14</xdr:row>
      <xdr:rowOff>156617</xdr:rowOff>
    </xdr:from>
    <xdr:to>
      <xdr:col>1</xdr:col>
      <xdr:colOff>1564217</xdr:colOff>
      <xdr:row>26</xdr:row>
      <xdr:rowOff>158751</xdr:rowOff>
    </xdr:to>
    <mc:AlternateContent xmlns:mc="http://schemas.openxmlformats.org/markup-compatibility/2006">
      <mc:Choice xmlns:a14="http://schemas.microsoft.com/office/drawing/2010/main" Requires="a14">
        <xdr:graphicFrame macro="">
          <xdr:nvGraphicFramePr>
            <xdr:cNvPr id="7" name="Product Category">
              <a:extLst>
                <a:ext uri="{FF2B5EF4-FFF2-40B4-BE49-F238E27FC236}">
                  <a16:creationId xmlns:a16="http://schemas.microsoft.com/office/drawing/2014/main" id="{717CA5F2-FCC4-443B-A4CD-DECC10FADAA7}"/>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63500" y="4195217"/>
              <a:ext cx="2161117" cy="21357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1693636</xdr:colOff>
      <xdr:row>9</xdr:row>
      <xdr:rowOff>56092</xdr:rowOff>
    </xdr:from>
    <xdr:to>
      <xdr:col>4</xdr:col>
      <xdr:colOff>149183</xdr:colOff>
      <xdr:row>22</xdr:row>
      <xdr:rowOff>42334</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46E9A08D-D8A1-4EE5-B821-CF8CF427BB4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354036" y="3205692"/>
              <a:ext cx="2189347" cy="22976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276062</xdr:colOff>
      <xdr:row>11</xdr:row>
      <xdr:rowOff>19206</xdr:rowOff>
    </xdr:from>
    <xdr:to>
      <xdr:col>6</xdr:col>
      <xdr:colOff>15876</xdr:colOff>
      <xdr:row>27</xdr:row>
      <xdr:rowOff>19050</xdr:rowOff>
    </xdr:to>
    <mc:AlternateContent xmlns:mc="http://schemas.openxmlformats.org/markup-compatibility/2006">
      <mc:Choice xmlns:a14="http://schemas.microsoft.com/office/drawing/2010/main" Requires="a14">
        <xdr:graphicFrame macro="">
          <xdr:nvGraphicFramePr>
            <xdr:cNvPr id="9" name="Salesperson">
              <a:extLst>
                <a:ext uri="{FF2B5EF4-FFF2-40B4-BE49-F238E27FC236}">
                  <a16:creationId xmlns:a16="http://schemas.microsoft.com/office/drawing/2014/main" id="{E859E6E7-706C-4A20-AAE9-9371A9848A9B}"/>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dr:sp macro="" textlink="">
          <xdr:nvSpPr>
            <xdr:cNvPr id="0" name=""/>
            <xdr:cNvSpPr>
              <a:spLocks noTextEdit="1"/>
            </xdr:cNvSpPr>
          </xdr:nvSpPr>
          <xdr:spPr>
            <a:xfrm>
              <a:off x="4670262" y="3524406"/>
              <a:ext cx="2330614" cy="28446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AHAD ALI" refreshedDate="46297.389562037039" createdVersion="8" refreshedVersion="8" minRefreshableVersion="3" recordCount="1436" xr:uid="{E0F04D4C-92AD-43D5-861F-4B84D0ED4EB7}">
  <cacheSource type="worksheet">
    <worksheetSource name="RawSalesTable_"/>
  </cacheSource>
  <cacheFields count="15">
    <cacheField name="Order ID" numFmtId="0">
      <sharedItems/>
    </cacheField>
    <cacheField name="Order Date" numFmtId="14">
      <sharedItems containsSemiMixedTypes="0" containsNonDate="0" containsDate="1" containsString="0" minDate="2025-01-01T00:00:00" maxDate="2026-01-01T00:00:00" count="361">
        <d v="2025-10-07T00:00:00"/>
        <d v="2025-11-29T00:00:00"/>
        <d v="2025-04-21T00:00:00"/>
        <d v="2025-10-02T00:00:00"/>
        <d v="2025-05-29T00:00:00"/>
        <d v="2025-05-17T00:00:00"/>
        <d v="2025-04-23T00:00:00"/>
        <d v="2025-06-11T00:00:00"/>
        <d v="2025-05-15T00:00:00"/>
        <d v="2025-03-23T00:00:00"/>
        <d v="2025-02-10T00:00:00"/>
        <d v="2025-09-29T00:00:00"/>
        <d v="2025-11-07T00:00:00"/>
        <d v="2025-09-22T00:00:00"/>
        <d v="2025-01-04T00:00:00"/>
        <d v="2025-04-20T00:00:00"/>
        <d v="2025-07-30T00:00:00"/>
        <d v="2025-04-08T00:00:00"/>
        <d v="2025-10-09T00:00:00"/>
        <d v="2025-07-25T00:00:00"/>
        <d v="2025-10-12T00:00:00"/>
        <d v="2025-09-02T00:00:00"/>
        <d v="2025-10-19T00:00:00"/>
        <d v="2025-05-16T00:00:00"/>
        <d v="2025-11-15T00:00:00"/>
        <d v="2025-03-22T00:00:00"/>
        <d v="2025-02-24T00:00:00"/>
        <d v="2025-05-09T00:00:00"/>
        <d v="2025-01-21T00:00:00"/>
        <d v="2025-05-02T00:00:00"/>
        <d v="2025-04-27T00:00:00"/>
        <d v="2025-09-18T00:00:00"/>
        <d v="2025-06-10T00:00:00"/>
        <d v="2025-10-03T00:00:00"/>
        <d v="2025-12-08T00:00:00"/>
        <d v="2025-03-31T00:00:00"/>
        <d v="2025-06-14T00:00:00"/>
        <d v="2025-09-01T00:00:00"/>
        <d v="2025-01-03T00:00:00"/>
        <d v="2025-08-26T00:00:00"/>
        <d v="2025-05-07T00:00:00"/>
        <d v="2025-06-13T00:00:00"/>
        <d v="2025-08-27T00:00:00"/>
        <d v="2025-07-19T00:00:00"/>
        <d v="2025-07-27T00:00:00"/>
        <d v="2025-08-25T00:00:00"/>
        <d v="2025-08-04T00:00:00"/>
        <d v="2025-01-16T00:00:00"/>
        <d v="2025-04-22T00:00:00"/>
        <d v="2025-10-22T00:00:00"/>
        <d v="2025-11-04T00:00:00"/>
        <d v="2025-05-19T00:00:00"/>
        <d v="2025-08-19T00:00:00"/>
        <d v="2025-04-19T00:00:00"/>
        <d v="2025-05-05T00:00:00"/>
        <d v="2025-10-29T00:00:00"/>
        <d v="2025-05-21T00:00:00"/>
        <d v="2025-09-03T00:00:00"/>
        <d v="2025-10-23T00:00:00"/>
        <d v="2025-11-13T00:00:00"/>
        <d v="2025-02-20T00:00:00"/>
        <d v="2025-07-29T00:00:00"/>
        <d v="2025-04-30T00:00:00"/>
        <d v="2025-06-07T00:00:00"/>
        <d v="2025-11-03T00:00:00"/>
        <d v="2025-08-12T00:00:00"/>
        <d v="2025-12-22T00:00:00"/>
        <d v="2025-07-26T00:00:00"/>
        <d v="2025-12-30T00:00:00"/>
        <d v="2025-03-16T00:00:00"/>
        <d v="2025-09-17T00:00:00"/>
        <d v="2025-10-10T00:00:00"/>
        <d v="2025-08-31T00:00:00"/>
        <d v="2025-01-19T00:00:00"/>
        <d v="2025-12-27T00:00:00"/>
        <d v="2025-07-11T00:00:00"/>
        <d v="2025-11-14T00:00:00"/>
        <d v="2025-04-12T00:00:00"/>
        <d v="2025-12-04T00:00:00"/>
        <d v="2025-06-30T00:00:00"/>
        <d v="2025-07-06T00:00:00"/>
        <d v="2025-07-07T00:00:00"/>
        <d v="2025-04-26T00:00:00"/>
        <d v="2025-11-09T00:00:00"/>
        <d v="2025-10-04T00:00:00"/>
        <d v="2025-07-09T00:00:00"/>
        <d v="2025-07-23T00:00:00"/>
        <d v="2025-03-06T00:00:00"/>
        <d v="2025-01-09T00:00:00"/>
        <d v="2025-02-25T00:00:00"/>
        <d v="2025-11-16T00:00:00"/>
        <d v="2025-12-02T00:00:00"/>
        <d v="2025-08-07T00:00:00"/>
        <d v="2025-07-10T00:00:00"/>
        <d v="2025-08-05T00:00:00"/>
        <d v="2025-02-11T00:00:00"/>
        <d v="2025-08-09T00:00:00"/>
        <d v="2025-04-15T00:00:00"/>
        <d v="2025-03-08T00:00:00"/>
        <d v="2025-08-24T00:00:00"/>
        <d v="2025-03-29T00:00:00"/>
        <d v="2025-08-06T00:00:00"/>
        <d v="2025-11-27T00:00:00"/>
        <d v="2025-11-18T00:00:00"/>
        <d v="2025-11-20T00:00:00"/>
        <d v="2025-05-27T00:00:00"/>
        <d v="2025-12-29T00:00:00"/>
        <d v="2025-06-23T00:00:00"/>
        <d v="2025-11-05T00:00:00"/>
        <d v="2025-01-10T00:00:00"/>
        <d v="2025-06-01T00:00:00"/>
        <d v="2025-03-26T00:00:00"/>
        <d v="2025-05-03T00:00:00"/>
        <d v="2025-03-24T00:00:00"/>
        <d v="2025-05-26T00:00:00"/>
        <d v="2025-06-28T00:00:00"/>
        <d v="2025-08-29T00:00:00"/>
        <d v="2025-02-26T00:00:00"/>
        <d v="2025-10-20T00:00:00"/>
        <d v="2025-06-26T00:00:00"/>
        <d v="2025-04-13T00:00:00"/>
        <d v="2025-07-02T00:00:00"/>
        <d v="2025-04-06T00:00:00"/>
        <d v="2025-04-03T00:00:00"/>
        <d v="2025-12-20T00:00:00"/>
        <d v="2025-11-23T00:00:00"/>
        <d v="2025-01-18T00:00:00"/>
        <d v="2025-12-14T00:00:00"/>
        <d v="2025-02-28T00:00:00"/>
        <d v="2025-11-10T00:00:00"/>
        <d v="2025-02-14T00:00:00"/>
        <d v="2025-07-05T00:00:00"/>
        <d v="2025-06-12T00:00:00"/>
        <d v="2025-01-29T00:00:00"/>
        <d v="2025-03-28T00:00:00"/>
        <d v="2025-12-17T00:00:00"/>
        <d v="2025-11-12T00:00:00"/>
        <d v="2025-09-11T00:00:00"/>
        <d v="2025-09-21T00:00:00"/>
        <d v="2025-09-30T00:00:00"/>
        <d v="2025-12-19T00:00:00"/>
        <d v="2025-07-14T00:00:00"/>
        <d v="2025-12-06T00:00:00"/>
        <d v="2025-12-21T00:00:00"/>
        <d v="2025-07-22T00:00:00"/>
        <d v="2025-01-26T00:00:00"/>
        <d v="2025-02-15T00:00:00"/>
        <d v="2025-09-10T00:00:00"/>
        <d v="2025-03-10T00:00:00"/>
        <d v="2025-04-14T00:00:00"/>
        <d v="2025-09-19T00:00:00"/>
        <d v="2025-01-12T00:00:00"/>
        <d v="2025-01-31T00:00:00"/>
        <d v="2025-01-17T00:00:00"/>
        <d v="2025-01-25T00:00:00"/>
        <d v="2025-10-30T00:00:00"/>
        <d v="2025-02-07T00:00:00"/>
        <d v="2025-03-02T00:00:00"/>
        <d v="2025-10-01T00:00:00"/>
        <d v="2025-10-24T00:00:00"/>
        <d v="2025-07-01T00:00:00"/>
        <d v="2025-09-13T00:00:00"/>
        <d v="2025-04-17T00:00:00"/>
        <d v="2025-03-13T00:00:00"/>
        <d v="2025-12-15T00:00:00"/>
        <d v="2025-11-21T00:00:00"/>
        <d v="2025-02-17T00:00:00"/>
        <d v="2025-05-22T00:00:00"/>
        <d v="2025-04-11T00:00:00"/>
        <d v="2025-06-18T00:00:00"/>
        <d v="2025-10-16T00:00:00"/>
        <d v="2025-02-05T00:00:00"/>
        <d v="2025-07-13T00:00:00"/>
        <d v="2025-07-24T00:00:00"/>
        <d v="2025-08-01T00:00:00"/>
        <d v="2025-06-25T00:00:00"/>
        <d v="2025-08-08T00:00:00"/>
        <d v="2025-06-16T00:00:00"/>
        <d v="2025-04-04T00:00:00"/>
        <d v="2025-07-03T00:00:00"/>
        <d v="2025-08-16T00:00:00"/>
        <d v="2025-01-22T00:00:00"/>
        <d v="2025-08-23T00:00:00"/>
        <d v="2025-06-22T00:00:00"/>
        <d v="2025-07-04T00:00:00"/>
        <d v="2025-07-16T00:00:00"/>
        <d v="2025-12-13T00:00:00"/>
        <d v="2025-03-19T00:00:00"/>
        <d v="2025-02-27T00:00:00"/>
        <d v="2025-09-12T00:00:00"/>
        <d v="2025-10-18T00:00:00"/>
        <d v="2025-01-07T00:00:00"/>
        <d v="2025-09-15T00:00:00"/>
        <d v="2025-06-09T00:00:00"/>
        <d v="2025-10-05T00:00:00"/>
        <d v="2025-02-18T00:00:00"/>
        <d v="2025-07-21T00:00:00"/>
        <d v="2025-12-31T00:00:00"/>
        <d v="2025-08-17T00:00:00"/>
        <d v="2025-10-06T00:00:00"/>
        <d v="2025-12-24T00:00:00"/>
        <d v="2025-11-11T00:00:00"/>
        <d v="2025-03-14T00:00:00"/>
        <d v="2025-03-07T00:00:00"/>
        <d v="2025-10-17T00:00:00"/>
        <d v="2025-02-21T00:00:00"/>
        <d v="2025-12-16T00:00:00"/>
        <d v="2025-04-07T00:00:00"/>
        <d v="2025-05-08T00:00:00"/>
        <d v="2025-03-05T00:00:00"/>
        <d v="2025-05-13T00:00:00"/>
        <d v="2025-04-16T00:00:00"/>
        <d v="2025-04-25T00:00:00"/>
        <d v="2025-10-13T00:00:00"/>
        <d v="2025-04-24T00:00:00"/>
        <d v="2025-06-02T00:00:00"/>
        <d v="2025-01-20T00:00:00"/>
        <d v="2025-08-22T00:00:00"/>
        <d v="2025-03-01T00:00:00"/>
        <d v="2025-06-04T00:00:00"/>
        <d v="2025-09-23T00:00:00"/>
        <d v="2025-06-19T00:00:00"/>
        <d v="2025-08-18T00:00:00"/>
        <d v="2025-06-24T00:00:00"/>
        <d v="2025-12-03T00:00:00"/>
        <d v="2025-12-18T00:00:00"/>
        <d v="2025-08-20T00:00:00"/>
        <d v="2025-07-18T00:00:00"/>
        <d v="2025-12-09T00:00:00"/>
        <d v="2025-08-10T00:00:00"/>
        <d v="2025-12-05T00:00:00"/>
        <d v="2025-04-05T00:00:00"/>
        <d v="2025-02-04T00:00:00"/>
        <d v="2025-09-07T00:00:00"/>
        <d v="2025-08-21T00:00:00"/>
        <d v="2025-12-01T00:00:00"/>
        <d v="2025-05-24T00:00:00"/>
        <d v="2025-09-04T00:00:00"/>
        <d v="2025-10-26T00:00:00"/>
        <d v="2025-02-12T00:00:00"/>
        <d v="2025-02-16T00:00:00"/>
        <d v="2025-07-31T00:00:00"/>
        <d v="2025-02-08T00:00:00"/>
        <d v="2025-05-01T00:00:00"/>
        <d v="2025-11-19T00:00:00"/>
        <d v="2025-05-11T00:00:00"/>
        <d v="2025-05-12T00:00:00"/>
        <d v="2025-12-11T00:00:00"/>
        <d v="2025-01-14T00:00:00"/>
        <d v="2025-08-15T00:00:00"/>
        <d v="2025-08-28T00:00:00"/>
        <d v="2025-06-27T00:00:00"/>
        <d v="2025-09-25T00:00:00"/>
        <d v="2025-11-02T00:00:00"/>
        <d v="2025-07-20T00:00:00"/>
        <d v="2025-11-17T00:00:00"/>
        <d v="2025-09-06T00:00:00"/>
        <d v="2025-04-29T00:00:00"/>
        <d v="2025-12-12T00:00:00"/>
        <d v="2025-08-11T00:00:00"/>
        <d v="2025-11-01T00:00:00"/>
        <d v="2025-11-30T00:00:00"/>
        <d v="2025-12-10T00:00:00"/>
        <d v="2025-02-13T00:00:00"/>
        <d v="2025-08-30T00:00:00"/>
        <d v="2025-09-08T00:00:00"/>
        <d v="2025-02-01T00:00:00"/>
        <d v="2025-03-09T00:00:00"/>
        <d v="2025-01-08T00:00:00"/>
        <d v="2025-01-28T00:00:00"/>
        <d v="2025-03-25T00:00:00"/>
        <d v="2025-05-06T00:00:00"/>
        <d v="2025-12-28T00:00:00"/>
        <d v="2025-03-21T00:00:00"/>
        <d v="2025-06-08T00:00:00"/>
        <d v="2025-08-14T00:00:00"/>
        <d v="2025-04-02T00:00:00"/>
        <d v="2025-06-29T00:00:00"/>
        <d v="2025-05-25T00:00:00"/>
        <d v="2025-01-06T00:00:00"/>
        <d v="2025-04-09T00:00:00"/>
        <d v="2025-11-06T00:00:00"/>
        <d v="2025-07-15T00:00:00"/>
        <d v="2025-01-01T00:00:00"/>
        <d v="2025-02-19T00:00:00"/>
        <d v="2025-08-02T00:00:00"/>
        <d v="2025-03-18T00:00:00"/>
        <d v="2025-02-06T00:00:00"/>
        <d v="2025-02-02T00:00:00"/>
        <d v="2025-09-24T00:00:00"/>
        <d v="2025-06-06T00:00:00"/>
        <d v="2025-03-27T00:00:00"/>
        <d v="2025-11-25T00:00:00"/>
        <d v="2025-11-24T00:00:00"/>
        <d v="2025-01-15T00:00:00"/>
        <d v="2025-05-30T00:00:00"/>
        <d v="2025-09-27T00:00:00"/>
        <d v="2025-05-23T00:00:00"/>
        <d v="2025-03-03T00:00:00"/>
        <d v="2025-01-11T00:00:00"/>
        <d v="2025-05-18T00:00:00"/>
        <d v="2025-06-03T00:00:00"/>
        <d v="2025-10-14T00:00:00"/>
        <d v="2025-07-28T00:00:00"/>
        <d v="2025-03-30T00:00:00"/>
        <d v="2025-03-17T00:00:00"/>
        <d v="2025-03-20T00:00:00"/>
        <d v="2025-01-23T00:00:00"/>
        <d v="2025-12-26T00:00:00"/>
        <d v="2025-01-05T00:00:00"/>
        <d v="2025-05-14T00:00:00"/>
        <d v="2025-10-15T00:00:00"/>
        <d v="2025-09-16T00:00:00"/>
        <d v="2025-06-05T00:00:00"/>
        <d v="2025-05-04T00:00:00"/>
        <d v="2025-09-28T00:00:00"/>
        <d v="2025-10-27T00:00:00"/>
        <d v="2025-07-08T00:00:00"/>
        <d v="2025-07-17T00:00:00"/>
        <d v="2025-03-11T00:00:00"/>
        <d v="2025-02-09T00:00:00"/>
        <d v="2025-06-15T00:00:00"/>
        <d v="2025-12-07T00:00:00"/>
        <d v="2025-07-12T00:00:00"/>
        <d v="2025-09-14T00:00:00"/>
        <d v="2025-06-17T00:00:00"/>
        <d v="2025-09-09T00:00:00"/>
        <d v="2025-03-04T00:00:00"/>
        <d v="2025-12-25T00:00:00"/>
        <d v="2025-06-20T00:00:00"/>
        <d v="2025-02-23T00:00:00"/>
        <d v="2025-01-27T00:00:00"/>
        <d v="2025-05-10T00:00:00"/>
        <d v="2025-09-20T00:00:00"/>
        <d v="2025-01-30T00:00:00"/>
        <d v="2025-11-26T00:00:00"/>
        <d v="2025-01-02T00:00:00"/>
        <d v="2025-04-28T00:00:00"/>
        <d v="2025-03-15T00:00:00"/>
        <d v="2025-06-21T00:00:00"/>
        <d v="2025-04-01T00:00:00"/>
        <d v="2025-10-31T00:00:00"/>
        <d v="2025-11-08T00:00:00"/>
        <d v="2025-09-05T00:00:00"/>
        <d v="2025-04-10T00:00:00"/>
        <d v="2025-05-28T00:00:00"/>
        <d v="2025-03-12T00:00:00"/>
        <d v="2025-08-13T00:00:00"/>
        <d v="2025-10-11T00:00:00"/>
        <d v="2025-04-18T00:00:00"/>
        <d v="2025-11-28T00:00:00"/>
        <d v="2025-10-28T00:00:00"/>
        <d v="2025-01-13T00:00:00"/>
        <d v="2025-05-20T00:00:00"/>
        <d v="2025-11-22T00:00:00"/>
        <d v="2025-02-03T00:00:00"/>
        <d v="2025-09-26T00:00:00"/>
        <d v="2025-08-03T00:00:00"/>
        <d v="2025-05-31T00:00:00"/>
        <d v="2025-10-25T00:00:00"/>
        <d v="2025-01-24T00:00:00"/>
      </sharedItems>
    </cacheField>
    <cacheField name="Region" numFmtId="0">
      <sharedItems count="3">
        <s v="Central"/>
        <s v="North"/>
        <s v="South"/>
      </sharedItems>
    </cacheField>
    <cacheField name="City" numFmtId="0">
      <sharedItems/>
    </cacheField>
    <cacheField name="Product Category" numFmtId="0">
      <sharedItems count="4">
        <s v="Electronics"/>
        <s v="Home Appliances"/>
        <s v="Office Supplies"/>
        <s v="Accessories"/>
      </sharedItems>
    </cacheField>
    <cacheField name="Product" numFmtId="0">
      <sharedItems count="16">
        <s v="Headphones"/>
        <s v="Smartphone"/>
        <s v="Air Conditioner"/>
        <s v="Vacuum Cleaner"/>
        <s v="Water Dispenser"/>
        <s v="Office Chair"/>
        <s v="Usb Hub"/>
        <s v="Keyboard"/>
        <s v="Webcam"/>
        <s v="Desk"/>
        <s v="Laptop"/>
        <s v="Printer"/>
        <s v="Microwave"/>
        <s v="Power Bank"/>
        <s v="Mouse"/>
        <s v="Monitor"/>
      </sharedItems>
    </cacheField>
    <cacheField name="Salesperson" numFmtId="0">
      <sharedItems count="8">
        <s v="Sara Ahmed"/>
        <s v="Bilal Hussain"/>
        <s v="Fatima Raza"/>
        <s v="Ayesha Noor"/>
        <s v="Hamza Shah"/>
        <s v="Usman Malik"/>
        <s v="Ali Khan"/>
        <s v="Zara Iqbal"/>
      </sharedItems>
    </cacheField>
    <cacheField name="Units Sold" numFmtId="0">
      <sharedItems containsSemiMixedTypes="0" containsString="0" containsNumber="1" containsInteger="1" minValue="1" maxValue="8"/>
    </cacheField>
    <cacheField name="Unit Price" numFmtId="0">
      <sharedItems containsSemiMixedTypes="0" containsString="0" containsNumber="1" minValue="3866.18" maxValue="199603.5"/>
    </cacheField>
    <cacheField name="Discount" numFmtId="0">
      <sharedItems containsSemiMixedTypes="0" containsString="0" containsNumber="1" minValue="-0.05" maxValue="0.5"/>
    </cacheField>
    <cacheField name="Revenue" numFmtId="0">
      <sharedItems containsSemiMixedTypes="0" containsString="0" containsNumber="1" minValue="3376.99" maxValue="1559905.12"/>
    </cacheField>
    <cacheField name="Cost" numFmtId="0">
      <sharedItems containsSemiMixedTypes="0" containsString="0" containsNumber="1" minValue="2054.86" maxValue="1176183.07"/>
    </cacheField>
    <cacheField name="Profit" numFmtId="0">
      <sharedItems containsSemiMixedTypes="0" containsString="0" containsNumber="1" minValue="1322.13" maxValue="455584.75"/>
    </cacheField>
    <cacheField name="Payment Method" numFmtId="0">
      <sharedItems/>
    </cacheField>
    <cacheField name="Profit Margin" numFmtId="10">
      <sharedItems containsSemiMixedTypes="0" containsString="0" containsNumber="1" minValue="3.4000350266786536E-2" maxValue="0.54593074302115441"/>
    </cacheField>
  </cacheFields>
  <extLst>
    <ext xmlns:x14="http://schemas.microsoft.com/office/spreadsheetml/2009/9/main" uri="{725AE2AE-9491-48be-B2B4-4EB974FC3084}">
      <x14:pivotCacheDefinition pivotCacheId="11563142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36">
  <r>
    <s v="ORD-2025-0001"/>
    <x v="0"/>
    <x v="0"/>
    <s v="Lahore"/>
    <x v="0"/>
    <x v="0"/>
    <x v="0"/>
    <n v="4"/>
    <n v="13857.85"/>
    <n v="0.15"/>
    <n v="47116.69"/>
    <n v="32051.33"/>
    <n v="15065.36"/>
    <s v="Digital Wallet"/>
    <n v="0.31974572067774709"/>
  </r>
  <r>
    <s v="ORD-2025-0002"/>
    <x v="1"/>
    <x v="1"/>
    <s v="Islamabad"/>
    <x v="0"/>
    <x v="1"/>
    <x v="1"/>
    <n v="4"/>
    <n v="92078.83"/>
    <n v="0"/>
    <n v="368315.32"/>
    <n v="274526.11"/>
    <n v="93789.21"/>
    <s v="Credit Card"/>
    <n v="0.25464379271543741"/>
  </r>
  <r>
    <s v="ORD-2025-0003"/>
    <x v="2"/>
    <x v="2"/>
    <s v="Quetta"/>
    <x v="1"/>
    <x v="2"/>
    <x v="2"/>
    <n v="3"/>
    <n v="139279.81"/>
    <n v="0.05"/>
    <n v="396947.46"/>
    <n v="299803.65000000002"/>
    <n v="97143.81"/>
    <s v="Cash"/>
    <n v="0.24472712333264457"/>
  </r>
  <r>
    <s v="ORD-2025-0004"/>
    <x v="3"/>
    <x v="1"/>
    <s v="Rawalpindi"/>
    <x v="0"/>
    <x v="0"/>
    <x v="0"/>
    <n v="6"/>
    <n v="14740.64"/>
    <n v="0"/>
    <n v="88443.839999999997"/>
    <n v="50237.2"/>
    <n v="38206.639999999999"/>
    <s v="Digital Wallet"/>
    <n v="0.43198757539247506"/>
  </r>
  <r>
    <s v="ORD-2025-0005"/>
    <x v="4"/>
    <x v="1"/>
    <s v="Peshawar"/>
    <x v="1"/>
    <x v="3"/>
    <x v="0"/>
    <n v="4"/>
    <n v="27883.75"/>
    <n v="0"/>
    <n v="111535"/>
    <n v="73172.77"/>
    <n v="38362.230000000003"/>
    <s v="Credit Card"/>
    <n v="0.34394790872820191"/>
  </r>
  <r>
    <s v="ORD-2025-0006"/>
    <x v="5"/>
    <x v="1"/>
    <s v="Rawalpindi"/>
    <x v="1"/>
    <x v="4"/>
    <x v="0"/>
    <n v="6"/>
    <n v="23177.599999999999"/>
    <n v="0.05"/>
    <n v="132112.32000000001"/>
    <n v="93346.29"/>
    <n v="38766.03"/>
    <s v="Credit Card"/>
    <n v="0.29343236119084121"/>
  </r>
  <r>
    <s v="ORD-2025-0007"/>
    <x v="6"/>
    <x v="0"/>
    <s v="Multan"/>
    <x v="2"/>
    <x v="5"/>
    <x v="2"/>
    <n v="8"/>
    <n v="27950.32"/>
    <n v="0.15"/>
    <n v="190062.18"/>
    <n v="154762.04"/>
    <n v="35300.14"/>
    <s v="Cash"/>
    <n v="0.18572942812715293"/>
  </r>
  <r>
    <s v="ORD-2025-0008"/>
    <x v="7"/>
    <x v="1"/>
    <s v="Islamabad"/>
    <x v="1"/>
    <x v="4"/>
    <x v="3"/>
    <n v="5"/>
    <n v="22799.46"/>
    <n v="0.1"/>
    <n v="102597.57"/>
    <n v="81476.31"/>
    <n v="21121.26"/>
    <s v="Digital Wallet"/>
    <n v="0.20586510967072608"/>
  </r>
  <r>
    <s v="ORD-2025-0009"/>
    <x v="8"/>
    <x v="2"/>
    <s v="Quetta"/>
    <x v="3"/>
    <x v="6"/>
    <x v="1"/>
    <n v="5"/>
    <n v="3957.83"/>
    <n v="0.15"/>
    <n v="16820.78"/>
    <n v="10597.61"/>
    <n v="6223.17"/>
    <s v="Digital Wallet"/>
    <n v="0.36996916908728372"/>
  </r>
  <r>
    <s v="ORD-2025-0010"/>
    <x v="9"/>
    <x v="2"/>
    <s v="Karachi"/>
    <x v="2"/>
    <x v="7"/>
    <x v="1"/>
    <n v="2"/>
    <n v="8847.86"/>
    <n v="0"/>
    <n v="17695.72"/>
    <n v="9610.85"/>
    <n v="8084.87"/>
    <s v="Cash"/>
    <n v="0.45688279425759448"/>
  </r>
  <r>
    <s v="ORD-2025-0011"/>
    <x v="10"/>
    <x v="2"/>
    <s v="Hyderabad"/>
    <x v="3"/>
    <x v="8"/>
    <x v="4"/>
    <n v="1"/>
    <n v="11831.72"/>
    <n v="0"/>
    <n v="11831.72"/>
    <n v="6615.18"/>
    <n v="5216.54"/>
    <s v="Bank Transfer"/>
    <n v="0.44089447688079164"/>
  </r>
  <r>
    <s v="ORD-2025-0012"/>
    <x v="8"/>
    <x v="1"/>
    <s v="Rawalpindi"/>
    <x v="3"/>
    <x v="6"/>
    <x v="5"/>
    <n v="8"/>
    <n v="3866.18"/>
    <n v="0.15"/>
    <n v="26290.02"/>
    <n v="17326"/>
    <n v="8964.02"/>
    <s v="Cash"/>
    <n v="0.34096664818056432"/>
  </r>
  <r>
    <s v="ORD-2025-0013"/>
    <x v="11"/>
    <x v="0"/>
    <s v="Faisalabad"/>
    <x v="2"/>
    <x v="5"/>
    <x v="6"/>
    <n v="6"/>
    <n v="29697.05"/>
    <n v="0.1"/>
    <n v="160364.07"/>
    <n v="118188.93"/>
    <n v="42175.14"/>
    <s v="Bank Transfer"/>
    <n v="0.26299619359872817"/>
  </r>
  <r>
    <s v="ORD-2025-0014"/>
    <x v="10"/>
    <x v="2"/>
    <s v="Karachi"/>
    <x v="0"/>
    <x v="0"/>
    <x v="0"/>
    <n v="5"/>
    <n v="13895.53"/>
    <n v="0"/>
    <n v="69477.649999999994"/>
    <n v="42289.89"/>
    <n v="27187.759999999998"/>
    <s v="Digital Wallet"/>
    <n v="0.39131663203922412"/>
  </r>
  <r>
    <s v="ORD-2025-0015"/>
    <x v="12"/>
    <x v="1"/>
    <s v="Peshawar"/>
    <x v="2"/>
    <x v="5"/>
    <x v="1"/>
    <n v="8"/>
    <n v="30537.63"/>
    <n v="0"/>
    <n v="244301.04"/>
    <n v="150260.20000000001"/>
    <n v="94040.84"/>
    <s v="Credit Card"/>
    <n v="0.3849383531072974"/>
  </r>
  <r>
    <s v="ORD-2025-0016"/>
    <x v="13"/>
    <x v="0"/>
    <s v="Multan"/>
    <x v="2"/>
    <x v="9"/>
    <x v="7"/>
    <n v="7"/>
    <n v="41010.51"/>
    <n v="0.15"/>
    <n v="244012.53"/>
    <n v="181297.38"/>
    <n v="62715.15"/>
    <s v="Cash"/>
    <n v="0.25701610486969667"/>
  </r>
  <r>
    <s v="ORD-2025-0017"/>
    <x v="14"/>
    <x v="1"/>
    <s v="Islamabad"/>
    <x v="0"/>
    <x v="0"/>
    <x v="0"/>
    <n v="1"/>
    <n v="14704.88"/>
    <n v="0"/>
    <n v="14704.88"/>
    <n v="8291.76"/>
    <n v="6413.12"/>
    <s v="Cash"/>
    <n v="0.43612188606775437"/>
  </r>
  <r>
    <s v="ORD-2025-0018"/>
    <x v="15"/>
    <x v="1"/>
    <s v="Islamabad"/>
    <x v="0"/>
    <x v="0"/>
    <x v="5"/>
    <n v="2"/>
    <n v="14532.84"/>
    <n v="0.05"/>
    <n v="27612.400000000001"/>
    <n v="16675.990000000002"/>
    <n v="10936.41"/>
    <s v="Digital Wallet"/>
    <n v="0.39606879517897753"/>
  </r>
  <r>
    <s v="ORD-2025-0019"/>
    <x v="16"/>
    <x v="1"/>
    <s v="Rawalpindi"/>
    <x v="3"/>
    <x v="6"/>
    <x v="7"/>
    <n v="2"/>
    <n v="3929.14"/>
    <n v="0.05"/>
    <n v="7465.37"/>
    <n v="4178.16"/>
    <n v="3287.21"/>
    <s v="Cash"/>
    <n v="0.44032780692718515"/>
  </r>
  <r>
    <s v="ORD-2025-0020"/>
    <x v="17"/>
    <x v="0"/>
    <s v="Multan"/>
    <x v="0"/>
    <x v="10"/>
    <x v="7"/>
    <n v="7"/>
    <n v="191755.12"/>
    <n v="0"/>
    <n v="1342285.84"/>
    <n v="981481.51"/>
    <n v="360804.33"/>
    <s v="Credit Card"/>
    <n v="0.26879843267958486"/>
  </r>
  <r>
    <s v="ORD-2025-0021"/>
    <x v="18"/>
    <x v="2"/>
    <s v="Karachi"/>
    <x v="1"/>
    <x v="4"/>
    <x v="0"/>
    <n v="4"/>
    <n v="25967.98"/>
    <n v="0"/>
    <n v="103871.92"/>
    <n v="63264.41"/>
    <n v="40607.51"/>
    <s v="Cash"/>
    <n v="0.39093828245400686"/>
  </r>
  <r>
    <s v="ORD-2025-0022"/>
    <x v="19"/>
    <x v="0"/>
    <s v="Multan"/>
    <x v="0"/>
    <x v="10"/>
    <x v="6"/>
    <n v="4"/>
    <n v="175122.81"/>
    <n v="0.05"/>
    <n v="665466.68000000005"/>
    <n v="570098.81000000006"/>
    <n v="95367.87"/>
    <s v="Credit Card"/>
    <n v="0.14330975970126708"/>
  </r>
  <r>
    <s v="ORD-2025-0023"/>
    <x v="20"/>
    <x v="2"/>
    <s v="Karachi"/>
    <x v="3"/>
    <x v="8"/>
    <x v="7"/>
    <n v="8"/>
    <n v="11104.86"/>
    <n v="0.15"/>
    <n v="75513.05"/>
    <n v="53924.639999999999"/>
    <n v="21588.41"/>
    <s v="Credit Card"/>
    <n v="0.28588978991048564"/>
  </r>
  <r>
    <s v="ORD-2025-0024"/>
    <x v="21"/>
    <x v="1"/>
    <s v="Rawalpindi"/>
    <x v="2"/>
    <x v="11"/>
    <x v="5"/>
    <n v="1"/>
    <n v="44706.07"/>
    <n v="0"/>
    <n v="44706.07"/>
    <n v="30178.81"/>
    <n v="14527.26"/>
    <s v="Cash"/>
    <n v="0.3249505044840667"/>
  </r>
  <r>
    <s v="ORD-2025-0025"/>
    <x v="22"/>
    <x v="0"/>
    <s v="Lahore"/>
    <x v="2"/>
    <x v="11"/>
    <x v="3"/>
    <n v="2"/>
    <n v="44205.46"/>
    <n v="0"/>
    <n v="88410.92"/>
    <n v="61892.39"/>
    <n v="26518.53"/>
    <s v="Cash"/>
    <n v="0.29994631884839562"/>
  </r>
  <r>
    <s v="ORD-2025-0026"/>
    <x v="23"/>
    <x v="0"/>
    <s v="Lahore"/>
    <x v="3"/>
    <x v="8"/>
    <x v="1"/>
    <n v="5"/>
    <n v="10955.84"/>
    <n v="0.15"/>
    <n v="46562.32"/>
    <n v="32239.77"/>
    <n v="14322.55"/>
    <s v="Credit Card"/>
    <n v="0.30759957837152441"/>
  </r>
  <r>
    <s v="ORD-2025-0027"/>
    <x v="24"/>
    <x v="0"/>
    <s v="Multan"/>
    <x v="1"/>
    <x v="4"/>
    <x v="0"/>
    <n v="6"/>
    <n v="26181.75"/>
    <n v="0"/>
    <n v="157090.5"/>
    <n v="92017.82"/>
    <n v="65072.68"/>
    <s v="Cash"/>
    <n v="0.41423688892708344"/>
  </r>
  <r>
    <s v="ORD-2025-0028"/>
    <x v="25"/>
    <x v="0"/>
    <s v="Lahore"/>
    <x v="1"/>
    <x v="12"/>
    <x v="7"/>
    <n v="6"/>
    <n v="35010.959999999999"/>
    <n v="0"/>
    <n v="210065.76"/>
    <n v="134442.03"/>
    <n v="75623.73"/>
    <s v="Bank Transfer"/>
    <n v="0.36000026848735361"/>
  </r>
  <r>
    <s v="ORD-2025-0029"/>
    <x v="26"/>
    <x v="0"/>
    <s v="Multan"/>
    <x v="0"/>
    <x v="0"/>
    <x v="5"/>
    <n v="2"/>
    <n v="15518.32"/>
    <n v="0"/>
    <n v="31036.639999999999"/>
    <n v="16211.61"/>
    <n v="14825.03"/>
    <s v="Bank Transfer"/>
    <n v="0.47766220828027778"/>
  </r>
  <r>
    <s v="ORD-2025-0030"/>
    <x v="27"/>
    <x v="2"/>
    <s v="Quetta"/>
    <x v="2"/>
    <x v="9"/>
    <x v="6"/>
    <n v="4"/>
    <n v="39139.980000000003"/>
    <n v="0.05"/>
    <n v="148731.92000000001"/>
    <n v="104559.38"/>
    <n v="44172.54"/>
    <s v="Cash"/>
    <n v="0.29699435064107288"/>
  </r>
  <r>
    <s v="ORD-2025-0031"/>
    <x v="8"/>
    <x v="0"/>
    <s v="Faisalabad"/>
    <x v="1"/>
    <x v="2"/>
    <x v="5"/>
    <n v="1"/>
    <n v="131404.82"/>
    <n v="0"/>
    <n v="131404.82"/>
    <n v="102474.39"/>
    <n v="28930.43"/>
    <s v="Digital Wallet"/>
    <n v="0.22016262417162474"/>
  </r>
  <r>
    <s v="ORD-2025-0032"/>
    <x v="0"/>
    <x v="0"/>
    <s v="Multan"/>
    <x v="3"/>
    <x v="13"/>
    <x v="6"/>
    <n v="2"/>
    <n v="6058.25"/>
    <n v="0.15"/>
    <n v="10299.02"/>
    <n v="7439.58"/>
    <n v="2859.44"/>
    <s v="Bank Transfer"/>
    <n v="0.27764195039916417"/>
  </r>
  <r>
    <s v="ORD-2025-0033"/>
    <x v="28"/>
    <x v="0"/>
    <s v="Multan"/>
    <x v="2"/>
    <x v="7"/>
    <x v="2"/>
    <n v="3"/>
    <n v="7876.89"/>
    <n v="0.05"/>
    <n v="22449.14"/>
    <n v="15184.05"/>
    <n v="7265.09"/>
    <s v="Credit Card"/>
    <n v="0.32362442392002544"/>
  </r>
  <r>
    <s v="ORD-2025-0034"/>
    <x v="29"/>
    <x v="0"/>
    <s v="Lahore"/>
    <x v="0"/>
    <x v="0"/>
    <x v="5"/>
    <n v="7"/>
    <n v="15599.3"/>
    <n v="0.15"/>
    <n v="92815.83"/>
    <n v="56299"/>
    <n v="36516.83"/>
    <s v="Credit Card"/>
    <n v="0.39343321069261572"/>
  </r>
  <r>
    <s v="ORD-2025-0036"/>
    <x v="30"/>
    <x v="2"/>
    <s v="Karachi"/>
    <x v="3"/>
    <x v="6"/>
    <x v="3"/>
    <n v="4"/>
    <n v="4412.75"/>
    <n v="0.05"/>
    <n v="16768.45"/>
    <n v="8353.6"/>
    <n v="8414.85"/>
    <s v="Cash"/>
    <n v="0.50182634650191282"/>
  </r>
  <r>
    <s v="ORD-2025-0037"/>
    <x v="31"/>
    <x v="0"/>
    <s v="Lahore"/>
    <x v="3"/>
    <x v="8"/>
    <x v="1"/>
    <n v="5"/>
    <n v="12170.41"/>
    <n v="0.05"/>
    <n v="57809.45"/>
    <n v="32323.86"/>
    <n v="25485.59"/>
    <s v="Bank Transfer"/>
    <n v="0.44085508511151728"/>
  </r>
  <r>
    <s v="ORD-2025-0038"/>
    <x v="32"/>
    <x v="1"/>
    <s v="Islamabad"/>
    <x v="1"/>
    <x v="12"/>
    <x v="1"/>
    <n v="5"/>
    <n v="30562"/>
    <n v="0.1"/>
    <n v="137529"/>
    <n v="112547.19"/>
    <n v="24981.81"/>
    <s v="Cash"/>
    <n v="0.181647579783173"/>
  </r>
  <r>
    <s v="ORD-2025-0039"/>
    <x v="33"/>
    <x v="2"/>
    <s v="Quetta"/>
    <x v="2"/>
    <x v="9"/>
    <x v="3"/>
    <n v="1"/>
    <n v="39269.410000000003"/>
    <n v="0"/>
    <n v="39269.410000000003"/>
    <n v="26166.26"/>
    <n v="13103.15"/>
    <s v="Bank Transfer"/>
    <n v="0.3336732077207169"/>
  </r>
  <r>
    <s v="ORD-2025-0040"/>
    <x v="34"/>
    <x v="2"/>
    <s v="Karachi"/>
    <x v="1"/>
    <x v="3"/>
    <x v="1"/>
    <n v="2"/>
    <n v="27949.34"/>
    <n v="0.05"/>
    <n v="53103.75"/>
    <n v="36197.949999999997"/>
    <n v="16905.8"/>
    <s v="Bank Transfer"/>
    <n v="0.31835416519548992"/>
  </r>
  <r>
    <s v="ORD-2025-0041"/>
    <x v="35"/>
    <x v="2"/>
    <s v="Quetta"/>
    <x v="1"/>
    <x v="12"/>
    <x v="4"/>
    <n v="4"/>
    <n v="32579.96"/>
    <n v="0.05"/>
    <n v="123803.85"/>
    <n v="91567.1"/>
    <n v="32236.75"/>
    <s v="Digital Wallet"/>
    <n v="0.26038568267465023"/>
  </r>
  <r>
    <s v="ORD-2025-0042"/>
    <x v="36"/>
    <x v="0"/>
    <s v="Lahore"/>
    <x v="1"/>
    <x v="3"/>
    <x v="7"/>
    <n v="4"/>
    <n v="26697.119999999999"/>
    <n v="0.1"/>
    <n v="96109.63"/>
    <n v="72897.570000000007"/>
    <n v="23212.06"/>
    <s v="Digital Wallet"/>
    <n v="0.24151648487253566"/>
  </r>
  <r>
    <s v="ORD-2025-0044"/>
    <x v="37"/>
    <x v="1"/>
    <s v="Peshawar"/>
    <x v="1"/>
    <x v="12"/>
    <x v="0"/>
    <n v="4"/>
    <n v="31138.03"/>
    <n v="0"/>
    <n v="124552.12"/>
    <n v="88842.51"/>
    <n v="35709.61"/>
    <s v="Digital Wallet"/>
    <n v="0.28670415244638148"/>
  </r>
  <r>
    <s v="ORD-2025-0045"/>
    <x v="38"/>
    <x v="2"/>
    <s v="Quetta"/>
    <x v="2"/>
    <x v="7"/>
    <x v="0"/>
    <n v="8"/>
    <n v="8363.5300000000007"/>
    <n v="0"/>
    <n v="66908.240000000005"/>
    <n v="39824.22"/>
    <n v="27084.02"/>
    <s v="Digital Wallet"/>
    <n v="0.40479349030851802"/>
  </r>
  <r>
    <s v="ORD-2025-0046"/>
    <x v="39"/>
    <x v="1"/>
    <s v="Islamabad"/>
    <x v="3"/>
    <x v="13"/>
    <x v="2"/>
    <n v="4"/>
    <n v="6934.17"/>
    <n v="0"/>
    <n v="27736.68"/>
    <n v="14428.11"/>
    <n v="13308.57"/>
    <s v="Digital Wallet"/>
    <n v="0.47981842095016419"/>
  </r>
  <r>
    <s v="ORD-2025-0047"/>
    <x v="40"/>
    <x v="0"/>
    <s v="Multan"/>
    <x v="3"/>
    <x v="14"/>
    <x v="4"/>
    <n v="3"/>
    <n v="5402.72"/>
    <n v="0.05"/>
    <n v="15397.75"/>
    <n v="8112.19"/>
    <n v="7285.56"/>
    <s v="Digital Wallet"/>
    <n v="0.47315744183403424"/>
  </r>
  <r>
    <s v="ORD-2025-0048"/>
    <x v="41"/>
    <x v="0"/>
    <s v="Lahore"/>
    <x v="1"/>
    <x v="4"/>
    <x v="0"/>
    <n v="2"/>
    <n v="25337.1"/>
    <n v="0"/>
    <n v="50674.2"/>
    <n v="31253.03"/>
    <n v="19421.169999999998"/>
    <s v="Credit Card"/>
    <n v="0.38325558173587349"/>
  </r>
  <r>
    <s v="ORD-2025-0049"/>
    <x v="42"/>
    <x v="1"/>
    <s v="Islamabad"/>
    <x v="3"/>
    <x v="6"/>
    <x v="1"/>
    <n v="4"/>
    <n v="3907.16"/>
    <n v="0.05"/>
    <n v="14847.21"/>
    <n v="8342.56"/>
    <n v="6504.65"/>
    <s v="Cash"/>
    <n v="0.43810587982523314"/>
  </r>
  <r>
    <s v="ORD-2025-0050"/>
    <x v="43"/>
    <x v="1"/>
    <s v="Rawalpindi"/>
    <x v="3"/>
    <x v="13"/>
    <x v="1"/>
    <n v="7"/>
    <n v="6476.06"/>
    <n v="0.05"/>
    <n v="43065.8"/>
    <n v="24970.75"/>
    <n v="18095.05"/>
    <s v="Credit Card"/>
    <n v="0.42017215516720918"/>
  </r>
  <r>
    <s v="ORD-2025-0051"/>
    <x v="44"/>
    <x v="2"/>
    <s v="Karachi"/>
    <x v="1"/>
    <x v="4"/>
    <x v="5"/>
    <n v="8"/>
    <n v="22653.78"/>
    <n v="0.05"/>
    <n v="172168.73"/>
    <n v="128526.19"/>
    <n v="43642.54"/>
    <s v="Digital Wallet"/>
    <n v="0.25348702984566363"/>
  </r>
  <r>
    <s v="ORD-2025-0052"/>
    <x v="45"/>
    <x v="1"/>
    <s v="Peshawar"/>
    <x v="0"/>
    <x v="15"/>
    <x v="5"/>
    <n v="1"/>
    <n v="48538.44"/>
    <n v="0.05"/>
    <n v="46111.519999999997"/>
    <n v="35751.71"/>
    <n v="10359.81"/>
    <s v="Cash"/>
    <n v="0.22466858607133317"/>
  </r>
  <r>
    <s v="ORD-2025-0053"/>
    <x v="46"/>
    <x v="2"/>
    <s v="Hyderabad"/>
    <x v="1"/>
    <x v="12"/>
    <x v="4"/>
    <n v="8"/>
    <n v="32085.75"/>
    <n v="0.05"/>
    <n v="243851.7"/>
    <n v="178106.03"/>
    <n v="65745.67"/>
    <s v="Cash"/>
    <n v="0.26961333466200971"/>
  </r>
  <r>
    <s v="ORD-2025-0054"/>
    <x v="47"/>
    <x v="2"/>
    <s v="Karachi"/>
    <x v="0"/>
    <x v="0"/>
    <x v="3"/>
    <n v="4"/>
    <n v="14848.33"/>
    <n v="0.15"/>
    <n v="50484.32"/>
    <n v="31908.43"/>
    <n v="18575.89"/>
    <s v="Credit Card"/>
    <n v="0.36795365372852401"/>
  </r>
  <r>
    <s v="ORD-2025-0055"/>
    <x v="48"/>
    <x v="1"/>
    <s v="Peshawar"/>
    <x v="2"/>
    <x v="5"/>
    <x v="7"/>
    <n v="3"/>
    <n v="28379.439999999999"/>
    <n v="0"/>
    <n v="85138.32"/>
    <n v="57540.24"/>
    <n v="27598.080000000002"/>
    <s v="Bank Transfer"/>
    <n v="0.32415579729550686"/>
  </r>
  <r>
    <s v="ORD-2025-0056"/>
    <x v="49"/>
    <x v="2"/>
    <s v="Karachi"/>
    <x v="0"/>
    <x v="1"/>
    <x v="1"/>
    <n v="5"/>
    <n v="86231.21"/>
    <n v="0"/>
    <n v="431156.05"/>
    <n v="351907.51"/>
    <n v="79248.539999999994"/>
    <s v="Digital Wallet"/>
    <n v="0.18380477323697533"/>
  </r>
  <r>
    <s v="ORD-2025-0057"/>
    <x v="50"/>
    <x v="0"/>
    <s v="Lahore"/>
    <x v="0"/>
    <x v="1"/>
    <x v="0"/>
    <n v="2"/>
    <n v="94902.68"/>
    <n v="0.05"/>
    <n v="180315.09"/>
    <n v="140014.79"/>
    <n v="40300.300000000003"/>
    <s v="Cash"/>
    <n v="0.22349931999590275"/>
  </r>
  <r>
    <s v="ORD-2025-0058"/>
    <x v="46"/>
    <x v="2"/>
    <s v="Quetta"/>
    <x v="3"/>
    <x v="8"/>
    <x v="7"/>
    <n v="2"/>
    <n v="11510.97"/>
    <n v="0.05"/>
    <n v="21870.84"/>
    <n v="12621.51"/>
    <n v="9249.33"/>
    <s v="Cash"/>
    <n v="0.42290693910247618"/>
  </r>
  <r>
    <s v="ORD-2025-0059"/>
    <x v="51"/>
    <x v="2"/>
    <s v="Hyderabad"/>
    <x v="3"/>
    <x v="6"/>
    <x v="7"/>
    <n v="7"/>
    <n v="3982.36"/>
    <n v="0.1"/>
    <n v="25088.87"/>
    <n v="15252.47"/>
    <n v="9836.4"/>
    <s v="Digital Wallet"/>
    <n v="0.39206229694681349"/>
  </r>
  <r>
    <s v="ORD-2025-0060"/>
    <x v="52"/>
    <x v="2"/>
    <s v="Quetta"/>
    <x v="1"/>
    <x v="3"/>
    <x v="3"/>
    <n v="4"/>
    <n v="28428.76"/>
    <n v="0"/>
    <n v="113715.04"/>
    <n v="71245.8"/>
    <n v="42469.24"/>
    <s v="Digital Wallet"/>
    <n v="0.37347073878705933"/>
  </r>
  <r>
    <s v="ORD-2025-0061"/>
    <x v="53"/>
    <x v="0"/>
    <s v="Multan"/>
    <x v="3"/>
    <x v="8"/>
    <x v="2"/>
    <n v="1"/>
    <n v="11489.52"/>
    <n v="0.05"/>
    <n v="10915.04"/>
    <n v="6387.74"/>
    <n v="4527.3"/>
    <s v="Bank Transfer"/>
    <n v="0.41477630865301451"/>
  </r>
  <r>
    <s v="ORD-2025-0062"/>
    <x v="20"/>
    <x v="2"/>
    <s v="Hyderabad"/>
    <x v="1"/>
    <x v="2"/>
    <x v="3"/>
    <n v="4"/>
    <n v="126049.24"/>
    <n v="0.15"/>
    <n v="428567.42"/>
    <n v="403373.79"/>
    <n v="25193.63"/>
    <s v="Digital Wallet"/>
    <n v="5.8785686508787814E-2"/>
  </r>
  <r>
    <s v="ORD-2025-0063"/>
    <x v="54"/>
    <x v="0"/>
    <s v="Multan"/>
    <x v="3"/>
    <x v="14"/>
    <x v="4"/>
    <n v="1"/>
    <n v="4861.42"/>
    <n v="0"/>
    <n v="4861.42"/>
    <n v="2695.43"/>
    <n v="2165.9899999999998"/>
    <s v="Bank Transfer"/>
    <n v="0.44554677439924956"/>
  </r>
  <r>
    <s v="ORD-2025-0064"/>
    <x v="27"/>
    <x v="2"/>
    <s v="Quetta"/>
    <x v="1"/>
    <x v="4"/>
    <x v="3"/>
    <n v="6"/>
    <n v="23919.1"/>
    <n v="0.05"/>
    <n v="136338.87"/>
    <n v="93753.8"/>
    <n v="42585.07"/>
    <s v="Cash"/>
    <n v="0.31234724183939622"/>
  </r>
  <r>
    <s v="ORD-2025-0065"/>
    <x v="55"/>
    <x v="0"/>
    <s v="Lahore"/>
    <x v="1"/>
    <x v="2"/>
    <x v="4"/>
    <n v="3"/>
    <n v="128337.29"/>
    <n v="0.15"/>
    <n v="327260.09000000003"/>
    <n v="304179.84999999998"/>
    <n v="23080.240000000002"/>
    <s v="Cash"/>
    <n v="7.0525678826281565E-2"/>
  </r>
  <r>
    <s v="ORD-2025-0066"/>
    <x v="56"/>
    <x v="1"/>
    <s v="Rawalpindi"/>
    <x v="2"/>
    <x v="9"/>
    <x v="6"/>
    <n v="3"/>
    <n v="36797.79"/>
    <n v="0.15"/>
    <n v="93834.36"/>
    <n v="78576.38"/>
    <n v="15257.98"/>
    <s v="Cash"/>
    <n v="0.16260546776255522"/>
  </r>
  <r>
    <s v="ORD-2025-0067"/>
    <x v="57"/>
    <x v="0"/>
    <s v="Faisalabad"/>
    <x v="2"/>
    <x v="7"/>
    <x v="7"/>
    <n v="2"/>
    <n v="9006.9"/>
    <n v="0.1"/>
    <n v="16212.42"/>
    <n v="9701.06"/>
    <n v="6511.36"/>
    <s v="Bank Transfer"/>
    <n v="0.40162788775519015"/>
  </r>
  <r>
    <s v="ORD-2025-0068"/>
    <x v="58"/>
    <x v="1"/>
    <s v="Islamabad"/>
    <x v="1"/>
    <x v="4"/>
    <x v="6"/>
    <n v="2"/>
    <n v="25762.69"/>
    <n v="0.05"/>
    <n v="48949.11"/>
    <n v="31739.74"/>
    <n v="17209.37"/>
    <s v="Credit Card"/>
    <n v="0.35157677024158351"/>
  </r>
  <r>
    <s v="ORD-2025-0069"/>
    <x v="59"/>
    <x v="1"/>
    <s v="Peshawar"/>
    <x v="1"/>
    <x v="2"/>
    <x v="3"/>
    <n v="4"/>
    <n v="126758.55"/>
    <n v="0.05"/>
    <n v="481682.49"/>
    <n v="409026.66"/>
    <n v="72655.83"/>
    <s v="Digital Wallet"/>
    <n v="0.15083759843543409"/>
  </r>
  <r>
    <s v="ORD-2025-0070"/>
    <x v="60"/>
    <x v="2"/>
    <s v="Hyderabad"/>
    <x v="1"/>
    <x v="4"/>
    <x v="3"/>
    <n v="5"/>
    <n v="24769.03"/>
    <n v="0"/>
    <n v="123845.15"/>
    <n v="80001.259999999995"/>
    <n v="43843.89"/>
    <s v="Credit Card"/>
    <n v="0.35402185713368672"/>
  </r>
  <r>
    <s v="ORD-2025-0071"/>
    <x v="61"/>
    <x v="2"/>
    <s v="Quetta"/>
    <x v="0"/>
    <x v="1"/>
    <x v="7"/>
    <n v="4"/>
    <n v="87198.54"/>
    <n v="0"/>
    <n v="348794.16"/>
    <n v="266820.38"/>
    <n v="81973.78"/>
    <s v="Digital Wallet"/>
    <n v="0.23502050607728067"/>
  </r>
  <r>
    <s v="ORD-2025-0072"/>
    <x v="62"/>
    <x v="2"/>
    <s v="Karachi"/>
    <x v="2"/>
    <x v="9"/>
    <x v="4"/>
    <n v="5"/>
    <n v="39234.160000000003"/>
    <n v="0.05"/>
    <n v="186362.26"/>
    <n v="126747.74"/>
    <n v="59614.52"/>
    <s v="Credit Card"/>
    <n v="0.31988515271278634"/>
  </r>
  <r>
    <s v="ORD-2025-0073"/>
    <x v="63"/>
    <x v="2"/>
    <s v="Karachi"/>
    <x v="2"/>
    <x v="5"/>
    <x v="4"/>
    <n v="5"/>
    <n v="29989.439999999999"/>
    <n v="0"/>
    <n v="149947.20000000001"/>
    <n v="92546.59"/>
    <n v="57400.61"/>
    <s v="Digital Wallet"/>
    <n v="0.38280548086259691"/>
  </r>
  <r>
    <s v="ORD-2025-0074"/>
    <x v="64"/>
    <x v="1"/>
    <s v="Rawalpindi"/>
    <x v="1"/>
    <x v="4"/>
    <x v="6"/>
    <n v="5"/>
    <n v="24501.85"/>
    <n v="0.05"/>
    <n v="116383.79"/>
    <n v="79050.81"/>
    <n v="37332.980000000003"/>
    <s v="Digital Wallet"/>
    <n v="0.32077474019363011"/>
  </r>
  <r>
    <s v="ORD-2025-0075"/>
    <x v="49"/>
    <x v="0"/>
    <s v="Faisalabad"/>
    <x v="1"/>
    <x v="2"/>
    <x v="6"/>
    <n v="2"/>
    <n v="129144.77"/>
    <n v="0.15"/>
    <n v="219546.11"/>
    <n v="207760.45"/>
    <n v="11785.66"/>
    <s v="Bank Transfer"/>
    <n v="5.3681934970289384E-2"/>
  </r>
  <r>
    <s v="ORD-2025-0076"/>
    <x v="65"/>
    <x v="0"/>
    <s v="Lahore"/>
    <x v="2"/>
    <x v="7"/>
    <x v="7"/>
    <n v="8"/>
    <n v="9065.86"/>
    <n v="0"/>
    <n v="72526.880000000005"/>
    <n v="40759.620000000003"/>
    <n v="31767.26"/>
    <s v="Cash"/>
    <n v="0.43800670868511088"/>
  </r>
  <r>
    <s v="ORD-2025-0077"/>
    <x v="66"/>
    <x v="2"/>
    <s v="Hyderabad"/>
    <x v="3"/>
    <x v="8"/>
    <x v="7"/>
    <n v="6"/>
    <n v="11813.05"/>
    <n v="0"/>
    <n v="70878.3"/>
    <n v="38730.36"/>
    <n v="32147.94"/>
    <s v="Bank Transfer"/>
    <n v="0.45356533664041038"/>
  </r>
  <r>
    <s v="ORD-2025-0078"/>
    <x v="67"/>
    <x v="0"/>
    <s v="Faisalabad"/>
    <x v="0"/>
    <x v="15"/>
    <x v="6"/>
    <n v="2"/>
    <n v="50456.78"/>
    <n v="0.05"/>
    <n v="95867.88"/>
    <n v="71402.36"/>
    <n v="24465.52"/>
    <s v="Digital Wallet"/>
    <n v="0.25520038619817187"/>
  </r>
  <r>
    <s v="ORD-2025-0079"/>
    <x v="18"/>
    <x v="2"/>
    <s v="Karachi"/>
    <x v="2"/>
    <x v="9"/>
    <x v="5"/>
    <n v="8"/>
    <n v="38762.49"/>
    <n v="0"/>
    <n v="310099.92"/>
    <n v="204723.81"/>
    <n v="105376.11"/>
    <s v="Bank Transfer"/>
    <n v="0.33981340594992737"/>
  </r>
  <r>
    <s v="ORD-2025-0080"/>
    <x v="68"/>
    <x v="2"/>
    <s v="Quetta"/>
    <x v="3"/>
    <x v="13"/>
    <x v="5"/>
    <n v="1"/>
    <n v="6992.07"/>
    <n v="0.1"/>
    <n v="6292.86"/>
    <n v="3693.43"/>
    <n v="2599.4299999999998"/>
    <s v="Bank Transfer"/>
    <n v="0.41307608940926699"/>
  </r>
  <r>
    <s v="ORD-2025-0082"/>
    <x v="69"/>
    <x v="0"/>
    <s v="Faisalabad"/>
    <x v="1"/>
    <x v="4"/>
    <x v="1"/>
    <n v="8"/>
    <n v="26382.560000000001"/>
    <n v="0"/>
    <n v="211060.48000000001"/>
    <n v="126649.65"/>
    <n v="84410.83"/>
    <s v="Credit Card"/>
    <n v="0.39993669113232377"/>
  </r>
  <r>
    <s v="ORD-2025-0083"/>
    <x v="70"/>
    <x v="0"/>
    <s v="Multan"/>
    <x v="2"/>
    <x v="11"/>
    <x v="4"/>
    <n v="5"/>
    <n v="44876"/>
    <n v="0.05"/>
    <n v="213161"/>
    <n v="154037.65"/>
    <n v="59123.35"/>
    <s v="Cash"/>
    <n v="0.27736476184667924"/>
  </r>
  <r>
    <s v="ORD-2025-0084"/>
    <x v="71"/>
    <x v="2"/>
    <s v="Quetta"/>
    <x v="1"/>
    <x v="4"/>
    <x v="1"/>
    <n v="3"/>
    <n v="24290.47"/>
    <n v="0.05"/>
    <n v="69227.839999999997"/>
    <n v="47123.12"/>
    <n v="22104.720000000001"/>
    <s v="Digital Wallet"/>
    <n v="0.31930391010321862"/>
  </r>
  <r>
    <s v="ORD-2025-0085"/>
    <x v="72"/>
    <x v="2"/>
    <s v="Karachi"/>
    <x v="2"/>
    <x v="7"/>
    <x v="1"/>
    <n v="4"/>
    <n v="8984.18"/>
    <n v="0.05"/>
    <n v="34139.879999999997"/>
    <n v="19071.88"/>
    <n v="15068"/>
    <s v="Digital Wallet"/>
    <n v="0.44136066090449061"/>
  </r>
  <r>
    <s v="ORD-2025-0087"/>
    <x v="23"/>
    <x v="0"/>
    <s v="Faisalabad"/>
    <x v="0"/>
    <x v="1"/>
    <x v="2"/>
    <n v="7"/>
    <n v="97460.13"/>
    <n v="0"/>
    <n v="682220.91"/>
    <n v="464213.28"/>
    <n v="218007.63"/>
    <s v="Bank Transfer"/>
    <n v="0.31955577263089163"/>
  </r>
  <r>
    <s v="ORD-2025-0088"/>
    <x v="73"/>
    <x v="0"/>
    <s v="Lahore"/>
    <x v="1"/>
    <x v="4"/>
    <x v="0"/>
    <n v="6"/>
    <n v="24997.05"/>
    <n v="0.05"/>
    <n v="142483.18"/>
    <n v="97745.13"/>
    <n v="44738.05"/>
    <s v="Credit Card"/>
    <n v="0.31398828970549369"/>
  </r>
  <r>
    <s v="ORD-2025-0089"/>
    <x v="74"/>
    <x v="0"/>
    <s v="Multan"/>
    <x v="1"/>
    <x v="12"/>
    <x v="0"/>
    <n v="2"/>
    <n v="32651.37"/>
    <n v="0"/>
    <n v="65302.74"/>
    <n v="46045.16"/>
    <n v="19257.580000000002"/>
    <s v="Digital Wallet"/>
    <n v="0.29489696756981409"/>
  </r>
  <r>
    <s v="ORD-2025-0090"/>
    <x v="75"/>
    <x v="1"/>
    <s v="Peshawar"/>
    <x v="1"/>
    <x v="2"/>
    <x v="1"/>
    <n v="1"/>
    <n v="131206.49"/>
    <n v="0"/>
    <n v="131206.49"/>
    <n v="100044.11"/>
    <n v="31162.38"/>
    <s v="Credit Card"/>
    <n v="0.23750639164266954"/>
  </r>
  <r>
    <s v="ORD-2025-0091"/>
    <x v="76"/>
    <x v="1"/>
    <s v="Peshawar"/>
    <x v="3"/>
    <x v="6"/>
    <x v="3"/>
    <n v="3"/>
    <n v="3981.65"/>
    <n v="0.1"/>
    <n v="10750.46"/>
    <n v="6495.04"/>
    <n v="4255.42"/>
    <s v="Digital Wallet"/>
    <n v="0.39583608515356555"/>
  </r>
  <r>
    <s v="ORD-2025-0092"/>
    <x v="42"/>
    <x v="0"/>
    <s v="Lahore"/>
    <x v="2"/>
    <x v="7"/>
    <x v="4"/>
    <n v="5"/>
    <n v="8445.02"/>
    <n v="0.15"/>
    <n v="35891.339999999997"/>
    <n v="23781.119999999999"/>
    <n v="12110.22"/>
    <s v="Credit Card"/>
    <n v="0.3374134261913877"/>
  </r>
  <r>
    <s v="ORD-2025-0093"/>
    <x v="77"/>
    <x v="1"/>
    <s v="Rawalpindi"/>
    <x v="1"/>
    <x v="3"/>
    <x v="1"/>
    <n v="7"/>
    <n v="27822.15"/>
    <n v="0.05"/>
    <n v="185017.3"/>
    <n v="129675.58"/>
    <n v="55341.72"/>
    <s v="Digital Wallet"/>
    <n v="0.29911646100121453"/>
  </r>
  <r>
    <s v="ORD-2025-0094"/>
    <x v="78"/>
    <x v="1"/>
    <s v="Islamabad"/>
    <x v="3"/>
    <x v="8"/>
    <x v="1"/>
    <n v="5"/>
    <n v="12406.55"/>
    <n v="0.05"/>
    <n v="58931.11"/>
    <n v="31574.91"/>
    <n v="27356.2"/>
    <s v="Bank Transfer"/>
    <n v="0.46420642679223251"/>
  </r>
  <r>
    <s v="ORD-2025-0095"/>
    <x v="79"/>
    <x v="1"/>
    <s v="Peshawar"/>
    <x v="0"/>
    <x v="15"/>
    <x v="3"/>
    <n v="5"/>
    <n v="54294.16"/>
    <n v="0"/>
    <n v="271470.8"/>
    <n v="184780.26"/>
    <n v="86690.54"/>
    <s v="Credit Card"/>
    <n v="0.31933651796067936"/>
  </r>
  <r>
    <s v="ORD-2025-0096"/>
    <x v="80"/>
    <x v="0"/>
    <s v="Faisalabad"/>
    <x v="2"/>
    <x v="11"/>
    <x v="5"/>
    <n v="1"/>
    <n v="41685.46"/>
    <n v="0.05"/>
    <n v="39601.19"/>
    <n v="30142.400000000001"/>
    <n v="9458.7900000000009"/>
    <s v="Cash"/>
    <n v="0.23885115573547158"/>
  </r>
  <r>
    <s v="ORD-2025-0097"/>
    <x v="81"/>
    <x v="2"/>
    <s v="Hyderabad"/>
    <x v="3"/>
    <x v="6"/>
    <x v="4"/>
    <n v="4"/>
    <n v="3952.81"/>
    <n v="0.1"/>
    <n v="14230.12"/>
    <n v="8663.36"/>
    <n v="5566.76"/>
    <s v="Credit Card"/>
    <n v="0.39119557670631028"/>
  </r>
  <r>
    <s v="ORD-2025-0098"/>
    <x v="82"/>
    <x v="2"/>
    <s v="Hyderabad"/>
    <x v="1"/>
    <x v="3"/>
    <x v="1"/>
    <n v="2"/>
    <n v="26863.19"/>
    <n v="0"/>
    <n v="53726.38"/>
    <n v="35274.71"/>
    <n v="18451.669999999998"/>
    <s v="Bank Transfer"/>
    <n v="0.34343780466876794"/>
  </r>
  <r>
    <s v="ORD-2025-0099"/>
    <x v="8"/>
    <x v="1"/>
    <s v="Rawalpindi"/>
    <x v="0"/>
    <x v="0"/>
    <x v="1"/>
    <n v="2"/>
    <n v="14395.1"/>
    <n v="0.15"/>
    <n v="24471.67"/>
    <n v="16767.87"/>
    <n v="7703.8"/>
    <s v="Bank Transfer"/>
    <n v="0.31480483350748029"/>
  </r>
  <r>
    <s v="ORD-2025-0100"/>
    <x v="83"/>
    <x v="1"/>
    <s v="Peshawar"/>
    <x v="2"/>
    <x v="7"/>
    <x v="3"/>
    <n v="1"/>
    <n v="8662.58"/>
    <n v="0.1"/>
    <n v="7796.32"/>
    <n v="4865.51"/>
    <n v="2930.81"/>
    <s v="Cash"/>
    <n v="0.37592222997516778"/>
  </r>
  <r>
    <s v="ORD-2025-0102"/>
    <x v="84"/>
    <x v="1"/>
    <s v="Peshawar"/>
    <x v="2"/>
    <x v="7"/>
    <x v="1"/>
    <n v="8"/>
    <n v="8324.58"/>
    <n v="0.15"/>
    <n v="56607.14"/>
    <n v="39935.15"/>
    <n v="16671.990000000002"/>
    <s v="Credit Card"/>
    <n v="0.29452097385594822"/>
  </r>
  <r>
    <s v="ORD-2025-0103"/>
    <x v="85"/>
    <x v="2"/>
    <s v="Quetta"/>
    <x v="0"/>
    <x v="15"/>
    <x v="3"/>
    <n v="7"/>
    <n v="55652.92"/>
    <n v="0.05"/>
    <n v="370091.92"/>
    <n v="248420.13"/>
    <n v="121671.79"/>
    <s v="Digital Wallet"/>
    <n v="0.32876100078056286"/>
  </r>
  <r>
    <s v="ORD-2025-0104"/>
    <x v="86"/>
    <x v="2"/>
    <s v="Karachi"/>
    <x v="1"/>
    <x v="2"/>
    <x v="4"/>
    <n v="6"/>
    <n v="135960.46"/>
    <n v="0.15"/>
    <n v="693398.35"/>
    <n v="603034.93999999994"/>
    <n v="90363.41"/>
    <s v="Credit Card"/>
    <n v="0.13031962074902545"/>
  </r>
  <r>
    <s v="ORD-2025-0105"/>
    <x v="87"/>
    <x v="1"/>
    <s v="Rawalpindi"/>
    <x v="0"/>
    <x v="1"/>
    <x v="3"/>
    <n v="1"/>
    <n v="85384.52"/>
    <n v="0.05"/>
    <n v="81115.289999999994"/>
    <n v="67119.39"/>
    <n v="13995.9"/>
    <s v="Cash"/>
    <n v="0.17254330225534545"/>
  </r>
  <r>
    <s v="ORD-2025-0106"/>
    <x v="69"/>
    <x v="0"/>
    <s v="Lahore"/>
    <x v="2"/>
    <x v="5"/>
    <x v="5"/>
    <n v="6"/>
    <n v="29751.119999999999"/>
    <n v="0.1"/>
    <n v="160656.04999999999"/>
    <n v="110602.63"/>
    <n v="50053.42"/>
    <s v="Bank Transfer"/>
    <n v="0.31155639641333149"/>
  </r>
  <r>
    <s v="ORD-2025-0107"/>
    <x v="88"/>
    <x v="1"/>
    <s v="Islamabad"/>
    <x v="0"/>
    <x v="1"/>
    <x v="5"/>
    <n v="1"/>
    <n v="89913.33"/>
    <n v="0"/>
    <n v="89913.33"/>
    <n v="68762.94"/>
    <n v="21150.39"/>
    <s v="Bank Transfer"/>
    <n v="0.23523086065214133"/>
  </r>
  <r>
    <s v="ORD-2025-0108"/>
    <x v="89"/>
    <x v="1"/>
    <s v="Islamabad"/>
    <x v="3"/>
    <x v="13"/>
    <x v="7"/>
    <n v="2"/>
    <n v="6475.3"/>
    <n v="0.05"/>
    <n v="12303.07"/>
    <n v="7242.67"/>
    <n v="5060.3999999999996"/>
    <s v="Credit Card"/>
    <n v="0.41131197335299235"/>
  </r>
  <r>
    <s v="ORD-2025-0110"/>
    <x v="90"/>
    <x v="0"/>
    <s v="Faisalabad"/>
    <x v="0"/>
    <x v="10"/>
    <x v="2"/>
    <n v="6"/>
    <n v="188205.6"/>
    <n v="0"/>
    <n v="1129233.6000000001"/>
    <n v="833966.07"/>
    <n v="295267.53000000003"/>
    <s v="Digital Wallet"/>
    <n v="0.26147604003281516"/>
  </r>
  <r>
    <s v="ORD-2025-0111"/>
    <x v="91"/>
    <x v="0"/>
    <s v="Multan"/>
    <x v="1"/>
    <x v="4"/>
    <x v="3"/>
    <n v="7"/>
    <n v="22928.78"/>
    <n v="0.15"/>
    <n v="136426.23999999999"/>
    <n v="108167.79"/>
    <n v="28258.45"/>
    <s v="Digital Wallet"/>
    <n v="0.20713353970614454"/>
  </r>
  <r>
    <s v="ORD-2025-0112"/>
    <x v="92"/>
    <x v="2"/>
    <s v="Karachi"/>
    <x v="3"/>
    <x v="8"/>
    <x v="2"/>
    <n v="8"/>
    <n v="11313.66"/>
    <n v="0.15"/>
    <n v="76932.89"/>
    <n v="50786.11"/>
    <n v="26146.78"/>
    <s v="Bank Transfer"/>
    <n v="0.33986478344957533"/>
  </r>
  <r>
    <s v="ORD-2025-0113"/>
    <x v="93"/>
    <x v="2"/>
    <s v="Karachi"/>
    <x v="3"/>
    <x v="13"/>
    <x v="5"/>
    <n v="2"/>
    <n v="6845.04"/>
    <n v="0"/>
    <n v="13690.08"/>
    <n v="7201.67"/>
    <n v="6488.41"/>
    <s v="Cash"/>
    <n v="0.47394975047625726"/>
  </r>
  <r>
    <s v="ORD-2025-0114"/>
    <x v="94"/>
    <x v="0"/>
    <s v="Multan"/>
    <x v="1"/>
    <x v="2"/>
    <x v="6"/>
    <n v="7"/>
    <n v="131837.72"/>
    <n v="0.15"/>
    <n v="784434.43"/>
    <n v="732366.52"/>
    <n v="52067.91"/>
    <s v="Bank Transfer"/>
    <n v="6.6376370042809066E-2"/>
  </r>
  <r>
    <s v="ORD-2025-0115"/>
    <x v="89"/>
    <x v="0"/>
    <s v="Faisalabad"/>
    <x v="1"/>
    <x v="2"/>
    <x v="2"/>
    <n v="4"/>
    <n v="127542.17"/>
    <n v="0.05"/>
    <n v="484660.25"/>
    <n v="398221.64"/>
    <n v="86438.61"/>
    <s v="Bank Transfer"/>
    <n v="0.17834887428874144"/>
  </r>
  <r>
    <s v="ORD-2025-0116"/>
    <x v="5"/>
    <x v="1"/>
    <s v="Rawalpindi"/>
    <x v="2"/>
    <x v="7"/>
    <x v="6"/>
    <n v="1"/>
    <n v="8648.23"/>
    <n v="0.15"/>
    <n v="7351"/>
    <n v="5037.51"/>
    <n v="2313.4899999999998"/>
    <s v="Credit Card"/>
    <n v="0.31471772547952659"/>
  </r>
  <r>
    <s v="ORD-2025-0117"/>
    <x v="19"/>
    <x v="2"/>
    <s v="Quetta"/>
    <x v="1"/>
    <x v="3"/>
    <x v="0"/>
    <n v="6"/>
    <n v="24866.38"/>
    <n v="0"/>
    <n v="149198.28"/>
    <n v="109041.39"/>
    <n v="40156.89"/>
    <s v="Credit Card"/>
    <n v="0.26915115911523912"/>
  </r>
  <r>
    <s v="ORD-2025-0118"/>
    <x v="85"/>
    <x v="0"/>
    <s v="Multan"/>
    <x v="0"/>
    <x v="10"/>
    <x v="4"/>
    <n v="4"/>
    <n v="181335.35"/>
    <n v="0.05"/>
    <n v="689074.33"/>
    <n v="564514.02"/>
    <n v="124560.31"/>
    <s v="Bank Transfer"/>
    <n v="0.18076469341123186"/>
  </r>
  <r>
    <s v="ORD-2025-0119"/>
    <x v="95"/>
    <x v="0"/>
    <s v="Multan"/>
    <x v="0"/>
    <x v="10"/>
    <x v="4"/>
    <n v="3"/>
    <n v="174859.33"/>
    <n v="0.1"/>
    <n v="472120.19"/>
    <n v="414703.92"/>
    <n v="57416.27"/>
    <s v="Digital Wallet"/>
    <n v="0.12161367214564579"/>
  </r>
  <r>
    <s v="ORD-2025-0120"/>
    <x v="96"/>
    <x v="0"/>
    <s v="Faisalabad"/>
    <x v="3"/>
    <x v="14"/>
    <x v="0"/>
    <n v="7"/>
    <n v="5011.2700000000004"/>
    <n v="0.1"/>
    <n v="31571"/>
    <n v="18483.580000000002"/>
    <n v="13087.42"/>
    <s v="Bank Transfer"/>
    <n v="0.41453929238858445"/>
  </r>
  <r>
    <s v="ORD-2025-0121"/>
    <x v="97"/>
    <x v="0"/>
    <s v="Multan"/>
    <x v="3"/>
    <x v="8"/>
    <x v="4"/>
    <n v="1"/>
    <n v="10985.75"/>
    <n v="0.1"/>
    <n v="9887.18"/>
    <n v="6329.93"/>
    <n v="3557.25"/>
    <s v="Credit Card"/>
    <n v="0.35978408403609524"/>
  </r>
  <r>
    <s v="ORD-2025-0122"/>
    <x v="98"/>
    <x v="1"/>
    <s v="Rawalpindi"/>
    <x v="1"/>
    <x v="3"/>
    <x v="1"/>
    <n v="2"/>
    <n v="24873.39"/>
    <n v="0.15"/>
    <n v="42284.76"/>
    <n v="36005.25"/>
    <n v="6279.51"/>
    <s v="Credit Card"/>
    <n v="0.1485052770785503"/>
  </r>
  <r>
    <s v="ORD-2025-0123"/>
    <x v="99"/>
    <x v="0"/>
    <s v="Multan"/>
    <x v="1"/>
    <x v="2"/>
    <x v="0"/>
    <n v="7"/>
    <n v="142814.10999999999"/>
    <n v="0"/>
    <n v="999698.77"/>
    <n v="707378.51"/>
    <n v="292320.26"/>
    <s v="Bank Transfer"/>
    <n v="0.29240834216491035"/>
  </r>
  <r>
    <s v="ORD-2025-0124"/>
    <x v="100"/>
    <x v="0"/>
    <s v="Faisalabad"/>
    <x v="3"/>
    <x v="14"/>
    <x v="7"/>
    <n v="5"/>
    <n v="4879.82"/>
    <n v="0"/>
    <n v="24399.1"/>
    <n v="14008.06"/>
    <n v="10391.040000000001"/>
    <s v="Bank Transfer"/>
    <n v="0.42587800369685774"/>
  </r>
  <r>
    <s v="ORD-2025-0125"/>
    <x v="101"/>
    <x v="1"/>
    <s v="Rawalpindi"/>
    <x v="0"/>
    <x v="1"/>
    <x v="2"/>
    <n v="7"/>
    <n v="93308.19"/>
    <n v="0.1"/>
    <n v="587841.6"/>
    <n v="464340.52"/>
    <n v="123501.08"/>
    <s v="Credit Card"/>
    <n v="0.21009244667270913"/>
  </r>
  <r>
    <s v="ORD-2025-0126"/>
    <x v="102"/>
    <x v="2"/>
    <s v="Karachi"/>
    <x v="0"/>
    <x v="10"/>
    <x v="5"/>
    <n v="4"/>
    <n v="197015.31"/>
    <n v="0.05"/>
    <n v="748658.18"/>
    <n v="564919.73"/>
    <n v="183738.45"/>
    <s v="Credit Card"/>
    <n v="0.24542368588025046"/>
  </r>
  <r>
    <s v="ORD-2025-0127"/>
    <x v="103"/>
    <x v="1"/>
    <s v="Islamabad"/>
    <x v="1"/>
    <x v="12"/>
    <x v="7"/>
    <n v="3"/>
    <n v="33540.67"/>
    <n v="0.15"/>
    <n v="85528.71"/>
    <n v="65831.039999999994"/>
    <n v="19697.669999999998"/>
    <s v="Digital Wallet"/>
    <n v="0.23030477134520089"/>
  </r>
  <r>
    <s v="ORD-2025-0128"/>
    <x v="104"/>
    <x v="0"/>
    <s v="Multan"/>
    <x v="3"/>
    <x v="8"/>
    <x v="4"/>
    <n v="6"/>
    <n v="10857.76"/>
    <n v="0"/>
    <n v="65146.559999999998"/>
    <n v="39110.15"/>
    <n v="26036.41"/>
    <s v="Bank Transfer"/>
    <n v="0.39965901499634054"/>
  </r>
  <r>
    <s v="ORD-2025-0129"/>
    <x v="105"/>
    <x v="0"/>
    <s v="Lahore"/>
    <x v="1"/>
    <x v="2"/>
    <x v="0"/>
    <n v="5"/>
    <n v="134173.64000000001"/>
    <n v="0"/>
    <n v="670868.19999999995"/>
    <n v="491861.06"/>
    <n v="179007.14"/>
    <s v="Cash"/>
    <n v="0.26682907313239773"/>
  </r>
  <r>
    <s v="ORD-2025-0130"/>
    <x v="36"/>
    <x v="0"/>
    <s v="Multan"/>
    <x v="3"/>
    <x v="14"/>
    <x v="7"/>
    <n v="1"/>
    <n v="5158.18"/>
    <n v="0.1"/>
    <n v="4642.3599999999997"/>
    <n v="2742.2"/>
    <n v="1900.16"/>
    <s v="Credit Card"/>
    <n v="0.40930905832378361"/>
  </r>
  <r>
    <s v="ORD-2025-0131"/>
    <x v="106"/>
    <x v="1"/>
    <s v="Rawalpindi"/>
    <x v="0"/>
    <x v="0"/>
    <x v="7"/>
    <n v="2"/>
    <n v="14510.55"/>
    <n v="0"/>
    <n v="29021.1"/>
    <n v="15952.94"/>
    <n v="13068.16"/>
    <s v="Digital Wallet"/>
    <n v="0.45029857586376809"/>
  </r>
  <r>
    <s v="ORD-2025-0132"/>
    <x v="107"/>
    <x v="0"/>
    <s v="Multan"/>
    <x v="2"/>
    <x v="9"/>
    <x v="6"/>
    <n v="6"/>
    <n v="40541.06"/>
    <n v="0.05"/>
    <n v="231084.04"/>
    <n v="155783.76"/>
    <n v="75300.28"/>
    <s v="Bank Transfer"/>
    <n v="0.32585668832862708"/>
  </r>
  <r>
    <s v="ORD-2025-0133"/>
    <x v="108"/>
    <x v="1"/>
    <s v="Rawalpindi"/>
    <x v="0"/>
    <x v="15"/>
    <x v="5"/>
    <n v="5"/>
    <n v="49936.6"/>
    <n v="0.15"/>
    <n v="212230.55"/>
    <n v="189345.34"/>
    <n v="22885.21"/>
    <s v="Bank Transfer"/>
    <n v="0.1078318366512267"/>
  </r>
  <r>
    <s v="ORD-2025-0134"/>
    <x v="98"/>
    <x v="1"/>
    <s v="Peshawar"/>
    <x v="2"/>
    <x v="9"/>
    <x v="0"/>
    <n v="5"/>
    <n v="40843.589999999997"/>
    <n v="0.15"/>
    <n v="173585.26"/>
    <n v="132125.43"/>
    <n v="41459.83"/>
    <s v="Bank Transfer"/>
    <n v="0.23884418527241311"/>
  </r>
  <r>
    <s v="ORD-2025-0135"/>
    <x v="109"/>
    <x v="0"/>
    <s v="Faisalabad"/>
    <x v="1"/>
    <x v="12"/>
    <x v="2"/>
    <n v="2"/>
    <n v="33771.01"/>
    <n v="0.05"/>
    <n v="64164.92"/>
    <n v="45251.74"/>
    <n v="18913.18"/>
    <s v="Bank Transfer"/>
    <n v="0.29475888070927231"/>
  </r>
  <r>
    <s v="ORD-2025-0136"/>
    <x v="110"/>
    <x v="1"/>
    <s v="Islamabad"/>
    <x v="1"/>
    <x v="4"/>
    <x v="0"/>
    <n v="4"/>
    <n v="23428.05"/>
    <n v="0"/>
    <n v="93712.2"/>
    <n v="61989.48"/>
    <n v="31722.720000000001"/>
    <s v="Cash"/>
    <n v="0.33851216810618046"/>
  </r>
  <r>
    <s v="ORD-2025-0137"/>
    <x v="111"/>
    <x v="0"/>
    <s v="Faisalabad"/>
    <x v="2"/>
    <x v="7"/>
    <x v="7"/>
    <n v="3"/>
    <n v="8040.66"/>
    <n v="0.15"/>
    <n v="20503.68"/>
    <n v="15052.46"/>
    <n v="5451.22"/>
    <s v="Cash"/>
    <n v="0.26586544464213252"/>
  </r>
  <r>
    <s v="ORD-2025-0138"/>
    <x v="112"/>
    <x v="2"/>
    <s v="Hyderabad"/>
    <x v="2"/>
    <x v="7"/>
    <x v="4"/>
    <n v="5"/>
    <n v="8843.25"/>
    <n v="0.05"/>
    <n v="42005.440000000002"/>
    <n v="24166.32"/>
    <n v="17839.12"/>
    <s v="Digital Wallet"/>
    <n v="0.42468594543944782"/>
  </r>
  <r>
    <s v="ORD-2025-0139"/>
    <x v="113"/>
    <x v="1"/>
    <s v="Rawalpindi"/>
    <x v="3"/>
    <x v="14"/>
    <x v="3"/>
    <n v="5"/>
    <n v="5431.4"/>
    <n v="0.1"/>
    <n v="24441.3"/>
    <n v="13593.45"/>
    <n v="10847.85"/>
    <s v="Credit Card"/>
    <n v="0.44383277485240152"/>
  </r>
  <r>
    <s v="ORD-2025-0140"/>
    <x v="114"/>
    <x v="2"/>
    <s v="Karachi"/>
    <x v="3"/>
    <x v="8"/>
    <x v="0"/>
    <n v="2"/>
    <n v="11888.98"/>
    <n v="0.1"/>
    <n v="21400.16"/>
    <n v="13384.56"/>
    <n v="8015.6"/>
    <s v="Credit Card"/>
    <n v="0.37455794723030111"/>
  </r>
  <r>
    <s v="ORD-2025-0141"/>
    <x v="115"/>
    <x v="2"/>
    <s v="Hyderabad"/>
    <x v="2"/>
    <x v="7"/>
    <x v="6"/>
    <n v="2"/>
    <n v="9107.1200000000008"/>
    <n v="0"/>
    <n v="18214.240000000002"/>
    <n v="10066.26"/>
    <n v="8147.98"/>
    <s v="Digital Wallet"/>
    <n v="0.44734120117007348"/>
  </r>
  <r>
    <s v="ORD-2025-0142"/>
    <x v="41"/>
    <x v="1"/>
    <s v="Rawalpindi"/>
    <x v="1"/>
    <x v="12"/>
    <x v="0"/>
    <n v="7"/>
    <n v="35611.089999999997"/>
    <n v="0.05"/>
    <n v="236813.75"/>
    <n v="155250.54"/>
    <n v="81563.210000000006"/>
    <s v="Bank Transfer"/>
    <n v="0.34441923241365846"/>
  </r>
  <r>
    <s v="ORD-2025-0143"/>
    <x v="116"/>
    <x v="1"/>
    <s v="Islamabad"/>
    <x v="0"/>
    <x v="0"/>
    <x v="7"/>
    <n v="8"/>
    <n v="14954.89"/>
    <n v="0"/>
    <n v="119639.12"/>
    <n v="67116.600000000006"/>
    <n v="52522.52"/>
    <s v="Cash"/>
    <n v="0.4390079097873672"/>
  </r>
  <r>
    <s v="ORD-2025-0144"/>
    <x v="94"/>
    <x v="1"/>
    <s v="Islamabad"/>
    <x v="1"/>
    <x v="12"/>
    <x v="0"/>
    <n v="3"/>
    <n v="33257.69"/>
    <n v="0.15"/>
    <n v="84807.11"/>
    <n v="68351.960000000006"/>
    <n v="16455.150000000001"/>
    <s v="Bank Transfer"/>
    <n v="0.19403031184531583"/>
  </r>
  <r>
    <s v="ORD-2025-0145"/>
    <x v="117"/>
    <x v="1"/>
    <s v="Rawalpindi"/>
    <x v="0"/>
    <x v="10"/>
    <x v="7"/>
    <n v="4"/>
    <n v="182626.84"/>
    <n v="0.1"/>
    <n v="657456.62"/>
    <n v="569134.84"/>
    <n v="88321.78"/>
    <s v="Cash"/>
    <n v="0.13433856670269742"/>
  </r>
  <r>
    <s v="ORD-2025-0146"/>
    <x v="118"/>
    <x v="0"/>
    <s v="Multan"/>
    <x v="2"/>
    <x v="5"/>
    <x v="1"/>
    <n v="5"/>
    <n v="28177.33"/>
    <n v="0.1"/>
    <n v="126797.99"/>
    <n v="94496.23"/>
    <n v="32301.759999999998"/>
    <s v="Credit Card"/>
    <n v="0.25474977955092187"/>
  </r>
  <r>
    <s v="ORD-2025-0147"/>
    <x v="70"/>
    <x v="0"/>
    <s v="Multan"/>
    <x v="0"/>
    <x v="0"/>
    <x v="6"/>
    <n v="2"/>
    <n v="15551.9"/>
    <n v="0.1"/>
    <n v="27993.42"/>
    <n v="16490.41"/>
    <n v="11503.01"/>
    <s v="Digital Wallet"/>
    <n v="0.41091835152689454"/>
  </r>
  <r>
    <s v="ORD-2025-0148"/>
    <x v="119"/>
    <x v="2"/>
    <s v="Karachi"/>
    <x v="3"/>
    <x v="8"/>
    <x v="3"/>
    <n v="5"/>
    <n v="11955.06"/>
    <n v="0.05"/>
    <n v="56786.53"/>
    <n v="33318.879999999997"/>
    <n v="23467.65"/>
    <s v="Cash"/>
    <n v="0.4132608560516024"/>
  </r>
  <r>
    <s v="ORD-2025-0149"/>
    <x v="35"/>
    <x v="0"/>
    <s v="Multan"/>
    <x v="1"/>
    <x v="12"/>
    <x v="7"/>
    <n v="1"/>
    <n v="32220.14"/>
    <n v="0.05"/>
    <n v="30609.13"/>
    <n v="23106.28"/>
    <n v="7502.85"/>
    <s v="Digital Wallet"/>
    <n v="0.24511804157779069"/>
  </r>
  <r>
    <s v="ORD-2025-0150"/>
    <x v="120"/>
    <x v="0"/>
    <s v="Lahore"/>
    <x v="2"/>
    <x v="11"/>
    <x v="6"/>
    <n v="8"/>
    <n v="39814.449999999997"/>
    <n v="0"/>
    <n v="318515.59999999998"/>
    <n v="241320.48"/>
    <n v="77195.12"/>
    <s v="Bank Transfer"/>
    <n v="0.24235899277774778"/>
  </r>
  <r>
    <s v="ORD-2025-0151"/>
    <x v="121"/>
    <x v="2"/>
    <s v="Quetta"/>
    <x v="3"/>
    <x v="14"/>
    <x v="6"/>
    <n v="5"/>
    <n v="4814.47"/>
    <n v="0.15"/>
    <n v="20461.5"/>
    <n v="13275.59"/>
    <n v="7185.91"/>
    <s v="Bank Transfer"/>
    <n v="0.35119175036043299"/>
  </r>
  <r>
    <s v="ORD-2025-0152"/>
    <x v="122"/>
    <x v="2"/>
    <s v="Karachi"/>
    <x v="1"/>
    <x v="4"/>
    <x v="7"/>
    <n v="7"/>
    <n v="25453.77"/>
    <n v="0.05"/>
    <n v="169267.57"/>
    <n v="109906.82"/>
    <n v="59360.75"/>
    <s v="Digital Wallet"/>
    <n v="0.35069180706026559"/>
  </r>
  <r>
    <s v="ORD-2025-0153"/>
    <x v="123"/>
    <x v="2"/>
    <s v="Quetta"/>
    <x v="1"/>
    <x v="2"/>
    <x v="4"/>
    <n v="7"/>
    <n v="125904.82"/>
    <n v="0.1"/>
    <n v="793200.37"/>
    <n v="735037.41"/>
    <n v="58162.96"/>
    <s v="Bank Transfer"/>
    <n v="7.3326945119806239E-2"/>
  </r>
  <r>
    <s v="ORD-2025-0154"/>
    <x v="124"/>
    <x v="1"/>
    <s v="Islamabad"/>
    <x v="1"/>
    <x v="3"/>
    <x v="7"/>
    <n v="5"/>
    <n v="26766.36"/>
    <n v="0.15"/>
    <n v="113757.03"/>
    <n v="89984.53"/>
    <n v="23772.5"/>
    <s v="Bank Transfer"/>
    <n v="0.20897609580700199"/>
  </r>
  <r>
    <s v="ORD-2025-0155"/>
    <x v="125"/>
    <x v="2"/>
    <s v="Karachi"/>
    <x v="1"/>
    <x v="4"/>
    <x v="1"/>
    <n v="5"/>
    <n v="25046.720000000001"/>
    <n v="0"/>
    <n v="125233.60000000001"/>
    <n v="77044.98"/>
    <n v="48188.62"/>
    <s v="Bank Transfer"/>
    <n v="0.38478986470084708"/>
  </r>
  <r>
    <s v="ORD-2025-0156"/>
    <x v="126"/>
    <x v="0"/>
    <s v="Multan"/>
    <x v="2"/>
    <x v="11"/>
    <x v="5"/>
    <n v="3"/>
    <n v="45398.84"/>
    <n v="0.15"/>
    <n v="115767.03999999999"/>
    <n v="95296.34"/>
    <n v="20470.7"/>
    <s v="Cash"/>
    <n v="0.1768266684541645"/>
  </r>
  <r>
    <s v="ORD-2025-0157"/>
    <x v="127"/>
    <x v="1"/>
    <s v="Peshawar"/>
    <x v="1"/>
    <x v="3"/>
    <x v="7"/>
    <n v="7"/>
    <n v="28941.7"/>
    <n v="0"/>
    <n v="202591.9"/>
    <n v="127556.94"/>
    <n v="75034.960000000006"/>
    <s v="Bank Transfer"/>
    <n v="0.37037492614462875"/>
  </r>
  <r>
    <s v="ORD-2025-0158"/>
    <x v="128"/>
    <x v="2"/>
    <s v="Hyderabad"/>
    <x v="0"/>
    <x v="1"/>
    <x v="6"/>
    <n v="6"/>
    <n v="90499.06"/>
    <n v="0.15"/>
    <n v="461545.21"/>
    <n v="403719.38"/>
    <n v="57825.83"/>
    <s v="Credit Card"/>
    <n v="0.12528746642176181"/>
  </r>
  <r>
    <s v="ORD-2025-0159"/>
    <x v="129"/>
    <x v="2"/>
    <s v="Quetta"/>
    <x v="3"/>
    <x v="13"/>
    <x v="4"/>
    <n v="5"/>
    <n v="6785.96"/>
    <n v="0.15"/>
    <n v="28840.33"/>
    <n v="18022.3"/>
    <n v="10818.03"/>
    <s v="Digital Wallet"/>
    <n v="0.37510077034486083"/>
  </r>
  <r>
    <s v="ORD-2025-0160"/>
    <x v="130"/>
    <x v="1"/>
    <s v="Islamabad"/>
    <x v="2"/>
    <x v="11"/>
    <x v="2"/>
    <n v="8"/>
    <n v="40747.879999999997"/>
    <n v="0.15"/>
    <n v="277085.58"/>
    <n v="248287.13"/>
    <n v="28798.45"/>
    <s v="Bank Transfer"/>
    <n v="0.10393341291885344"/>
  </r>
  <r>
    <s v="ORD-2025-0161"/>
    <x v="131"/>
    <x v="0"/>
    <s v="Lahore"/>
    <x v="1"/>
    <x v="3"/>
    <x v="3"/>
    <n v="3"/>
    <n v="27915.02"/>
    <n v="0.15"/>
    <n v="71183.3"/>
    <n v="54790.51"/>
    <n v="16392.79"/>
    <s v="Cash"/>
    <n v="0.2302898292155604"/>
  </r>
  <r>
    <s v="ORD-2025-0162"/>
    <x v="71"/>
    <x v="1"/>
    <s v="Islamabad"/>
    <x v="2"/>
    <x v="7"/>
    <x v="5"/>
    <n v="1"/>
    <n v="8310.82"/>
    <n v="0.1"/>
    <n v="7479.74"/>
    <n v="4879.54"/>
    <n v="2600.1999999999998"/>
    <s v="Cash"/>
    <n v="0.34763240433491005"/>
  </r>
  <r>
    <s v="ORD-2025-0163"/>
    <x v="132"/>
    <x v="1"/>
    <s v="Rawalpindi"/>
    <x v="3"/>
    <x v="14"/>
    <x v="0"/>
    <n v="7"/>
    <n v="5423.94"/>
    <n v="0.1"/>
    <n v="34170.82"/>
    <n v="18430.57"/>
    <n v="15740.25"/>
    <s v="Digital Wallet"/>
    <n v="0.46063424875376124"/>
  </r>
  <r>
    <s v="ORD-2025-0164"/>
    <x v="133"/>
    <x v="2"/>
    <s v="Quetta"/>
    <x v="1"/>
    <x v="12"/>
    <x v="0"/>
    <n v="3"/>
    <n v="34413.89"/>
    <n v="0"/>
    <n v="103241.67"/>
    <n v="67519.12"/>
    <n v="35722.550000000003"/>
    <s v="Credit Card"/>
    <n v="0.34600902910617393"/>
  </r>
  <r>
    <s v="ORD-2025-0165"/>
    <x v="10"/>
    <x v="2"/>
    <s v="Karachi"/>
    <x v="2"/>
    <x v="9"/>
    <x v="4"/>
    <n v="4"/>
    <n v="37063.82"/>
    <n v="0.1"/>
    <n v="133429.75"/>
    <n v="107395.06"/>
    <n v="26034.69"/>
    <s v="Credit Card"/>
    <n v="0.19511907951562527"/>
  </r>
  <r>
    <s v="ORD-2025-0166"/>
    <x v="134"/>
    <x v="0"/>
    <s v="Multan"/>
    <x v="1"/>
    <x v="12"/>
    <x v="5"/>
    <n v="5"/>
    <n v="33604.18"/>
    <n v="0"/>
    <n v="168020.9"/>
    <n v="113082.76"/>
    <n v="54938.14"/>
    <s v="Credit Card"/>
    <n v="0.32697206121381328"/>
  </r>
  <r>
    <s v="ORD-2025-0167"/>
    <x v="23"/>
    <x v="0"/>
    <s v="Multan"/>
    <x v="1"/>
    <x v="2"/>
    <x v="3"/>
    <n v="1"/>
    <n v="125954.41"/>
    <n v="0.15"/>
    <n v="107061.25"/>
    <n v="103421.13"/>
    <n v="3640.12"/>
    <s v="Digital Wallet"/>
    <n v="3.4000350266786536E-2"/>
  </r>
  <r>
    <s v="ORD-2025-0168"/>
    <x v="135"/>
    <x v="0"/>
    <s v="Multan"/>
    <x v="0"/>
    <x v="15"/>
    <x v="1"/>
    <n v="5"/>
    <n v="53180.67"/>
    <n v="0.05"/>
    <n v="252608.18"/>
    <n v="183194.62"/>
    <n v="69413.56"/>
    <s v="Bank Transfer"/>
    <n v="0.27478745937681037"/>
  </r>
  <r>
    <s v="ORD-2025-0169"/>
    <x v="12"/>
    <x v="2"/>
    <s v="Karachi"/>
    <x v="0"/>
    <x v="1"/>
    <x v="5"/>
    <n v="8"/>
    <n v="90757.95"/>
    <n v="0.05"/>
    <n v="689760.42"/>
    <n v="535449.19999999995"/>
    <n v="154311.22"/>
    <s v="Bank Transfer"/>
    <n v="0.22371712775285074"/>
  </r>
  <r>
    <s v="ORD-2025-0170"/>
    <x v="41"/>
    <x v="0"/>
    <s v="Faisalabad"/>
    <x v="1"/>
    <x v="4"/>
    <x v="3"/>
    <n v="3"/>
    <n v="25521.81"/>
    <n v="0.1"/>
    <n v="68908.89"/>
    <n v="47841.56"/>
    <n v="21067.33"/>
    <s v="Digital Wallet"/>
    <n v="0.30572731617067117"/>
  </r>
  <r>
    <s v="ORD-2025-0171"/>
    <x v="136"/>
    <x v="1"/>
    <s v="Rawalpindi"/>
    <x v="3"/>
    <x v="6"/>
    <x v="1"/>
    <n v="3"/>
    <n v="3929.06"/>
    <n v="0.05"/>
    <n v="11197.82"/>
    <n v="6527.91"/>
    <n v="4669.91"/>
    <s v="Credit Card"/>
    <n v="0.41703742335561744"/>
  </r>
  <r>
    <s v="ORD-2025-0172"/>
    <x v="63"/>
    <x v="1"/>
    <s v="Rawalpindi"/>
    <x v="1"/>
    <x v="12"/>
    <x v="7"/>
    <n v="3"/>
    <n v="32990.839999999997"/>
    <n v="0.1"/>
    <n v="89075.27"/>
    <n v="67680.7"/>
    <n v="21394.57"/>
    <s v="Cash"/>
    <n v="0.2401852949758109"/>
  </r>
  <r>
    <s v="ORD-2025-0173"/>
    <x v="137"/>
    <x v="1"/>
    <s v="Rawalpindi"/>
    <x v="3"/>
    <x v="6"/>
    <x v="7"/>
    <n v="4"/>
    <n v="4256.01"/>
    <n v="0"/>
    <n v="17024.04"/>
    <n v="8177.72"/>
    <n v="8846.32"/>
    <s v="Bank Transfer"/>
    <n v="0.51963693694328716"/>
  </r>
  <r>
    <s v="ORD-2025-0174"/>
    <x v="67"/>
    <x v="0"/>
    <s v="Lahore"/>
    <x v="0"/>
    <x v="15"/>
    <x v="2"/>
    <n v="3"/>
    <n v="55182.03"/>
    <n v="0.15"/>
    <n v="140714.18"/>
    <n v="109018.69"/>
    <n v="31695.49"/>
    <s v="Cash"/>
    <n v="0.22524730627716413"/>
  </r>
  <r>
    <s v="ORD-2025-0175"/>
    <x v="18"/>
    <x v="2"/>
    <s v="Karachi"/>
    <x v="2"/>
    <x v="9"/>
    <x v="4"/>
    <n v="5"/>
    <n v="35407.07"/>
    <n v="0.1"/>
    <n v="159331.82"/>
    <n v="130198.22"/>
    <n v="29133.599999999999"/>
    <s v="Cash"/>
    <n v="0.18284859860384448"/>
  </r>
  <r>
    <s v="ORD-2025-0176"/>
    <x v="77"/>
    <x v="1"/>
    <s v="Islamabad"/>
    <x v="3"/>
    <x v="8"/>
    <x v="1"/>
    <n v="6"/>
    <n v="11606.41"/>
    <n v="0.05"/>
    <n v="66156.539999999994"/>
    <n v="39891.050000000003"/>
    <n v="26265.49"/>
    <s v="Cash"/>
    <n v="0.39702030970785357"/>
  </r>
  <r>
    <s v="ORD-2025-0177"/>
    <x v="138"/>
    <x v="1"/>
    <s v="Islamabad"/>
    <x v="2"/>
    <x v="9"/>
    <x v="5"/>
    <n v="8"/>
    <n v="38117.54"/>
    <n v="0"/>
    <n v="304940.32"/>
    <n v="210587.15"/>
    <n v="94353.17"/>
    <s v="Bank Transfer"/>
    <n v="0.30941519966923364"/>
  </r>
  <r>
    <s v="ORD-2025-0178"/>
    <x v="139"/>
    <x v="0"/>
    <s v="Faisalabad"/>
    <x v="2"/>
    <x v="7"/>
    <x v="7"/>
    <n v="5"/>
    <n v="8627.4699999999993"/>
    <n v="0.1"/>
    <n v="38823.61"/>
    <n v="25185.52"/>
    <n v="13638.09"/>
    <s v="Bank Transfer"/>
    <n v="0.35128340718444268"/>
  </r>
  <r>
    <s v="ORD-2025-0179"/>
    <x v="140"/>
    <x v="2"/>
    <s v="Karachi"/>
    <x v="1"/>
    <x v="3"/>
    <x v="6"/>
    <n v="2"/>
    <n v="29073.16"/>
    <n v="0.1"/>
    <n v="52331.69"/>
    <n v="35695.35"/>
    <n v="16636.34"/>
    <s v="Digital Wallet"/>
    <n v="0.31790182965617964"/>
  </r>
  <r>
    <s v="ORD-2025-0180"/>
    <x v="141"/>
    <x v="2"/>
    <s v="Quetta"/>
    <x v="2"/>
    <x v="11"/>
    <x v="5"/>
    <n v="8"/>
    <n v="40733.120000000003"/>
    <n v="0.15"/>
    <n v="276985.21999999997"/>
    <n v="253079.73"/>
    <n v="23905.49"/>
    <s v="Credit Card"/>
    <n v="8.6306013006758997E-2"/>
  </r>
  <r>
    <s v="ORD-2025-0181"/>
    <x v="124"/>
    <x v="1"/>
    <s v="Peshawar"/>
    <x v="0"/>
    <x v="1"/>
    <x v="3"/>
    <n v="1"/>
    <n v="91132.09"/>
    <n v="0.05"/>
    <n v="86575.49"/>
    <n v="66680.81"/>
    <n v="19894.68"/>
    <s v="Digital Wallet"/>
    <n v="0.22979575397147622"/>
  </r>
  <r>
    <s v="ORD-2025-0182"/>
    <x v="142"/>
    <x v="0"/>
    <s v="Multan"/>
    <x v="3"/>
    <x v="13"/>
    <x v="7"/>
    <n v="3"/>
    <n v="6519.43"/>
    <n v="0.1"/>
    <n v="17602.46"/>
    <n v="10721.74"/>
    <n v="6880.72"/>
    <s v="Digital Wallet"/>
    <n v="0.39089536348896692"/>
  </r>
  <r>
    <s v="ORD-2025-0183"/>
    <x v="143"/>
    <x v="2"/>
    <s v="Karachi"/>
    <x v="3"/>
    <x v="8"/>
    <x v="4"/>
    <n v="6"/>
    <n v="11823.6"/>
    <n v="0.15"/>
    <n v="60300.36"/>
    <n v="39688.44"/>
    <n v="20611.919999999998"/>
    <s v="Digital Wallet"/>
    <n v="0.34182084485067749"/>
  </r>
  <r>
    <s v="ORD-2025-0184"/>
    <x v="74"/>
    <x v="1"/>
    <s v="Islamabad"/>
    <x v="1"/>
    <x v="3"/>
    <x v="3"/>
    <n v="4"/>
    <n v="28907.22"/>
    <n v="0.05"/>
    <n v="109847.44"/>
    <n v="73726.720000000001"/>
    <n v="36120.720000000001"/>
    <s v="Digital Wallet"/>
    <n v="0.32882623391132282"/>
  </r>
  <r>
    <s v="ORD-2025-0185"/>
    <x v="144"/>
    <x v="2"/>
    <s v="Hyderabad"/>
    <x v="1"/>
    <x v="3"/>
    <x v="2"/>
    <n v="5"/>
    <n v="25366.5"/>
    <n v="0.15"/>
    <n v="107807.62"/>
    <n v="90722.1"/>
    <n v="17085.52"/>
    <s v="Credit Card"/>
    <n v="0.15848156187846463"/>
  </r>
  <r>
    <s v="ORD-2025-0186"/>
    <x v="57"/>
    <x v="2"/>
    <s v="Karachi"/>
    <x v="1"/>
    <x v="2"/>
    <x v="3"/>
    <n v="6"/>
    <n v="144158.60999999999"/>
    <n v="0.15"/>
    <n v="735208.91"/>
    <n v="598698.35"/>
    <n v="136510.56"/>
    <s v="Credit Card"/>
    <n v="0.18567587816638401"/>
  </r>
  <r>
    <s v="ORD-2025-0187"/>
    <x v="145"/>
    <x v="0"/>
    <s v="Faisalabad"/>
    <x v="1"/>
    <x v="12"/>
    <x v="3"/>
    <n v="2"/>
    <n v="33610.769999999997"/>
    <n v="0.1"/>
    <n v="60499.39"/>
    <n v="44403.74"/>
    <n v="16095.65"/>
    <s v="Credit Card"/>
    <n v="0.26604648410504633"/>
  </r>
  <r>
    <s v="ORD-2025-0188"/>
    <x v="18"/>
    <x v="1"/>
    <s v="Islamabad"/>
    <x v="3"/>
    <x v="8"/>
    <x v="5"/>
    <n v="8"/>
    <n v="10765"/>
    <n v="0"/>
    <n v="86120"/>
    <n v="50458.86"/>
    <n v="35661.14"/>
    <s v="Digital Wallet"/>
    <n v="0.4140866233163028"/>
  </r>
  <r>
    <s v="ORD-2025-0189"/>
    <x v="146"/>
    <x v="0"/>
    <s v="Faisalabad"/>
    <x v="3"/>
    <x v="6"/>
    <x v="3"/>
    <n v="5"/>
    <n v="4079.82"/>
    <n v="0.15"/>
    <n v="17339.240000000002"/>
    <n v="10228.48"/>
    <n v="7110.76"/>
    <s v="Cash"/>
    <n v="0.41009640560947308"/>
  </r>
  <r>
    <s v="ORD-2025-0190"/>
    <x v="4"/>
    <x v="1"/>
    <s v="Rawalpindi"/>
    <x v="2"/>
    <x v="11"/>
    <x v="6"/>
    <n v="7"/>
    <n v="44981.17"/>
    <n v="0"/>
    <n v="314868.19"/>
    <n v="224717.09"/>
    <n v="90151.1"/>
    <s v="Cash"/>
    <n v="0.28631377466234365"/>
  </r>
  <r>
    <s v="ORD-2025-0191"/>
    <x v="147"/>
    <x v="2"/>
    <s v="Quetta"/>
    <x v="0"/>
    <x v="0"/>
    <x v="5"/>
    <n v="5"/>
    <n v="14394.09"/>
    <n v="0.15"/>
    <n v="61174.879999999997"/>
    <n v="41329.269999999997"/>
    <n v="19845.61"/>
    <s v="Digital Wallet"/>
    <n v="0.32440782883431896"/>
  </r>
  <r>
    <s v="ORD-2025-0192"/>
    <x v="122"/>
    <x v="2"/>
    <s v="Karachi"/>
    <x v="0"/>
    <x v="0"/>
    <x v="6"/>
    <n v="3"/>
    <n v="15036.2"/>
    <n v="0.15"/>
    <n v="38342.31"/>
    <n v="24305.01"/>
    <n v="14037.3"/>
    <s v="Bank Transfer"/>
    <n v="0.36610470261181449"/>
  </r>
  <r>
    <s v="ORD-2025-0193"/>
    <x v="19"/>
    <x v="2"/>
    <s v="Quetta"/>
    <x v="2"/>
    <x v="5"/>
    <x v="0"/>
    <n v="7"/>
    <n v="29991.07"/>
    <n v="0.1"/>
    <n v="188943.74"/>
    <n v="132063"/>
    <n v="56880.74"/>
    <s v="Credit Card"/>
    <n v="0.30104590922144336"/>
  </r>
  <r>
    <s v="ORD-2025-0194"/>
    <x v="5"/>
    <x v="1"/>
    <s v="Rawalpindi"/>
    <x v="1"/>
    <x v="12"/>
    <x v="2"/>
    <n v="1"/>
    <n v="31736.95"/>
    <n v="0"/>
    <n v="31736.95"/>
    <n v="22528.61"/>
    <n v="9208.34"/>
    <s v="Bank Transfer"/>
    <n v="0.29014571343497092"/>
  </r>
  <r>
    <s v="ORD-2025-0195"/>
    <x v="42"/>
    <x v="0"/>
    <s v="Multan"/>
    <x v="0"/>
    <x v="0"/>
    <x v="4"/>
    <n v="6"/>
    <n v="14947.22"/>
    <n v="0"/>
    <n v="89683.32"/>
    <n v="50023.86"/>
    <n v="39659.46"/>
    <s v="Credit Card"/>
    <n v="0.44221667975717222"/>
  </r>
  <r>
    <s v="ORD-2025-0196"/>
    <x v="148"/>
    <x v="2"/>
    <s v="Quetta"/>
    <x v="1"/>
    <x v="2"/>
    <x v="7"/>
    <n v="5"/>
    <n v="132138.95000000001"/>
    <n v="0"/>
    <n v="660694.75"/>
    <n v="497596.2"/>
    <n v="163098.54999999999"/>
    <s v="Credit Card"/>
    <n v="0.24685915848430759"/>
  </r>
  <r>
    <s v="ORD-2025-0197"/>
    <x v="40"/>
    <x v="2"/>
    <s v="Quetta"/>
    <x v="1"/>
    <x v="4"/>
    <x v="0"/>
    <n v="8"/>
    <n v="25508.81"/>
    <n v="0.15"/>
    <n v="173459.91"/>
    <n v="129912.94"/>
    <n v="43546.97"/>
    <s v="Digital Wallet"/>
    <n v="0.25104919055936326"/>
  </r>
  <r>
    <s v="ORD-2025-0198"/>
    <x v="149"/>
    <x v="0"/>
    <s v="Multan"/>
    <x v="1"/>
    <x v="2"/>
    <x v="5"/>
    <n v="2"/>
    <n v="125533.97"/>
    <n v="0.1"/>
    <n v="225961.15"/>
    <n v="208706.84"/>
    <n v="17254.310000000001"/>
    <s v="Credit Card"/>
    <n v="7.6359630848046228E-2"/>
  </r>
  <r>
    <s v="ORD-2025-0199"/>
    <x v="150"/>
    <x v="2"/>
    <s v="Quetta"/>
    <x v="3"/>
    <x v="13"/>
    <x v="7"/>
    <n v="4"/>
    <n v="6725.59"/>
    <n v="0.05"/>
    <n v="25557.24"/>
    <n v="14059.67"/>
    <n v="11497.57"/>
    <s v="Cash"/>
    <n v="0.44987526039587994"/>
  </r>
  <r>
    <s v="ORD-2025-0200"/>
    <x v="151"/>
    <x v="2"/>
    <s v="Karachi"/>
    <x v="3"/>
    <x v="14"/>
    <x v="1"/>
    <n v="1"/>
    <n v="5248.92"/>
    <n v="0.15"/>
    <n v="4461.58"/>
    <n v="2771.51"/>
    <n v="1690.07"/>
    <s v="Bank Transfer"/>
    <n v="0.37880526629579653"/>
  </r>
  <r>
    <s v="ORD-2025-0201"/>
    <x v="152"/>
    <x v="1"/>
    <s v="Peshawar"/>
    <x v="2"/>
    <x v="11"/>
    <x v="0"/>
    <n v="1"/>
    <n v="42475.040000000001"/>
    <n v="0.15"/>
    <n v="36103.78"/>
    <n v="30208.36"/>
    <n v="5895.42"/>
    <s v="Digital Wallet"/>
    <n v="0.1632909351873959"/>
  </r>
  <r>
    <s v="ORD-2025-0202"/>
    <x v="46"/>
    <x v="1"/>
    <s v="Rawalpindi"/>
    <x v="3"/>
    <x v="6"/>
    <x v="2"/>
    <n v="3"/>
    <n v="4378.6400000000003"/>
    <n v="0.15"/>
    <n v="11165.53"/>
    <n v="6395.83"/>
    <n v="4769.7"/>
    <s v="Digital Wallet"/>
    <n v="0.42718079661243125"/>
  </r>
  <r>
    <s v="ORD-2025-0203"/>
    <x v="33"/>
    <x v="2"/>
    <s v="Hyderabad"/>
    <x v="3"/>
    <x v="13"/>
    <x v="1"/>
    <n v="3"/>
    <n v="6659.68"/>
    <n v="0.05"/>
    <n v="18980.09"/>
    <n v="10565.69"/>
    <n v="8414.4"/>
    <s v="Credit Card"/>
    <n v="0.44332771867783555"/>
  </r>
  <r>
    <s v="ORD-2025-0204"/>
    <x v="139"/>
    <x v="0"/>
    <s v="Lahore"/>
    <x v="0"/>
    <x v="10"/>
    <x v="1"/>
    <n v="5"/>
    <n v="183904.92"/>
    <n v="0.15"/>
    <n v="781595.91"/>
    <n v="715758.93"/>
    <n v="65836.98"/>
    <s v="Credit Card"/>
    <n v="8.4234038532775835E-2"/>
  </r>
  <r>
    <s v="ORD-2025-0205"/>
    <x v="153"/>
    <x v="1"/>
    <s v="Rawalpindi"/>
    <x v="1"/>
    <x v="12"/>
    <x v="1"/>
    <n v="5"/>
    <n v="31355.18"/>
    <n v="0.15"/>
    <n v="133259.51"/>
    <n v="115153.23"/>
    <n v="18106.28"/>
    <s v="Cash"/>
    <n v="0.13587232911182098"/>
  </r>
  <r>
    <s v="ORD-2025-0206"/>
    <x v="154"/>
    <x v="1"/>
    <s v="Islamabad"/>
    <x v="0"/>
    <x v="10"/>
    <x v="3"/>
    <n v="1"/>
    <n v="183414.66"/>
    <n v="0.15"/>
    <n v="155902.46"/>
    <n v="144730.67000000001"/>
    <n v="11171.79"/>
    <s v="Cash"/>
    <n v="7.1658843612858972E-2"/>
  </r>
  <r>
    <s v="ORD-2025-0207"/>
    <x v="49"/>
    <x v="2"/>
    <s v="Hyderabad"/>
    <x v="2"/>
    <x v="5"/>
    <x v="2"/>
    <n v="1"/>
    <n v="26859.02"/>
    <n v="0.05"/>
    <n v="25516.07"/>
    <n v="18741.43"/>
    <n v="6774.64"/>
    <s v="Bank Transfer"/>
    <n v="0.26550483675581704"/>
  </r>
  <r>
    <s v="ORD-2025-0208"/>
    <x v="155"/>
    <x v="1"/>
    <s v="Rawalpindi"/>
    <x v="2"/>
    <x v="5"/>
    <x v="5"/>
    <n v="7"/>
    <n v="27590.28"/>
    <n v="0"/>
    <n v="193131.96"/>
    <n v="134193.04999999999"/>
    <n v="58938.91"/>
    <s v="Digital Wallet"/>
    <n v="0.30517429637228349"/>
  </r>
  <r>
    <s v="ORD-2025-0209"/>
    <x v="61"/>
    <x v="0"/>
    <s v="Faisalabad"/>
    <x v="0"/>
    <x v="0"/>
    <x v="5"/>
    <n v="7"/>
    <n v="15163.07"/>
    <n v="0.05"/>
    <n v="100834.42"/>
    <n v="58475.77"/>
    <n v="42358.65"/>
    <s v="Bank Transfer"/>
    <n v="0.42008125796726953"/>
  </r>
  <r>
    <s v="ORD-2025-0210"/>
    <x v="39"/>
    <x v="2"/>
    <s v="Karachi"/>
    <x v="3"/>
    <x v="6"/>
    <x v="6"/>
    <n v="4"/>
    <n v="4066.09"/>
    <n v="0.15"/>
    <n v="13824.71"/>
    <n v="8232.8799999999992"/>
    <n v="5591.83"/>
    <s v="Digital Wallet"/>
    <n v="0.40448081731913366"/>
  </r>
  <r>
    <s v="ORD-2025-0211"/>
    <x v="52"/>
    <x v="2"/>
    <s v="Quetta"/>
    <x v="2"/>
    <x v="7"/>
    <x v="2"/>
    <n v="4"/>
    <n v="8166.79"/>
    <n v="0.05"/>
    <n v="31033.8"/>
    <n v="19899.28"/>
    <n v="11134.52"/>
    <s v="Cash"/>
    <n v="0.35878687108894175"/>
  </r>
  <r>
    <s v="ORD-2025-0212"/>
    <x v="156"/>
    <x v="0"/>
    <s v="Multan"/>
    <x v="2"/>
    <x v="11"/>
    <x v="3"/>
    <n v="5"/>
    <n v="42154.92"/>
    <n v="0.1"/>
    <n v="189697.14"/>
    <n v="156891.70000000001"/>
    <n v="32805.440000000002"/>
    <s v="Credit Card"/>
    <n v="0.17293587030357971"/>
  </r>
  <r>
    <s v="ORD-2025-0213"/>
    <x v="157"/>
    <x v="2"/>
    <s v="Karachi"/>
    <x v="1"/>
    <x v="3"/>
    <x v="7"/>
    <n v="1"/>
    <n v="25755.01"/>
    <n v="0"/>
    <n v="25755.01"/>
    <n v="18672.22"/>
    <n v="7082.79"/>
    <s v="Credit Card"/>
    <n v="0.27500629974517582"/>
  </r>
  <r>
    <s v="ORD-2025-0214"/>
    <x v="158"/>
    <x v="0"/>
    <s v="Multan"/>
    <x v="2"/>
    <x v="7"/>
    <x v="2"/>
    <n v="4"/>
    <n v="8570.83"/>
    <n v="-0.05"/>
    <n v="32569.15"/>
    <n v="19534.27"/>
    <n v="13034.88"/>
    <s v="Bank Transfer"/>
    <n v="0.40022168217469595"/>
  </r>
  <r>
    <s v="ORD-2025-0215"/>
    <x v="41"/>
    <x v="2"/>
    <s v="Hyderabad"/>
    <x v="3"/>
    <x v="14"/>
    <x v="3"/>
    <n v="2"/>
    <n v="5451.94"/>
    <n v="0.15"/>
    <n v="9268.2999999999993"/>
    <n v="5415.47"/>
    <n v="3852.83"/>
    <s v="Bank Transfer"/>
    <n v="0.41569975076335469"/>
  </r>
  <r>
    <s v="ORD-2025-0216"/>
    <x v="159"/>
    <x v="2"/>
    <s v="Hyderabad"/>
    <x v="0"/>
    <x v="1"/>
    <x v="1"/>
    <n v="3"/>
    <n v="84878.76"/>
    <n v="0.1"/>
    <n v="229172.65"/>
    <n v="211228.35"/>
    <n v="17944.3"/>
    <s v="Bank Transfer"/>
    <n v="7.8300355648896147E-2"/>
  </r>
  <r>
    <s v="ORD-2025-0217"/>
    <x v="91"/>
    <x v="1"/>
    <s v="Islamabad"/>
    <x v="1"/>
    <x v="12"/>
    <x v="2"/>
    <n v="7"/>
    <n v="33368.49"/>
    <n v="0"/>
    <n v="233579.43"/>
    <n v="158279.79999999999"/>
    <n v="75299.63"/>
    <s v="Bank Transfer"/>
    <n v="0.32237269352014436"/>
  </r>
  <r>
    <s v="ORD-2025-0218"/>
    <x v="0"/>
    <x v="2"/>
    <s v="Quetta"/>
    <x v="3"/>
    <x v="14"/>
    <x v="7"/>
    <n v="3"/>
    <n v="5393.67"/>
    <n v="0.05"/>
    <n v="15371.96"/>
    <n v="7952.97"/>
    <n v="7418.99"/>
    <s v="Credit Card"/>
    <n v="0.48263136255884093"/>
  </r>
  <r>
    <s v="ORD-2025-0219"/>
    <x v="14"/>
    <x v="0"/>
    <s v="Multan"/>
    <x v="0"/>
    <x v="10"/>
    <x v="1"/>
    <n v="2"/>
    <n v="198177.57"/>
    <n v="0.15"/>
    <n v="336901.87"/>
    <n v="276444.46999999997"/>
    <n v="60457.4"/>
    <s v="Credit Card"/>
    <n v="0.17945106686406936"/>
  </r>
  <r>
    <s v="ORD-2025-0220"/>
    <x v="59"/>
    <x v="0"/>
    <s v="Lahore"/>
    <x v="0"/>
    <x v="1"/>
    <x v="7"/>
    <n v="1"/>
    <n v="87859.55"/>
    <n v="0.05"/>
    <n v="83466.570000000007"/>
    <n v="67736.44"/>
    <n v="15730.13"/>
    <s v="Digital Wallet"/>
    <n v="0.18846024222631885"/>
  </r>
  <r>
    <s v="ORD-2025-0221"/>
    <x v="105"/>
    <x v="1"/>
    <s v="Islamabad"/>
    <x v="3"/>
    <x v="13"/>
    <x v="6"/>
    <n v="1"/>
    <n v="6530.59"/>
    <n v="0.05"/>
    <n v="6204.06"/>
    <n v="3627.01"/>
    <n v="2577.0500000000002"/>
    <s v="Digital Wallet"/>
    <n v="0.41538121810556311"/>
  </r>
  <r>
    <s v="ORD-2025-0222"/>
    <x v="160"/>
    <x v="1"/>
    <s v="Islamabad"/>
    <x v="0"/>
    <x v="1"/>
    <x v="4"/>
    <n v="4"/>
    <n v="87465.24"/>
    <n v="0.1"/>
    <n v="314874.86"/>
    <n v="268646.03999999998"/>
    <n v="46228.82"/>
    <s v="Digital Wallet"/>
    <n v="0.14681648449164852"/>
  </r>
  <r>
    <s v="ORD-2025-0223"/>
    <x v="95"/>
    <x v="1"/>
    <s v="Rawalpindi"/>
    <x v="3"/>
    <x v="14"/>
    <x v="6"/>
    <n v="4"/>
    <n v="5607.87"/>
    <n v="0"/>
    <n v="22431.48"/>
    <n v="10702.78"/>
    <n v="11728.7"/>
    <s v="Cash"/>
    <n v="0.52286786248611328"/>
  </r>
  <r>
    <s v="ORD-2025-0224"/>
    <x v="161"/>
    <x v="2"/>
    <s v="Hyderabad"/>
    <x v="3"/>
    <x v="14"/>
    <x v="1"/>
    <n v="1"/>
    <n v="5313.77"/>
    <n v="0.15"/>
    <n v="4516.7"/>
    <n v="2651.39"/>
    <n v="1865.31"/>
    <s v="Bank Transfer"/>
    <n v="0.41298071600947595"/>
  </r>
  <r>
    <s v="ORD-2025-0225"/>
    <x v="37"/>
    <x v="0"/>
    <s v="Lahore"/>
    <x v="0"/>
    <x v="1"/>
    <x v="4"/>
    <n v="4"/>
    <n v="97906.74"/>
    <n v="0.15"/>
    <n v="332882.92"/>
    <n v="280739.03000000003"/>
    <n v="52143.89"/>
    <s v="Cash"/>
    <n v="0.15664333273692746"/>
  </r>
  <r>
    <s v="ORD-2025-0226"/>
    <x v="162"/>
    <x v="1"/>
    <s v="Peshawar"/>
    <x v="1"/>
    <x v="2"/>
    <x v="5"/>
    <n v="3"/>
    <n v="144261.35"/>
    <n v="0.05"/>
    <n v="411144.85"/>
    <n v="294242.11"/>
    <n v="116902.74"/>
    <s v="Digital Wallet"/>
    <n v="0.28433468156052549"/>
  </r>
  <r>
    <s v="ORD-2025-0227"/>
    <x v="163"/>
    <x v="1"/>
    <s v="Rawalpindi"/>
    <x v="2"/>
    <x v="5"/>
    <x v="0"/>
    <n v="7"/>
    <n v="29307.279999999999"/>
    <n v="0.1"/>
    <n v="184635.86"/>
    <n v="132098.4"/>
    <n v="52537.46"/>
    <s v="Bank Transfer"/>
    <n v="0.28454634977192406"/>
  </r>
  <r>
    <s v="ORD-2025-0228"/>
    <x v="86"/>
    <x v="1"/>
    <s v="Islamabad"/>
    <x v="3"/>
    <x v="6"/>
    <x v="2"/>
    <n v="2"/>
    <n v="4092.88"/>
    <n v="0.1"/>
    <n v="7367.18"/>
    <n v="4354.7299999999996"/>
    <n v="3012.45"/>
    <s v="Cash"/>
    <n v="0.40890137067371773"/>
  </r>
  <r>
    <s v="ORD-2025-0229"/>
    <x v="164"/>
    <x v="0"/>
    <s v="Faisalabad"/>
    <x v="3"/>
    <x v="14"/>
    <x v="1"/>
    <n v="4"/>
    <n v="5080.03"/>
    <n v="0.05"/>
    <n v="19304.11"/>
    <n v="10802.48"/>
    <n v="8501.6299999999992"/>
    <s v="Cash"/>
    <n v="0.44040517796469242"/>
  </r>
  <r>
    <s v="ORD-2025-0230"/>
    <x v="165"/>
    <x v="0"/>
    <s v="Faisalabad"/>
    <x v="2"/>
    <x v="11"/>
    <x v="5"/>
    <n v="2"/>
    <n v="41403.65"/>
    <n v="0.05"/>
    <n v="78666.929999999993"/>
    <n v="63228.68"/>
    <n v="15438.25"/>
    <s v="Digital Wallet"/>
    <n v="0.19624828374515188"/>
  </r>
  <r>
    <s v="ORD-2025-0231"/>
    <x v="51"/>
    <x v="2"/>
    <s v="Hyderabad"/>
    <x v="0"/>
    <x v="10"/>
    <x v="0"/>
    <n v="1"/>
    <n v="198111.62"/>
    <n v="0.05"/>
    <n v="188206.04"/>
    <n v="141317.57999999999"/>
    <n v="46888.46"/>
    <s v="Credit Card"/>
    <n v="0.24913366223528213"/>
  </r>
  <r>
    <s v="ORD-2025-0232"/>
    <x v="166"/>
    <x v="1"/>
    <s v="Islamabad"/>
    <x v="3"/>
    <x v="14"/>
    <x v="2"/>
    <n v="7"/>
    <n v="4869.9399999999996"/>
    <n v="0"/>
    <n v="34089.58"/>
    <n v="18801.23"/>
    <n v="15288.35"/>
    <s v="Digital Wallet"/>
    <n v="0.44847575124128836"/>
  </r>
  <r>
    <s v="ORD-2025-0233"/>
    <x v="54"/>
    <x v="1"/>
    <s v="Rawalpindi"/>
    <x v="3"/>
    <x v="14"/>
    <x v="5"/>
    <n v="2"/>
    <n v="5387.07"/>
    <n v="0.1"/>
    <n v="9696.73"/>
    <n v="5580.17"/>
    <n v="4116.5600000000004"/>
    <s v="Digital Wallet"/>
    <n v="0.4245307438693251"/>
  </r>
  <r>
    <s v="ORD-2025-0234"/>
    <x v="167"/>
    <x v="1"/>
    <s v="Islamabad"/>
    <x v="1"/>
    <x v="3"/>
    <x v="1"/>
    <n v="5"/>
    <n v="26970.3"/>
    <n v="0"/>
    <n v="134851.5"/>
    <n v="88353.41"/>
    <n v="46498.09"/>
    <s v="Bank Transfer"/>
    <n v="0.34480958684182228"/>
  </r>
  <r>
    <s v="ORD-2025-0235"/>
    <x v="168"/>
    <x v="2"/>
    <s v="Karachi"/>
    <x v="1"/>
    <x v="3"/>
    <x v="7"/>
    <n v="4"/>
    <n v="27954.29"/>
    <n v="0.05"/>
    <n v="106226.3"/>
    <n v="72832.78"/>
    <n v="33393.519999999997"/>
    <s v="Cash"/>
    <n v="0.3143620741756043"/>
  </r>
  <r>
    <s v="ORD-2025-0236"/>
    <x v="169"/>
    <x v="1"/>
    <s v="Rawalpindi"/>
    <x v="0"/>
    <x v="15"/>
    <x v="7"/>
    <n v="6"/>
    <n v="54842.22"/>
    <n v="0.05"/>
    <n v="312600.65000000002"/>
    <n v="224756.49"/>
    <n v="87844.160000000003"/>
    <s v="Bank Transfer"/>
    <n v="0.28101080404023471"/>
  </r>
  <r>
    <s v="ORD-2025-0237"/>
    <x v="32"/>
    <x v="2"/>
    <s v="Quetta"/>
    <x v="2"/>
    <x v="9"/>
    <x v="5"/>
    <n v="6"/>
    <n v="38627.519999999997"/>
    <n v="0.15"/>
    <n v="197000.35"/>
    <n v="153513.29999999999"/>
    <n v="43487.05"/>
    <s v="Digital Wallet"/>
    <n v="0.2207460545120859"/>
  </r>
  <r>
    <s v="ORD-2025-0238"/>
    <x v="170"/>
    <x v="2"/>
    <s v="Hyderabad"/>
    <x v="3"/>
    <x v="6"/>
    <x v="3"/>
    <n v="6"/>
    <n v="4116.71"/>
    <n v="0.05"/>
    <n v="23465.25"/>
    <n v="12543.94"/>
    <n v="10921.31"/>
    <s v="Credit Card"/>
    <n v="0.46542483033421761"/>
  </r>
  <r>
    <s v="ORD-2025-0239"/>
    <x v="171"/>
    <x v="0"/>
    <s v="Multan"/>
    <x v="0"/>
    <x v="15"/>
    <x v="1"/>
    <n v="4"/>
    <n v="51487.95"/>
    <n v="0.05"/>
    <n v="195654.21"/>
    <n v="150115.70000000001"/>
    <n v="45538.51"/>
    <s v="Digital Wallet"/>
    <n v="0.23274996229317019"/>
  </r>
  <r>
    <s v="ORD-2025-0240"/>
    <x v="172"/>
    <x v="1"/>
    <s v="Peshawar"/>
    <x v="1"/>
    <x v="12"/>
    <x v="0"/>
    <n v="5"/>
    <n v="33837.74"/>
    <n v="0.15"/>
    <n v="143810.39000000001"/>
    <n v="112457.13"/>
    <n v="31353.26"/>
    <s v="Digital Wallet"/>
    <n v="0.2180180444542289"/>
  </r>
  <r>
    <s v="ORD-2025-0241"/>
    <x v="3"/>
    <x v="0"/>
    <s v="Faisalabad"/>
    <x v="3"/>
    <x v="14"/>
    <x v="0"/>
    <n v="1"/>
    <n v="5441.88"/>
    <n v="0.05"/>
    <n v="5169.79"/>
    <n v="2751.61"/>
    <n v="2418.1799999999998"/>
    <s v="Cash"/>
    <n v="0.46775207503592986"/>
  </r>
  <r>
    <s v="ORD-2025-0242"/>
    <x v="173"/>
    <x v="1"/>
    <s v="Peshawar"/>
    <x v="1"/>
    <x v="12"/>
    <x v="2"/>
    <n v="1"/>
    <n v="33333.800000000003"/>
    <n v="0.15"/>
    <n v="28333.73"/>
    <n v="22892.02"/>
    <n v="5441.71"/>
    <s v="Digital Wallet"/>
    <n v="0.19205766413387859"/>
  </r>
  <r>
    <s v="ORD-2025-0243"/>
    <x v="140"/>
    <x v="1"/>
    <s v="Islamabad"/>
    <x v="0"/>
    <x v="0"/>
    <x v="3"/>
    <n v="4"/>
    <n v="14524.77"/>
    <n v="0.1"/>
    <n v="52289.17"/>
    <n v="33097.15"/>
    <n v="19192.02"/>
    <s v="Digital Wallet"/>
    <n v="0.36703623331561774"/>
  </r>
  <r>
    <s v="ORD-2025-0244"/>
    <x v="174"/>
    <x v="2"/>
    <s v="Hyderabad"/>
    <x v="3"/>
    <x v="6"/>
    <x v="0"/>
    <n v="6"/>
    <n v="4534.46"/>
    <n v="0.05"/>
    <n v="25846.42"/>
    <n v="12314.21"/>
    <n v="13532.21"/>
    <s v="Cash"/>
    <n v="0.52356225736484974"/>
  </r>
  <r>
    <s v="ORD-2025-0245"/>
    <x v="115"/>
    <x v="0"/>
    <s v="Lahore"/>
    <x v="1"/>
    <x v="3"/>
    <x v="7"/>
    <n v="6"/>
    <n v="26807.040000000001"/>
    <n v="0"/>
    <n v="160842.23999999999"/>
    <n v="108699.63"/>
    <n v="52142.61"/>
    <s v="Cash"/>
    <n v="0.32418480369335817"/>
  </r>
  <r>
    <s v="ORD-2025-0246"/>
    <x v="175"/>
    <x v="2"/>
    <s v="Quetta"/>
    <x v="3"/>
    <x v="8"/>
    <x v="0"/>
    <n v="2"/>
    <n v="11132.49"/>
    <n v="0.15"/>
    <n v="18925.23"/>
    <n v="12714.73"/>
    <n v="6210.5"/>
    <s v="Credit Card"/>
    <n v="0.32815981628756957"/>
  </r>
  <r>
    <s v="ORD-2025-0247"/>
    <x v="44"/>
    <x v="0"/>
    <s v="Lahore"/>
    <x v="2"/>
    <x v="5"/>
    <x v="5"/>
    <n v="6"/>
    <n v="28772.91"/>
    <n v="0.05"/>
    <n v="164005.59"/>
    <n v="112430.21"/>
    <n v="51575.38"/>
    <s v="Credit Card"/>
    <n v="0.31447330545257635"/>
  </r>
  <r>
    <s v="ORD-2025-0248"/>
    <x v="176"/>
    <x v="0"/>
    <s v="Multan"/>
    <x v="3"/>
    <x v="14"/>
    <x v="1"/>
    <n v="1"/>
    <n v="5397.51"/>
    <n v="0"/>
    <n v="5397.51"/>
    <n v="2703.97"/>
    <n v="2693.54"/>
    <s v="Cash"/>
    <n v="0.49903381374003936"/>
  </r>
  <r>
    <s v="ORD-2025-0249"/>
    <x v="177"/>
    <x v="0"/>
    <s v="Lahore"/>
    <x v="2"/>
    <x v="9"/>
    <x v="3"/>
    <n v="2"/>
    <n v="38470.28"/>
    <n v="0.1"/>
    <n v="69246.5"/>
    <n v="51120.53"/>
    <n v="18125.97"/>
    <s v="Digital Wallet"/>
    <n v="0.26176008895756464"/>
  </r>
  <r>
    <s v="ORD-2025-0250"/>
    <x v="79"/>
    <x v="1"/>
    <s v="Rawalpindi"/>
    <x v="3"/>
    <x v="8"/>
    <x v="7"/>
    <n v="7"/>
    <n v="11704.81"/>
    <n v="0.1"/>
    <n v="73740.3"/>
    <n v="44498.83"/>
    <n v="29241.47"/>
    <s v="Credit Card"/>
    <n v="0.39654666444264536"/>
  </r>
  <r>
    <s v="ORD-2025-0251"/>
    <x v="178"/>
    <x v="0"/>
    <s v="Multan"/>
    <x v="1"/>
    <x v="2"/>
    <x v="2"/>
    <n v="3"/>
    <n v="130964.81"/>
    <n v="0"/>
    <n v="392894.43"/>
    <n v="300387.11"/>
    <n v="92507.32"/>
    <s v="Credit Card"/>
    <n v="0.23545083090131874"/>
  </r>
  <r>
    <s v="ORD-2025-0252"/>
    <x v="66"/>
    <x v="0"/>
    <s v="Faisalabad"/>
    <x v="3"/>
    <x v="6"/>
    <x v="5"/>
    <n v="7"/>
    <n v="4148.28"/>
    <n v="0.05"/>
    <n v="27586.06"/>
    <n v="14912.93"/>
    <n v="12673.13"/>
    <s v="Credit Card"/>
    <n v="0.45940340882315195"/>
  </r>
  <r>
    <s v="ORD-2025-0253"/>
    <x v="179"/>
    <x v="2"/>
    <s v="Hyderabad"/>
    <x v="2"/>
    <x v="5"/>
    <x v="6"/>
    <n v="6"/>
    <n v="30059.45"/>
    <n v="0.1"/>
    <n v="162321.03"/>
    <n v="111007.82"/>
    <n v="51313.21"/>
    <s v="Digital Wallet"/>
    <n v="0.31612176191834168"/>
  </r>
  <r>
    <s v="ORD-2025-0254"/>
    <x v="180"/>
    <x v="1"/>
    <s v="Islamabad"/>
    <x v="3"/>
    <x v="14"/>
    <x v="7"/>
    <n v="7"/>
    <n v="5353.67"/>
    <n v="0.05"/>
    <n v="35601.910000000003"/>
    <n v="19272.52"/>
    <n v="16329.39"/>
    <s v="Credit Card"/>
    <n v="0.45866612212659369"/>
  </r>
  <r>
    <s v="ORD-2025-0256"/>
    <x v="181"/>
    <x v="0"/>
    <s v="Multan"/>
    <x v="0"/>
    <x v="10"/>
    <x v="7"/>
    <n v="5"/>
    <n v="193143.35"/>
    <n v="0.05"/>
    <n v="917430.91"/>
    <n v="715639.56"/>
    <n v="201791.35"/>
    <s v="Credit Card"/>
    <n v="0.21995263926740816"/>
  </r>
  <r>
    <s v="ORD-2025-0257"/>
    <x v="130"/>
    <x v="2"/>
    <s v="Karachi"/>
    <x v="2"/>
    <x v="9"/>
    <x v="7"/>
    <n v="1"/>
    <n v="37694.370000000003"/>
    <n v="0.05"/>
    <n v="35809.65"/>
    <n v="26789.200000000001"/>
    <n v="9020.4500000000007"/>
    <s v="Cash"/>
    <n v="0.25189997668226305"/>
  </r>
  <r>
    <s v="ORD-2025-0258"/>
    <x v="152"/>
    <x v="1"/>
    <s v="Islamabad"/>
    <x v="1"/>
    <x v="4"/>
    <x v="2"/>
    <n v="3"/>
    <n v="24955.31"/>
    <n v="0"/>
    <n v="74865.929999999993"/>
    <n v="48677.29"/>
    <n v="26188.639999999999"/>
    <s v="Bank Transfer"/>
    <n v="0.3498071819851834"/>
  </r>
  <r>
    <s v="ORD-2025-0259"/>
    <x v="138"/>
    <x v="0"/>
    <s v="Multan"/>
    <x v="2"/>
    <x v="9"/>
    <x v="0"/>
    <n v="5"/>
    <n v="36719.15"/>
    <n v="0.05"/>
    <n v="174415.96"/>
    <n v="134766.82"/>
    <n v="39649.14"/>
    <s v="Credit Card"/>
    <n v="0.22732518285597259"/>
  </r>
  <r>
    <s v="ORD-2025-0260"/>
    <x v="40"/>
    <x v="2"/>
    <s v="Karachi"/>
    <x v="1"/>
    <x v="12"/>
    <x v="1"/>
    <n v="3"/>
    <n v="31678.3"/>
    <n v="0.15"/>
    <n v="80779.66"/>
    <n v="66996.91"/>
    <n v="13782.75"/>
    <s v="Digital Wallet"/>
    <n v="0.17062154012532363"/>
  </r>
  <r>
    <s v="ORD-2025-0261"/>
    <x v="166"/>
    <x v="1"/>
    <s v="Peshawar"/>
    <x v="1"/>
    <x v="4"/>
    <x v="1"/>
    <n v="7"/>
    <n v="24311.81"/>
    <n v="0.15"/>
    <n v="144655.26999999999"/>
    <n v="113433.78"/>
    <n v="31221.49"/>
    <s v="Bank Transfer"/>
    <n v="0.21583375427663301"/>
  </r>
  <r>
    <s v="ORD-2025-0262"/>
    <x v="182"/>
    <x v="0"/>
    <s v="Faisalabad"/>
    <x v="3"/>
    <x v="14"/>
    <x v="2"/>
    <n v="6"/>
    <n v="5268.19"/>
    <n v="0.15"/>
    <n v="26867.77"/>
    <n v="15819.62"/>
    <n v="11048.15"/>
    <s v="Cash"/>
    <n v="0.41120457708250441"/>
  </r>
  <r>
    <s v="ORD-2025-0263"/>
    <x v="183"/>
    <x v="0"/>
    <s v="Faisalabad"/>
    <x v="2"/>
    <x v="7"/>
    <x v="5"/>
    <n v="4"/>
    <n v="8492.81"/>
    <n v="0.05"/>
    <n v="32272.68"/>
    <n v="20148.490000000002"/>
    <n v="12124.19"/>
    <s v="Digital Wallet"/>
    <n v="0.37567967705192135"/>
  </r>
  <r>
    <s v="ORD-2025-0264"/>
    <x v="25"/>
    <x v="2"/>
    <s v="Quetta"/>
    <x v="0"/>
    <x v="10"/>
    <x v="7"/>
    <n v="2"/>
    <n v="188734.91"/>
    <n v="0.05"/>
    <n v="358596.33"/>
    <n v="275803.67"/>
    <n v="82792.66"/>
    <s v="Digital Wallet"/>
    <n v="0.23087983081143079"/>
  </r>
  <r>
    <s v="ORD-2025-0265"/>
    <x v="184"/>
    <x v="1"/>
    <s v="Rawalpindi"/>
    <x v="2"/>
    <x v="5"/>
    <x v="4"/>
    <n v="5"/>
    <n v="26944.94"/>
    <n v="0.05"/>
    <n v="127988.46"/>
    <n v="92770.71"/>
    <n v="35217.75"/>
    <s v="Cash"/>
    <n v="0.27516347958245607"/>
  </r>
  <r>
    <s v="ORD-2025-0266"/>
    <x v="62"/>
    <x v="2"/>
    <s v="Quetta"/>
    <x v="2"/>
    <x v="11"/>
    <x v="1"/>
    <n v="7"/>
    <n v="43864.160000000003"/>
    <n v="0.15"/>
    <n v="260991.75"/>
    <n v="221114.51"/>
    <n v="39877.24"/>
    <s v="Cash"/>
    <n v="0.15279118975982955"/>
  </r>
  <r>
    <s v="ORD-2025-0267"/>
    <x v="164"/>
    <x v="0"/>
    <s v="Lahore"/>
    <x v="0"/>
    <x v="1"/>
    <x v="7"/>
    <n v="8"/>
    <n v="85787.26"/>
    <n v="0.1"/>
    <n v="617668.27"/>
    <n v="536293.35"/>
    <n v="81374.92"/>
    <s v="Cash"/>
    <n v="0.13174534609006222"/>
  </r>
  <r>
    <s v="ORD-2025-0268"/>
    <x v="185"/>
    <x v="1"/>
    <s v="Peshawar"/>
    <x v="1"/>
    <x v="2"/>
    <x v="0"/>
    <n v="7"/>
    <n v="139191.07"/>
    <n v="-0.05"/>
    <n v="925620.62"/>
    <n v="689295.29"/>
    <n v="236325.33"/>
    <s v="Cash"/>
    <n v="0.25531554169568954"/>
  </r>
  <r>
    <s v="ORD-2025-0269"/>
    <x v="186"/>
    <x v="1"/>
    <s v="Rawalpindi"/>
    <x v="1"/>
    <x v="3"/>
    <x v="5"/>
    <n v="3"/>
    <n v="26493.35"/>
    <n v="0"/>
    <n v="79480.05"/>
    <n v="54805.16"/>
    <n v="24674.89"/>
    <s v="Cash"/>
    <n v="0.31045388119408579"/>
  </r>
  <r>
    <s v="ORD-2025-0270"/>
    <x v="187"/>
    <x v="0"/>
    <s v="Multan"/>
    <x v="0"/>
    <x v="1"/>
    <x v="1"/>
    <n v="8"/>
    <n v="89809.48"/>
    <n v="0"/>
    <n v="718475.84"/>
    <n v="551597.29"/>
    <n v="166878.54999999999"/>
    <s v="Digital Wallet"/>
    <n v="0.23226744826938092"/>
  </r>
  <r>
    <s v="ORD-2025-0271"/>
    <x v="176"/>
    <x v="1"/>
    <s v="Islamabad"/>
    <x v="0"/>
    <x v="1"/>
    <x v="2"/>
    <n v="2"/>
    <n v="93318.53"/>
    <n v="0.05"/>
    <n v="177305.21"/>
    <n v="135266.62"/>
    <n v="42038.59"/>
    <s v="Credit Card"/>
    <n v="0.23709731936247105"/>
  </r>
  <r>
    <s v="ORD-2025-0272"/>
    <x v="78"/>
    <x v="1"/>
    <s v="Rawalpindi"/>
    <x v="0"/>
    <x v="1"/>
    <x v="4"/>
    <n v="5"/>
    <n v="96106.43"/>
    <n v="0.15"/>
    <n v="408452.33"/>
    <n v="330438.42"/>
    <n v="78013.91"/>
    <s v="Credit Card"/>
    <n v="0.19099881251748521"/>
  </r>
  <r>
    <s v="ORD-2025-0273"/>
    <x v="188"/>
    <x v="0"/>
    <s v="Multan"/>
    <x v="2"/>
    <x v="7"/>
    <x v="3"/>
    <n v="5"/>
    <n v="8698.7900000000009"/>
    <n v="0"/>
    <n v="43493.95"/>
    <n v="24613.73"/>
    <n v="18880.22"/>
    <s v="Digital Wallet"/>
    <n v="0.43408841919393393"/>
  </r>
  <r>
    <s v="ORD-2025-0274"/>
    <x v="22"/>
    <x v="0"/>
    <s v="Multan"/>
    <x v="0"/>
    <x v="10"/>
    <x v="1"/>
    <n v="6"/>
    <n v="197844.16"/>
    <n v="0"/>
    <n v="1187064.96"/>
    <n v="849511.03"/>
    <n v="337553.93"/>
    <s v="Bank Transfer"/>
    <n v="0.28436011623154978"/>
  </r>
  <r>
    <s v="ORD-2025-0275"/>
    <x v="2"/>
    <x v="0"/>
    <s v="Multan"/>
    <x v="2"/>
    <x v="7"/>
    <x v="6"/>
    <n v="2"/>
    <n v="7842.7"/>
    <n v="0"/>
    <n v="15685.4"/>
    <n v="9515.4599999999991"/>
    <n v="6169.94"/>
    <s v="Cash"/>
    <n v="0.39335560457495505"/>
  </r>
  <r>
    <s v="ORD-2025-0276"/>
    <x v="33"/>
    <x v="2"/>
    <s v="Quetta"/>
    <x v="1"/>
    <x v="4"/>
    <x v="5"/>
    <n v="7"/>
    <n v="25291.1"/>
    <n v="0"/>
    <n v="177037.7"/>
    <n v="112241.04"/>
    <n v="64796.66"/>
    <s v="Bank Transfer"/>
    <n v="0.36600486788972064"/>
  </r>
  <r>
    <s v="ORD-2025-0277"/>
    <x v="1"/>
    <x v="1"/>
    <s v="Rawalpindi"/>
    <x v="0"/>
    <x v="1"/>
    <x v="0"/>
    <n v="3"/>
    <n v="92535.66"/>
    <n v="0.05"/>
    <n v="263726.63"/>
    <n v="206254.32"/>
    <n v="57472.31"/>
    <s v="Bank Transfer"/>
    <n v="0.21792380238582656"/>
  </r>
  <r>
    <s v="ORD-2025-0278"/>
    <x v="129"/>
    <x v="0"/>
    <s v="Faisalabad"/>
    <x v="2"/>
    <x v="11"/>
    <x v="6"/>
    <n v="4"/>
    <n v="40153.14"/>
    <n v="0.05"/>
    <n v="152581.93"/>
    <n v="121286.76"/>
    <n v="31295.17"/>
    <s v="Bank Transfer"/>
    <n v="0.20510403820426179"/>
  </r>
  <r>
    <s v="ORD-2025-0279"/>
    <x v="189"/>
    <x v="0"/>
    <s v="Multan"/>
    <x v="2"/>
    <x v="11"/>
    <x v="2"/>
    <n v="1"/>
    <n v="44430.36"/>
    <n v="0.15"/>
    <n v="37765.81"/>
    <n v="30094.63"/>
    <n v="7671.18"/>
    <s v="Bank Transfer"/>
    <n v="0.20312499586265992"/>
  </r>
  <r>
    <s v="ORD-2025-0280"/>
    <x v="176"/>
    <x v="1"/>
    <s v="Rawalpindi"/>
    <x v="2"/>
    <x v="9"/>
    <x v="4"/>
    <n v="2"/>
    <n v="39650.300000000003"/>
    <n v="0"/>
    <n v="79300.600000000006"/>
    <n v="51659.44"/>
    <n v="27641.16"/>
    <s v="Cash"/>
    <n v="0.34856180155005129"/>
  </r>
  <r>
    <s v="ORD-2025-0281"/>
    <x v="190"/>
    <x v="2"/>
    <s v="Quetta"/>
    <x v="0"/>
    <x v="15"/>
    <x v="5"/>
    <n v="8"/>
    <n v="52089.71"/>
    <n v="0"/>
    <n v="416717.68"/>
    <n v="293452.03000000003"/>
    <n v="123265.65"/>
    <s v="Bank Transfer"/>
    <n v="0.29580134444979633"/>
  </r>
  <r>
    <s v="ORD-2025-0282"/>
    <x v="191"/>
    <x v="1"/>
    <s v="Rawalpindi"/>
    <x v="0"/>
    <x v="10"/>
    <x v="3"/>
    <n v="4"/>
    <n v="192127.09"/>
    <n v="0"/>
    <n v="768508.36"/>
    <n v="552710.94999999995"/>
    <n v="215797.41"/>
    <s v="Cash"/>
    <n v="0.28080034158639472"/>
  </r>
  <r>
    <s v="ORD-2025-0283"/>
    <x v="91"/>
    <x v="2"/>
    <s v="Hyderabad"/>
    <x v="3"/>
    <x v="6"/>
    <x v="1"/>
    <n v="3"/>
    <n v="4489.74"/>
    <n v="0"/>
    <n v="13469.22"/>
    <n v="6354.81"/>
    <n v="7114.41"/>
    <s v="Credit Card"/>
    <n v="0.52819762391586156"/>
  </r>
  <r>
    <s v="ORD-2025-0284"/>
    <x v="192"/>
    <x v="2"/>
    <s v="Karachi"/>
    <x v="3"/>
    <x v="8"/>
    <x v="6"/>
    <n v="5"/>
    <n v="12099.83"/>
    <n v="0.1"/>
    <n v="54449.24"/>
    <n v="32373.14"/>
    <n v="22076.1"/>
    <s v="Credit Card"/>
    <n v="0.40544367561420508"/>
  </r>
  <r>
    <s v="ORD-2025-0285"/>
    <x v="193"/>
    <x v="1"/>
    <s v="Peshawar"/>
    <x v="0"/>
    <x v="15"/>
    <x v="2"/>
    <n v="2"/>
    <n v="55136.57"/>
    <n v="0.05"/>
    <n v="104759.48"/>
    <n v="74762.73"/>
    <n v="29996.75"/>
    <s v="Cash"/>
    <n v="0.28633924108825282"/>
  </r>
  <r>
    <s v="ORD-2025-0286"/>
    <x v="54"/>
    <x v="0"/>
    <s v="Faisalabad"/>
    <x v="0"/>
    <x v="0"/>
    <x v="7"/>
    <n v="4"/>
    <n v="14016.5"/>
    <n v="0.05"/>
    <n v="53262.7"/>
    <n v="33514.07"/>
    <n v="19748.63"/>
    <s v="Bank Transfer"/>
    <n v="0.37077786143023173"/>
  </r>
  <r>
    <s v="ORD-2025-0287"/>
    <x v="194"/>
    <x v="0"/>
    <s v="Faisalabad"/>
    <x v="2"/>
    <x v="5"/>
    <x v="2"/>
    <n v="3"/>
    <n v="26249.08"/>
    <n v="0.05"/>
    <n v="74809.88"/>
    <n v="55385.4"/>
    <n v="19424.48"/>
    <s v="Cash"/>
    <n v="0.25965126531415367"/>
  </r>
  <r>
    <s v="ORD-2025-0288"/>
    <x v="152"/>
    <x v="2"/>
    <s v="Karachi"/>
    <x v="3"/>
    <x v="8"/>
    <x v="5"/>
    <n v="2"/>
    <n v="10957.56"/>
    <n v="0"/>
    <n v="21915.119999999999"/>
    <n v="12992.03"/>
    <n v="8923.09"/>
    <s v="Bank Transfer"/>
    <n v="0.40716592015010644"/>
  </r>
  <r>
    <s v="ORD-2025-0289"/>
    <x v="195"/>
    <x v="1"/>
    <s v="Islamabad"/>
    <x v="2"/>
    <x v="7"/>
    <x v="5"/>
    <n v="6"/>
    <n v="8443.5"/>
    <n v="0.15"/>
    <n v="43061.85"/>
    <n v="28692.73"/>
    <n v="14369.12"/>
    <s v="Digital Wallet"/>
    <n v="0.3336856173155589"/>
  </r>
  <r>
    <s v="ORD-2025-0290"/>
    <x v="196"/>
    <x v="1"/>
    <s v="Peshawar"/>
    <x v="0"/>
    <x v="15"/>
    <x v="2"/>
    <n v="3"/>
    <n v="49809.94"/>
    <n v="0.05"/>
    <n v="141958.32999999999"/>
    <n v="112737.25"/>
    <n v="29221.08"/>
    <s v="Bank Transfer"/>
    <n v="0.20584265819413347"/>
  </r>
  <r>
    <s v="ORD-2025-0291"/>
    <x v="26"/>
    <x v="2"/>
    <s v="Hyderabad"/>
    <x v="2"/>
    <x v="11"/>
    <x v="5"/>
    <n v="4"/>
    <n v="40496.449999999997"/>
    <n v="0.1"/>
    <n v="145787.22"/>
    <n v="121225.88"/>
    <n v="24561.34"/>
    <s v="Digital Wallet"/>
    <n v="0.16847388954944062"/>
  </r>
  <r>
    <s v="ORD-2025-0292"/>
    <x v="39"/>
    <x v="2"/>
    <s v="Hyderabad"/>
    <x v="3"/>
    <x v="13"/>
    <x v="4"/>
    <n v="6"/>
    <n v="6983.22"/>
    <n v="0"/>
    <n v="41899.32"/>
    <n v="21635.3"/>
    <n v="20264.02"/>
    <s v="Cash"/>
    <n v="0.48363601127655531"/>
  </r>
  <r>
    <s v="ORD-2025-0293"/>
    <x v="197"/>
    <x v="1"/>
    <s v="Islamabad"/>
    <x v="1"/>
    <x v="2"/>
    <x v="3"/>
    <n v="4"/>
    <n v="142255.97"/>
    <n v="0.05"/>
    <n v="540572.68999999994"/>
    <n v="396074.6"/>
    <n v="144498.09"/>
    <s v="Bank Transfer"/>
    <n v="0.26730556810037892"/>
  </r>
  <r>
    <s v="ORD-2025-0294"/>
    <x v="44"/>
    <x v="2"/>
    <s v="Quetta"/>
    <x v="0"/>
    <x v="0"/>
    <x v="7"/>
    <n v="5"/>
    <n v="15242.61"/>
    <n v="0"/>
    <n v="76213.05"/>
    <n v="39859.21"/>
    <n v="36353.839999999997"/>
    <s v="Credit Card"/>
    <n v="0.47700282300734581"/>
  </r>
  <r>
    <s v="ORD-2025-0295"/>
    <x v="19"/>
    <x v="1"/>
    <s v="Rawalpindi"/>
    <x v="0"/>
    <x v="1"/>
    <x v="2"/>
    <n v="2"/>
    <n v="84816.01"/>
    <n v="0"/>
    <n v="169632.02"/>
    <n v="133164.41"/>
    <n v="36467.61"/>
    <s v="Cash"/>
    <n v="0.21498069763008187"/>
  </r>
  <r>
    <s v="ORD-2025-0296"/>
    <x v="180"/>
    <x v="0"/>
    <s v="Multan"/>
    <x v="1"/>
    <x v="2"/>
    <x v="5"/>
    <n v="1"/>
    <n v="145738.69"/>
    <n v="0"/>
    <n v="145738.69"/>
    <n v="104350.65"/>
    <n v="41388.04"/>
    <s v="Cash"/>
    <n v="0.28398800620480397"/>
  </r>
  <r>
    <s v="ORD-2025-0297"/>
    <x v="144"/>
    <x v="2"/>
    <s v="Karachi"/>
    <x v="0"/>
    <x v="15"/>
    <x v="7"/>
    <n v="1"/>
    <n v="49237.67"/>
    <n v="0.1"/>
    <n v="44313.9"/>
    <n v="36511.71"/>
    <n v="7802.19"/>
    <s v="Cash"/>
    <n v="0.17606642611009185"/>
  </r>
  <r>
    <s v="ORD-2025-0298"/>
    <x v="198"/>
    <x v="2"/>
    <s v="Quetta"/>
    <x v="3"/>
    <x v="6"/>
    <x v="5"/>
    <n v="6"/>
    <n v="4008.29"/>
    <n v="0"/>
    <n v="24049.74"/>
    <n v="12464.53"/>
    <n v="11585.21"/>
    <s v="Cash"/>
    <n v="0.48171872128347326"/>
  </r>
  <r>
    <s v="ORD-2025-0299"/>
    <x v="130"/>
    <x v="0"/>
    <s v="Multan"/>
    <x v="2"/>
    <x v="9"/>
    <x v="4"/>
    <n v="8"/>
    <n v="37464.910000000003"/>
    <n v="0.1"/>
    <n v="269747.34999999998"/>
    <n v="208734.69"/>
    <n v="61012.66"/>
    <s v="Digital Wallet"/>
    <n v="0.22618446483348217"/>
  </r>
  <r>
    <s v="ORD-2025-0300"/>
    <x v="199"/>
    <x v="1"/>
    <s v="Rawalpindi"/>
    <x v="2"/>
    <x v="5"/>
    <x v="7"/>
    <n v="1"/>
    <n v="30731.68"/>
    <n v="0.15"/>
    <n v="26121.93"/>
    <n v="18907.62"/>
    <n v="7214.31"/>
    <s v="Bank Transfer"/>
    <n v="0.27617829157340212"/>
  </r>
  <r>
    <s v="ORD-2025-0301"/>
    <x v="47"/>
    <x v="0"/>
    <s v="Multan"/>
    <x v="1"/>
    <x v="4"/>
    <x v="4"/>
    <n v="5"/>
    <n v="23244.880000000001"/>
    <n v="0.05"/>
    <n v="110413.18"/>
    <n v="79932.05"/>
    <n v="30481.13"/>
    <s v="Cash"/>
    <n v="0.27606423436042693"/>
  </r>
  <r>
    <s v="ORD-2025-0302"/>
    <x v="158"/>
    <x v="2"/>
    <s v="Quetta"/>
    <x v="1"/>
    <x v="12"/>
    <x v="6"/>
    <n v="3"/>
    <n v="30888.71"/>
    <n v="0.15"/>
    <n v="78766.210000000006"/>
    <n v="66614.45"/>
    <n v="12151.76"/>
    <s v="Credit Card"/>
    <n v="0.15427630706111159"/>
  </r>
  <r>
    <s v="ORD-2025-0303"/>
    <x v="200"/>
    <x v="0"/>
    <s v="Faisalabad"/>
    <x v="1"/>
    <x v="12"/>
    <x v="2"/>
    <n v="3"/>
    <n v="31608.99"/>
    <n v="0.05"/>
    <n v="90085.62"/>
    <n v="69284.34"/>
    <n v="20801.28"/>
    <s v="Cash"/>
    <n v="0.2309056650772898"/>
  </r>
  <r>
    <s v="ORD-2025-0304"/>
    <x v="35"/>
    <x v="0"/>
    <s v="Multan"/>
    <x v="1"/>
    <x v="12"/>
    <x v="7"/>
    <n v="4"/>
    <n v="34777.760000000002"/>
    <n v="0.05"/>
    <n v="132155.49"/>
    <n v="90715.38"/>
    <n v="41440.11"/>
    <s v="Cash"/>
    <n v="0.31357085505868887"/>
  </r>
  <r>
    <s v="ORD-2025-0305"/>
    <x v="201"/>
    <x v="1"/>
    <s v="Islamabad"/>
    <x v="2"/>
    <x v="5"/>
    <x v="3"/>
    <n v="1"/>
    <n v="28620.61"/>
    <n v="0"/>
    <n v="28620.61"/>
    <n v="18871.21"/>
    <n v="9749.4"/>
    <s v="Credit Card"/>
    <n v="0.34064263480058599"/>
  </r>
  <r>
    <s v="ORD-2025-0306"/>
    <x v="202"/>
    <x v="2"/>
    <s v="Quetta"/>
    <x v="2"/>
    <x v="9"/>
    <x v="0"/>
    <n v="1"/>
    <n v="35093.230000000003"/>
    <n v="0.1"/>
    <n v="31583.91"/>
    <n v="26502.55"/>
    <n v="5081.3599999999997"/>
    <s v="Bank Transfer"/>
    <n v="0.16088445034196208"/>
  </r>
  <r>
    <s v="ORD-2025-0307"/>
    <x v="65"/>
    <x v="1"/>
    <s v="Rawalpindi"/>
    <x v="3"/>
    <x v="13"/>
    <x v="7"/>
    <n v="6"/>
    <n v="6293.84"/>
    <n v="0"/>
    <n v="37763.040000000001"/>
    <n v="22427.5"/>
    <n v="15335.54"/>
    <s v="Bank Transfer"/>
    <n v="0.40609919116681287"/>
  </r>
  <r>
    <s v="ORD-2025-0308"/>
    <x v="203"/>
    <x v="1"/>
    <s v="Peshawar"/>
    <x v="1"/>
    <x v="12"/>
    <x v="5"/>
    <n v="3"/>
    <n v="32357.87"/>
    <n v="0.15"/>
    <n v="82512.570000000007"/>
    <n v="68728.160000000003"/>
    <n v="13784.41"/>
    <s v="Cash"/>
    <n v="0.1670583039650807"/>
  </r>
  <r>
    <s v="ORD-2025-0309"/>
    <x v="204"/>
    <x v="0"/>
    <s v="Multan"/>
    <x v="3"/>
    <x v="13"/>
    <x v="0"/>
    <n v="3"/>
    <n v="6606.48"/>
    <n v="0.1"/>
    <n v="17837.5"/>
    <n v="10643"/>
    <n v="7194.5"/>
    <s v="Digital Wallet"/>
    <n v="0.40333566923615977"/>
  </r>
  <r>
    <s v="ORD-2025-0310"/>
    <x v="146"/>
    <x v="1"/>
    <s v="Rawalpindi"/>
    <x v="0"/>
    <x v="1"/>
    <x v="2"/>
    <n v="6"/>
    <n v="99100.63"/>
    <n v="0"/>
    <n v="594603.78"/>
    <n v="413929.49"/>
    <n v="180674.29"/>
    <s v="Digital Wallet"/>
    <n v="0.30385661187690399"/>
  </r>
  <r>
    <s v="ORD-2025-0311"/>
    <x v="154"/>
    <x v="1"/>
    <s v="Rawalpindi"/>
    <x v="2"/>
    <x v="5"/>
    <x v="1"/>
    <n v="2"/>
    <n v="27818.19"/>
    <n v="0"/>
    <n v="55636.38"/>
    <n v="38776.300000000003"/>
    <n v="16860.080000000002"/>
    <s v="Digital Wallet"/>
    <n v="0.30304056446519351"/>
  </r>
  <r>
    <s v="ORD-2025-0312"/>
    <x v="205"/>
    <x v="0"/>
    <s v="Faisalabad"/>
    <x v="2"/>
    <x v="7"/>
    <x v="7"/>
    <n v="8"/>
    <n v="9019.2099999999991"/>
    <n v="0.05"/>
    <n v="68546"/>
    <n v="39522.29"/>
    <n v="29023.71"/>
    <s v="Credit Card"/>
    <n v="0.42341945554809907"/>
  </r>
  <r>
    <s v="ORD-2025-0313"/>
    <x v="156"/>
    <x v="1"/>
    <s v="Rawalpindi"/>
    <x v="0"/>
    <x v="10"/>
    <x v="2"/>
    <n v="5"/>
    <n v="170794.31"/>
    <n v="0.05"/>
    <n v="811272.97"/>
    <n v="735997.61"/>
    <n v="75275.360000000001"/>
    <s v="Credit Card"/>
    <n v="9.2786722575016897E-2"/>
  </r>
  <r>
    <s v="ORD-2025-0314"/>
    <x v="74"/>
    <x v="2"/>
    <s v="Karachi"/>
    <x v="0"/>
    <x v="10"/>
    <x v="6"/>
    <n v="6"/>
    <n v="187783.3"/>
    <n v="0.1"/>
    <n v="1014029.82"/>
    <n v="879712.01"/>
    <n v="134317.81"/>
    <s v="Digital Wallet"/>
    <n v="0.13245942806691818"/>
  </r>
  <r>
    <s v="ORD-2025-0315"/>
    <x v="61"/>
    <x v="0"/>
    <s v="Lahore"/>
    <x v="3"/>
    <x v="6"/>
    <x v="4"/>
    <n v="1"/>
    <n v="3932.05"/>
    <n v="0"/>
    <n v="3932.05"/>
    <n v="2180.2399999999998"/>
    <n v="1751.81"/>
    <s v="Bank Transfer"/>
    <n v="0.44552078432369879"/>
  </r>
  <r>
    <s v="ORD-2025-0316"/>
    <x v="184"/>
    <x v="2"/>
    <s v="Karachi"/>
    <x v="0"/>
    <x v="10"/>
    <x v="6"/>
    <n v="7"/>
    <n v="187124.39"/>
    <n v="0.05"/>
    <n v="1244377.19"/>
    <n v="974866.79"/>
    <n v="269510.40000000002"/>
    <s v="Digital Wallet"/>
    <n v="0.21658256207669641"/>
  </r>
  <r>
    <s v="ORD-2025-0317"/>
    <x v="95"/>
    <x v="1"/>
    <s v="Rawalpindi"/>
    <x v="3"/>
    <x v="6"/>
    <x v="7"/>
    <n v="2"/>
    <n v="3881.29"/>
    <n v="0"/>
    <n v="7762.58"/>
    <n v="4261.63"/>
    <n v="3500.95"/>
    <s v="Cash"/>
    <n v="0.45100340350759666"/>
  </r>
  <r>
    <s v="ORD-2025-0318"/>
    <x v="85"/>
    <x v="2"/>
    <s v="Hyderabad"/>
    <x v="3"/>
    <x v="14"/>
    <x v="1"/>
    <n v="5"/>
    <n v="4859.83"/>
    <n v="0.1"/>
    <n v="21869.24"/>
    <n v="13461.21"/>
    <n v="8408.0300000000007"/>
    <s v="Bank Transfer"/>
    <n v="0.38446832171579809"/>
  </r>
  <r>
    <s v="ORD-2025-0319"/>
    <x v="170"/>
    <x v="1"/>
    <s v="Rawalpindi"/>
    <x v="0"/>
    <x v="0"/>
    <x v="6"/>
    <n v="8"/>
    <n v="14418.93"/>
    <n v="0"/>
    <n v="115351.44"/>
    <n v="67475.87"/>
    <n v="47875.57"/>
    <s v="Credit Card"/>
    <n v="0.41504093923751623"/>
  </r>
  <r>
    <s v="ORD-2025-0320"/>
    <x v="55"/>
    <x v="0"/>
    <s v="Multan"/>
    <x v="0"/>
    <x v="10"/>
    <x v="3"/>
    <n v="6"/>
    <n v="194122.13"/>
    <n v="0.05"/>
    <n v="1106496.1399999999"/>
    <n v="884332.88"/>
    <n v="222163.26"/>
    <s v="Cash"/>
    <n v="0.20078087213209803"/>
  </r>
  <r>
    <s v="ORD-2025-0321"/>
    <x v="126"/>
    <x v="2"/>
    <s v="Quetta"/>
    <x v="3"/>
    <x v="14"/>
    <x v="5"/>
    <n v="4"/>
    <n v="5180.25"/>
    <n v="0"/>
    <n v="20721"/>
    <n v="10774.47"/>
    <n v="9946.5300000000007"/>
    <s v="Cash"/>
    <n v="0.48002171709859565"/>
  </r>
  <r>
    <s v="ORD-2025-0322"/>
    <x v="206"/>
    <x v="2"/>
    <s v="Karachi"/>
    <x v="2"/>
    <x v="5"/>
    <x v="1"/>
    <n v="4"/>
    <n v="26795.41"/>
    <n v="0.05"/>
    <n v="101822.56"/>
    <n v="74136.92"/>
    <n v="27685.64"/>
    <s v="Credit Card"/>
    <n v="0.27190084397799469"/>
  </r>
  <r>
    <s v="ORD-2025-0323"/>
    <x v="177"/>
    <x v="0"/>
    <s v="Lahore"/>
    <x v="1"/>
    <x v="3"/>
    <x v="4"/>
    <n v="2"/>
    <n v="25215.96"/>
    <n v="0.1"/>
    <n v="45388.73"/>
    <n v="35921.33"/>
    <n v="9467.4"/>
    <s v="Digital Wallet"/>
    <n v="0.20858481830181191"/>
  </r>
  <r>
    <s v="ORD-2025-0324"/>
    <x v="205"/>
    <x v="1"/>
    <s v="Peshawar"/>
    <x v="3"/>
    <x v="13"/>
    <x v="0"/>
    <n v="7"/>
    <n v="6135.63"/>
    <n v="0.1"/>
    <n v="38654.47"/>
    <n v="25481.119999999999"/>
    <n v="13173.35"/>
    <s v="Cash"/>
    <n v="0.34079758434147461"/>
  </r>
  <r>
    <s v="ORD-2025-0326"/>
    <x v="145"/>
    <x v="2"/>
    <s v="Hyderabad"/>
    <x v="2"/>
    <x v="7"/>
    <x v="7"/>
    <n v="1"/>
    <n v="8358.2800000000007"/>
    <n v="0.05"/>
    <n v="7940.37"/>
    <n v="4989.8500000000004"/>
    <n v="2950.52"/>
    <s v="Bank Transfer"/>
    <n v="0.37158469945355194"/>
  </r>
  <r>
    <s v="ORD-2025-0327"/>
    <x v="135"/>
    <x v="2"/>
    <s v="Karachi"/>
    <x v="1"/>
    <x v="3"/>
    <x v="0"/>
    <n v="5"/>
    <n v="26051.1"/>
    <n v="0.05"/>
    <n v="123742.72"/>
    <n v="92706.880000000005"/>
    <n v="31035.84"/>
    <s v="Credit Card"/>
    <n v="0.25080942135424211"/>
  </r>
  <r>
    <s v="ORD-2025-0328"/>
    <x v="207"/>
    <x v="1"/>
    <s v="Rawalpindi"/>
    <x v="3"/>
    <x v="8"/>
    <x v="7"/>
    <n v="5"/>
    <n v="11920.99"/>
    <n v="0.1"/>
    <n v="53644.46"/>
    <n v="32993.64"/>
    <n v="20650.82"/>
    <s v="Credit Card"/>
    <n v="0.38495717917563155"/>
  </r>
  <r>
    <s v="ORD-2025-0329"/>
    <x v="68"/>
    <x v="2"/>
    <s v="Quetta"/>
    <x v="3"/>
    <x v="8"/>
    <x v="1"/>
    <n v="1"/>
    <n v="11528.1"/>
    <n v="0"/>
    <n v="11528.1"/>
    <n v="6334.86"/>
    <n v="5193.24"/>
    <s v="Credit Card"/>
    <n v="0.45048533583157674"/>
  </r>
  <r>
    <s v="ORD-2025-0330"/>
    <x v="208"/>
    <x v="0"/>
    <s v="Multan"/>
    <x v="0"/>
    <x v="1"/>
    <x v="6"/>
    <n v="4"/>
    <n v="97522.66"/>
    <n v="0"/>
    <n v="390090.64"/>
    <n v="279776.03999999998"/>
    <n v="110314.6"/>
    <s v="Digital Wallet"/>
    <n v="0.28279222490444783"/>
  </r>
  <r>
    <s v="ORD-2025-0331"/>
    <x v="209"/>
    <x v="1"/>
    <s v="Rawalpindi"/>
    <x v="2"/>
    <x v="9"/>
    <x v="6"/>
    <n v="6"/>
    <n v="39966.92"/>
    <n v="0.1"/>
    <n v="215821.37"/>
    <n v="155654.60999999999"/>
    <n v="60166.76"/>
    <s v="Credit Card"/>
    <n v="0.2787803635942076"/>
  </r>
  <r>
    <s v="ORD-2025-0332"/>
    <x v="210"/>
    <x v="2"/>
    <s v="Hyderabad"/>
    <x v="3"/>
    <x v="6"/>
    <x v="0"/>
    <n v="8"/>
    <n v="4258.38"/>
    <n v="0.05"/>
    <n v="32363.69"/>
    <n v="16700.84"/>
    <n v="15662.85"/>
    <s v="Bank Transfer"/>
    <n v="0.48396366421752279"/>
  </r>
  <r>
    <s v="ORD-2025-0333"/>
    <x v="211"/>
    <x v="1"/>
    <s v="Rawalpindi"/>
    <x v="0"/>
    <x v="1"/>
    <x v="4"/>
    <n v="4"/>
    <n v="97256.68"/>
    <n v="0.15"/>
    <n v="330672.71000000002"/>
    <n v="268126.13"/>
    <n v="62546.58"/>
    <s v="Digital Wallet"/>
    <n v="0.18914950677363124"/>
  </r>
  <r>
    <s v="ORD-2025-0334"/>
    <x v="212"/>
    <x v="0"/>
    <s v="Lahore"/>
    <x v="0"/>
    <x v="15"/>
    <x v="4"/>
    <n v="3"/>
    <n v="53226.13"/>
    <n v="0.1"/>
    <n v="143710.54999999999"/>
    <n v="112353.63"/>
    <n v="31356.92"/>
    <s v="Bank Transfer"/>
    <n v="0.21819497594296314"/>
  </r>
  <r>
    <s v="ORD-2025-0335"/>
    <x v="42"/>
    <x v="0"/>
    <s v="Multan"/>
    <x v="1"/>
    <x v="4"/>
    <x v="4"/>
    <n v="7"/>
    <n v="25878.22"/>
    <n v="0.05"/>
    <n v="172090.16"/>
    <n v="109232.97"/>
    <n v="62857.19"/>
    <s v="Digital Wallet"/>
    <n v="0.36525731628118657"/>
  </r>
  <r>
    <s v="ORD-2025-0336"/>
    <x v="183"/>
    <x v="0"/>
    <s v="Lahore"/>
    <x v="0"/>
    <x v="0"/>
    <x v="4"/>
    <n v="5"/>
    <n v="14032.46"/>
    <n v="0"/>
    <n v="70162.3"/>
    <n v="41152.589999999997"/>
    <n v="29009.71"/>
    <s v="Bank Transfer"/>
    <n v="0.41346577863040407"/>
  </r>
  <r>
    <s v="ORD-2025-0337"/>
    <x v="50"/>
    <x v="2"/>
    <s v="Hyderabad"/>
    <x v="1"/>
    <x v="12"/>
    <x v="1"/>
    <n v="3"/>
    <n v="33091.31"/>
    <n v="0"/>
    <n v="99273.93"/>
    <n v="69726.02"/>
    <n v="29547.91"/>
    <s v="Bank Transfer"/>
    <n v="0.29764017602607251"/>
  </r>
  <r>
    <s v="ORD-2025-0338"/>
    <x v="73"/>
    <x v="0"/>
    <s v="Lahore"/>
    <x v="0"/>
    <x v="15"/>
    <x v="3"/>
    <n v="5"/>
    <n v="49998.43"/>
    <n v="0.05"/>
    <n v="237492.54"/>
    <n v="182193.75"/>
    <n v="55298.79"/>
    <s v="Bank Transfer"/>
    <n v="0.23284432428909135"/>
  </r>
  <r>
    <s v="ORD-2025-0339"/>
    <x v="213"/>
    <x v="0"/>
    <s v="Multan"/>
    <x v="2"/>
    <x v="7"/>
    <x v="5"/>
    <n v="6"/>
    <n v="8509.9500000000007"/>
    <n v="0"/>
    <n v="51059.7"/>
    <n v="30248.03"/>
    <n v="20811.669999999998"/>
    <s v="Bank Transfer"/>
    <n v="0.40759483506561928"/>
  </r>
  <r>
    <s v="ORD-2025-0340"/>
    <x v="214"/>
    <x v="1"/>
    <s v="Rawalpindi"/>
    <x v="2"/>
    <x v="9"/>
    <x v="2"/>
    <n v="3"/>
    <n v="40717.29"/>
    <n v="0.05"/>
    <n v="116044.28"/>
    <n v="79233.210000000006"/>
    <n v="36811.07"/>
    <s v="Credit Card"/>
    <n v="0.31721572144702004"/>
  </r>
  <r>
    <s v="ORD-2025-0341"/>
    <x v="157"/>
    <x v="0"/>
    <s v="Faisalabad"/>
    <x v="3"/>
    <x v="8"/>
    <x v="7"/>
    <n v="6"/>
    <n v="11059.43"/>
    <n v="0.05"/>
    <n v="63038.75"/>
    <n v="39096.07"/>
    <n v="23942.68"/>
    <s v="Cash"/>
    <n v="0.37980892704883901"/>
  </r>
  <r>
    <s v="ORD-2025-0342"/>
    <x v="215"/>
    <x v="0"/>
    <s v="Multan"/>
    <x v="0"/>
    <x v="15"/>
    <x v="1"/>
    <n v="4"/>
    <n v="52003.97"/>
    <n v="0.15"/>
    <n v="176813.5"/>
    <n v="145520.66"/>
    <n v="31292.84"/>
    <s v="Cash"/>
    <n v="0.17698218744609434"/>
  </r>
  <r>
    <s v="ORD-2025-0343"/>
    <x v="123"/>
    <x v="1"/>
    <s v="Islamabad"/>
    <x v="2"/>
    <x v="9"/>
    <x v="0"/>
    <n v="7"/>
    <n v="40962.120000000003"/>
    <n v="0.05"/>
    <n v="272398.09999999998"/>
    <n v="178364.68"/>
    <n v="94033.42"/>
    <s v="Digital Wallet"/>
    <n v="0.34520585863117254"/>
  </r>
  <r>
    <s v="ORD-2025-0344"/>
    <x v="134"/>
    <x v="2"/>
    <s v="Quetta"/>
    <x v="2"/>
    <x v="9"/>
    <x v="5"/>
    <n v="1"/>
    <n v="34988.660000000003"/>
    <n v="0.05"/>
    <n v="33239.230000000003"/>
    <n v="25601.08"/>
    <n v="7638.15"/>
    <s v="Digital Wallet"/>
    <n v="0.22979322926553952"/>
  </r>
  <r>
    <s v="ORD-2025-0345"/>
    <x v="216"/>
    <x v="1"/>
    <s v="Islamabad"/>
    <x v="3"/>
    <x v="14"/>
    <x v="3"/>
    <n v="7"/>
    <n v="5140.95"/>
    <n v="0.05"/>
    <n v="34187.32"/>
    <n v="18840.13"/>
    <n v="15347.19"/>
    <s v="Bank Transfer"/>
    <n v="0.44891468532777651"/>
  </r>
  <r>
    <s v="ORD-2025-0346"/>
    <x v="119"/>
    <x v="1"/>
    <s v="Rawalpindi"/>
    <x v="2"/>
    <x v="11"/>
    <x v="4"/>
    <n v="1"/>
    <n v="43871.61"/>
    <n v="0"/>
    <n v="43871.61"/>
    <n v="30561"/>
    <n v="13310.61"/>
    <s v="Credit Card"/>
    <n v="0.3033991686195241"/>
  </r>
  <r>
    <s v="ORD-2025-0347"/>
    <x v="217"/>
    <x v="1"/>
    <s v="Rawalpindi"/>
    <x v="1"/>
    <x v="12"/>
    <x v="2"/>
    <n v="2"/>
    <n v="34709.9"/>
    <n v="0.05"/>
    <n v="65948.81"/>
    <n v="46637.66"/>
    <n v="19311.150000000001"/>
    <s v="Digital Wallet"/>
    <n v="0.29282029501366291"/>
  </r>
  <r>
    <s v="ORD-2025-0348"/>
    <x v="67"/>
    <x v="0"/>
    <s v="Lahore"/>
    <x v="1"/>
    <x v="4"/>
    <x v="6"/>
    <n v="6"/>
    <n v="25480.45"/>
    <n v="0"/>
    <n v="152882.70000000001"/>
    <n v="98247.49"/>
    <n v="54635.21"/>
    <s v="Credit Card"/>
    <n v="0.35736685707408355"/>
  </r>
  <r>
    <s v="ORD-2025-0350"/>
    <x v="218"/>
    <x v="0"/>
    <s v="Faisalabad"/>
    <x v="0"/>
    <x v="10"/>
    <x v="1"/>
    <n v="2"/>
    <n v="189545.60000000001"/>
    <n v="0"/>
    <n v="379091.20000000001"/>
    <n v="276438.90999999997"/>
    <n v="102652.29"/>
    <s v="Digital Wallet"/>
    <n v="0.27078520946938361"/>
  </r>
  <r>
    <s v="ORD-2025-0351"/>
    <x v="219"/>
    <x v="2"/>
    <s v="Karachi"/>
    <x v="1"/>
    <x v="4"/>
    <x v="1"/>
    <n v="3"/>
    <n v="23345.54"/>
    <n v="0.15"/>
    <n v="59531.13"/>
    <n v="48069.37"/>
    <n v="11461.76"/>
    <s v="Cash"/>
    <n v="0.19253388941214455"/>
  </r>
  <r>
    <s v="ORD-2025-0352"/>
    <x v="59"/>
    <x v="0"/>
    <s v="Multan"/>
    <x v="1"/>
    <x v="12"/>
    <x v="0"/>
    <n v="7"/>
    <n v="34745.85"/>
    <n v="0"/>
    <n v="243220.95"/>
    <n v="158415.22"/>
    <n v="84805.73"/>
    <s v="Bank Transfer"/>
    <n v="0.34867773520332024"/>
  </r>
  <r>
    <s v="ORD-2025-0353"/>
    <x v="179"/>
    <x v="1"/>
    <s v="Islamabad"/>
    <x v="3"/>
    <x v="6"/>
    <x v="1"/>
    <n v="4"/>
    <n v="4386.79"/>
    <n v="0.1"/>
    <n v="15792.44"/>
    <n v="8720.19"/>
    <n v="7072.25"/>
    <s v="Bank Transfer"/>
    <n v="0.44782503527004058"/>
  </r>
  <r>
    <s v="ORD-2025-0354"/>
    <x v="146"/>
    <x v="1"/>
    <s v="Islamabad"/>
    <x v="3"/>
    <x v="6"/>
    <x v="0"/>
    <n v="8"/>
    <n v="4086.17"/>
    <n v="0"/>
    <n v="32689.360000000001"/>
    <n v="16310.99"/>
    <n v="16378.37"/>
    <s v="Digital Wallet"/>
    <n v="0.50103061057175791"/>
  </r>
  <r>
    <s v="ORD-2025-0355"/>
    <x v="110"/>
    <x v="1"/>
    <s v="Islamabad"/>
    <x v="0"/>
    <x v="10"/>
    <x v="4"/>
    <n v="5"/>
    <n v="189272.37"/>
    <n v="0.05"/>
    <n v="899043.76"/>
    <n v="737836.7"/>
    <n v="161207.06"/>
    <s v="Digital Wallet"/>
    <n v="0.17930946987497026"/>
  </r>
  <r>
    <s v="ORD-2025-0356"/>
    <x v="218"/>
    <x v="1"/>
    <s v="Islamabad"/>
    <x v="2"/>
    <x v="11"/>
    <x v="0"/>
    <n v="5"/>
    <n v="42038.28"/>
    <n v="0.15"/>
    <n v="178662.69"/>
    <n v="153742.87"/>
    <n v="24919.82"/>
    <s v="Cash"/>
    <n v="0.13947970894202924"/>
  </r>
  <r>
    <s v="ORD-2025-0357"/>
    <x v="166"/>
    <x v="1"/>
    <s v="Islamabad"/>
    <x v="2"/>
    <x v="9"/>
    <x v="2"/>
    <n v="6"/>
    <n v="40398.730000000003"/>
    <n v="0.1"/>
    <n v="218153.14"/>
    <n v="154249.94"/>
    <n v="63903.199999999997"/>
    <s v="Bank Transfer"/>
    <n v="0.29292816963349688"/>
  </r>
  <r>
    <s v="ORD-2025-0358"/>
    <x v="21"/>
    <x v="1"/>
    <s v="Islamabad"/>
    <x v="3"/>
    <x v="14"/>
    <x v="1"/>
    <n v="8"/>
    <n v="5010.17"/>
    <n v="0.05"/>
    <n v="38077.29"/>
    <n v="21995.13"/>
    <n v="16082.16"/>
    <s v="Credit Card"/>
    <n v="0.42235568760276793"/>
  </r>
  <r>
    <s v="ORD-2025-0359"/>
    <x v="22"/>
    <x v="1"/>
    <s v="Islamabad"/>
    <x v="0"/>
    <x v="1"/>
    <x v="7"/>
    <n v="2"/>
    <n v="90763.93"/>
    <n v="0.1"/>
    <n v="163375.07"/>
    <n v="136515.06"/>
    <n v="26860.01"/>
    <s v="Credit Card"/>
    <n v="0.16440702978734759"/>
  </r>
  <r>
    <s v="ORD-2025-0360"/>
    <x v="16"/>
    <x v="0"/>
    <s v="Faisalabad"/>
    <x v="1"/>
    <x v="2"/>
    <x v="7"/>
    <n v="3"/>
    <n v="134634.51999999999"/>
    <n v="0.05"/>
    <n v="383708.38"/>
    <n v="296305.40000000002"/>
    <n v="87402.98"/>
    <s v="Bank Transfer"/>
    <n v="0.22778491311552798"/>
  </r>
  <r>
    <s v="ORD-2025-0361"/>
    <x v="220"/>
    <x v="1"/>
    <s v="Rawalpindi"/>
    <x v="1"/>
    <x v="2"/>
    <x v="0"/>
    <n v="4"/>
    <n v="145322.54"/>
    <n v="0.15"/>
    <n v="494096.64000000001"/>
    <n v="416572.5"/>
    <n v="77524.14"/>
    <s v="Digital Wallet"/>
    <n v="0.15690076338102601"/>
  </r>
  <r>
    <s v="ORD-2025-0362"/>
    <x v="213"/>
    <x v="0"/>
    <s v="Multan"/>
    <x v="2"/>
    <x v="7"/>
    <x v="6"/>
    <n v="6"/>
    <n v="8722.65"/>
    <n v="0.15"/>
    <n v="44485.51"/>
    <n v="29310.080000000002"/>
    <n v="15175.43"/>
    <s v="Cash"/>
    <n v="0.3411319775810146"/>
  </r>
  <r>
    <s v="ORD-2025-0363"/>
    <x v="221"/>
    <x v="0"/>
    <s v="Lahore"/>
    <x v="3"/>
    <x v="14"/>
    <x v="4"/>
    <n v="3"/>
    <n v="4846.29"/>
    <n v="0.05"/>
    <n v="13811.93"/>
    <n v="8038.8"/>
    <n v="5773.13"/>
    <s v="Cash"/>
    <n v="0.41798141172160591"/>
  </r>
  <r>
    <s v="ORD-2025-0364"/>
    <x v="222"/>
    <x v="0"/>
    <s v="Lahore"/>
    <x v="3"/>
    <x v="14"/>
    <x v="0"/>
    <n v="4"/>
    <n v="4849.59"/>
    <n v="0.05"/>
    <n v="18428.439999999999"/>
    <n v="11081.75"/>
    <n v="7346.69"/>
    <s v="Digital Wallet"/>
    <n v="0.39866044005895235"/>
  </r>
  <r>
    <s v="ORD-2025-0365"/>
    <x v="18"/>
    <x v="2"/>
    <s v="Hyderabad"/>
    <x v="0"/>
    <x v="15"/>
    <x v="6"/>
    <n v="1"/>
    <n v="48693.99"/>
    <n v="0.05"/>
    <n v="46259.29"/>
    <n v="35496.550000000003"/>
    <n v="10762.74"/>
    <s v="Cash"/>
    <n v="0.23266115843974258"/>
  </r>
  <r>
    <s v="ORD-2025-0366"/>
    <x v="212"/>
    <x v="0"/>
    <s v="Multan"/>
    <x v="1"/>
    <x v="12"/>
    <x v="7"/>
    <n v="8"/>
    <n v="35377.879999999997"/>
    <n v="0.05"/>
    <n v="268871.89"/>
    <n v="184998.92"/>
    <n v="83872.97"/>
    <s v="Bank Transfer"/>
    <n v="0.31194398938468426"/>
  </r>
  <r>
    <s v="ORD-2025-0367"/>
    <x v="223"/>
    <x v="0"/>
    <s v="Multan"/>
    <x v="3"/>
    <x v="8"/>
    <x v="2"/>
    <n v="8"/>
    <n v="10789.8"/>
    <n v="0.15"/>
    <n v="73370.64"/>
    <n v="51247.16"/>
    <n v="22123.48"/>
    <s v="Bank Transfer"/>
    <n v="0.30153042143287834"/>
  </r>
  <r>
    <s v="ORD-2025-0368"/>
    <x v="61"/>
    <x v="0"/>
    <s v="Multan"/>
    <x v="1"/>
    <x v="2"/>
    <x v="0"/>
    <n v="1"/>
    <n v="143572.54999999999"/>
    <n v="0.05"/>
    <n v="136393.92000000001"/>
    <n v="98962.98"/>
    <n v="37430.94"/>
    <s v="Bank Transfer"/>
    <n v="0.27443261400508173"/>
  </r>
  <r>
    <s v="ORD-2025-0369"/>
    <x v="89"/>
    <x v="0"/>
    <s v="Lahore"/>
    <x v="2"/>
    <x v="11"/>
    <x v="1"/>
    <n v="7"/>
    <n v="41043.26"/>
    <n v="0"/>
    <n v="287302.82"/>
    <n v="221378.01"/>
    <n v="65924.81"/>
    <s v="Cash"/>
    <n v="0.229461061328949"/>
  </r>
  <r>
    <s v="ORD-2025-0370"/>
    <x v="161"/>
    <x v="0"/>
    <s v="Multan"/>
    <x v="0"/>
    <x v="15"/>
    <x v="6"/>
    <n v="8"/>
    <n v="53318.36"/>
    <n v="0.1"/>
    <n v="383892.19"/>
    <n v="285991.96000000002"/>
    <n v="97900.23"/>
    <s v="Cash"/>
    <n v="0.25502011385019319"/>
  </r>
  <r>
    <s v="ORD-2025-0371"/>
    <x v="224"/>
    <x v="0"/>
    <s v="Faisalabad"/>
    <x v="3"/>
    <x v="6"/>
    <x v="2"/>
    <n v="3"/>
    <n v="4354.8900000000003"/>
    <n v="0"/>
    <n v="13064.67"/>
    <n v="6156.67"/>
    <n v="6908"/>
    <s v="Digital Wallet"/>
    <n v="0.52875426627691324"/>
  </r>
  <r>
    <s v="ORD-2025-0372"/>
    <x v="148"/>
    <x v="2"/>
    <s v="Quetta"/>
    <x v="2"/>
    <x v="9"/>
    <x v="5"/>
    <n v="7"/>
    <n v="40818.65"/>
    <n v="0.05"/>
    <n v="271444.02"/>
    <n v="182309.25"/>
    <n v="89134.77"/>
    <s v="Digital Wallet"/>
    <n v="0.32837256831076994"/>
  </r>
  <r>
    <s v="ORD-2025-0373"/>
    <x v="225"/>
    <x v="0"/>
    <s v="Multan"/>
    <x v="1"/>
    <x v="3"/>
    <x v="2"/>
    <n v="4"/>
    <n v="25707.84"/>
    <n v="0.1"/>
    <n v="92548.22"/>
    <n v="73440.5"/>
    <n v="19107.72"/>
    <s v="Credit Card"/>
    <n v="0.2064623176977364"/>
  </r>
  <r>
    <s v="ORD-2025-0374"/>
    <x v="118"/>
    <x v="0"/>
    <s v="Multan"/>
    <x v="2"/>
    <x v="9"/>
    <x v="1"/>
    <n v="2"/>
    <n v="39585.51"/>
    <n v="0.1"/>
    <n v="71253.919999999998"/>
    <n v="52188.55"/>
    <n v="19065.37"/>
    <s v="Bank Transfer"/>
    <n v="0.26756941933861322"/>
  </r>
  <r>
    <s v="ORD-2025-0375"/>
    <x v="5"/>
    <x v="2"/>
    <s v="Karachi"/>
    <x v="0"/>
    <x v="10"/>
    <x v="5"/>
    <n v="7"/>
    <n v="174501.67"/>
    <n v="0.15"/>
    <n v="1038284.94"/>
    <n v="968118.56"/>
    <n v="70166.38"/>
    <s v="Bank Transfer"/>
    <n v="6.7579117539738179E-2"/>
  </r>
  <r>
    <s v="ORD-2025-0376"/>
    <x v="226"/>
    <x v="0"/>
    <s v="Faisalabad"/>
    <x v="2"/>
    <x v="11"/>
    <x v="0"/>
    <n v="5"/>
    <n v="40963.53"/>
    <n v="0.1"/>
    <n v="184335.89"/>
    <n v="150700.51999999999"/>
    <n v="33635.370000000003"/>
    <s v="Credit Card"/>
    <n v="0.18246783087113422"/>
  </r>
  <r>
    <s v="ORD-2025-0377"/>
    <x v="227"/>
    <x v="0"/>
    <s v="Multan"/>
    <x v="3"/>
    <x v="6"/>
    <x v="1"/>
    <n v="5"/>
    <n v="4329.6499999999996"/>
    <n v="0"/>
    <n v="21648.25"/>
    <n v="10865.97"/>
    <n v="10782.28"/>
    <s v="Bank Transfer"/>
    <n v="0.498067049299597"/>
  </r>
  <r>
    <s v="ORD-2025-0378"/>
    <x v="165"/>
    <x v="0"/>
    <s v="Lahore"/>
    <x v="0"/>
    <x v="0"/>
    <x v="2"/>
    <n v="4"/>
    <n v="14779.7"/>
    <n v="0.05"/>
    <n v="56162.86"/>
    <n v="33721.64"/>
    <n v="22441.22"/>
    <s v="Credit Card"/>
    <n v="0.39957402454219748"/>
  </r>
  <r>
    <s v="ORD-2025-0380"/>
    <x v="42"/>
    <x v="1"/>
    <s v="Rawalpindi"/>
    <x v="1"/>
    <x v="3"/>
    <x v="5"/>
    <n v="3"/>
    <n v="25535.21"/>
    <n v="0.05"/>
    <n v="72775.350000000006"/>
    <n v="52401.34"/>
    <n v="20374.009999999998"/>
    <s v="Cash"/>
    <n v="0.2799575680501708"/>
  </r>
  <r>
    <s v="ORD-2025-0381"/>
    <x v="106"/>
    <x v="1"/>
    <s v="Rawalpindi"/>
    <x v="0"/>
    <x v="0"/>
    <x v="2"/>
    <n v="8"/>
    <n v="15172.59"/>
    <n v="0.1"/>
    <n v="109242.65"/>
    <n v="65276.33"/>
    <n v="43966.32"/>
    <s v="Credit Card"/>
    <n v="0.40246478824891196"/>
  </r>
  <r>
    <s v="ORD-2025-0382"/>
    <x v="214"/>
    <x v="1"/>
    <s v="Peshawar"/>
    <x v="0"/>
    <x v="1"/>
    <x v="3"/>
    <n v="7"/>
    <n v="92634.14"/>
    <n v="0.05"/>
    <n v="616017.03"/>
    <n v="464783.63"/>
    <n v="151233.4"/>
    <s v="Bank Transfer"/>
    <n v="0.24550197906054641"/>
  </r>
  <r>
    <s v="ORD-2025-0383"/>
    <x v="228"/>
    <x v="2"/>
    <s v="Hyderabad"/>
    <x v="1"/>
    <x v="12"/>
    <x v="2"/>
    <n v="8"/>
    <n v="35622.21"/>
    <n v="0.15"/>
    <n v="242231.03"/>
    <n v="174710.93"/>
    <n v="67520.100000000006"/>
    <s v="Digital Wallet"/>
    <n v="0.27874257067725799"/>
  </r>
  <r>
    <s v="ORD-2025-0384"/>
    <x v="84"/>
    <x v="1"/>
    <s v="Peshawar"/>
    <x v="2"/>
    <x v="11"/>
    <x v="4"/>
    <n v="6"/>
    <n v="42183.839999999997"/>
    <n v="0"/>
    <n v="253103.04"/>
    <n v="185444.1"/>
    <n v="67658.94"/>
    <s v="Cash"/>
    <n v="0.26731776907934413"/>
  </r>
  <r>
    <s v="ORD-2025-0385"/>
    <x v="138"/>
    <x v="0"/>
    <s v="Faisalabad"/>
    <x v="3"/>
    <x v="14"/>
    <x v="0"/>
    <n v="1"/>
    <n v="5030.63"/>
    <n v="0.15"/>
    <n v="4276.04"/>
    <n v="2655.38"/>
    <n v="1620.66"/>
    <s v="Cash"/>
    <n v="0.37900955089288224"/>
  </r>
  <r>
    <s v="ORD-2025-0386"/>
    <x v="101"/>
    <x v="1"/>
    <s v="Peshawar"/>
    <x v="0"/>
    <x v="10"/>
    <x v="0"/>
    <n v="4"/>
    <n v="190041.92"/>
    <n v="0"/>
    <n v="760167.68"/>
    <n v="585350.44999999995"/>
    <n v="174817.23"/>
    <s v="Credit Card"/>
    <n v="0.22997193198216478"/>
  </r>
  <r>
    <s v="ORD-2025-0387"/>
    <x v="130"/>
    <x v="0"/>
    <s v="Multan"/>
    <x v="3"/>
    <x v="13"/>
    <x v="0"/>
    <n v="3"/>
    <n v="6004.7"/>
    <n v="0.15"/>
    <n v="15311.98"/>
    <n v="10726.78"/>
    <n v="4585.2"/>
    <s v="Cash"/>
    <n v="0.29945180179179964"/>
  </r>
  <r>
    <s v="ORD-2025-0388"/>
    <x v="229"/>
    <x v="1"/>
    <s v="Rawalpindi"/>
    <x v="0"/>
    <x v="1"/>
    <x v="2"/>
    <n v="5"/>
    <n v="90640.35"/>
    <n v="0.05"/>
    <n v="430541.66"/>
    <n v="344799.17"/>
    <n v="85742.49"/>
    <s v="Cash"/>
    <n v="0.19915027502797292"/>
  </r>
  <r>
    <s v="ORD-2025-0389"/>
    <x v="156"/>
    <x v="2"/>
    <s v="Quetta"/>
    <x v="0"/>
    <x v="10"/>
    <x v="2"/>
    <n v="2"/>
    <n v="192576.43"/>
    <n v="0.1"/>
    <n v="346637.57"/>
    <n v="276384.88"/>
    <n v="70252.69"/>
    <s v="Cash"/>
    <n v="0.20266900093951154"/>
  </r>
  <r>
    <s v="ORD-2025-0390"/>
    <x v="230"/>
    <x v="2"/>
    <s v="Quetta"/>
    <x v="1"/>
    <x v="2"/>
    <x v="6"/>
    <n v="5"/>
    <n v="140729.92000000001"/>
    <n v="0.05"/>
    <n v="668467.12"/>
    <n v="503332.97"/>
    <n v="165134.15"/>
    <s v="Digital Wallet"/>
    <n v="0.24703406504122447"/>
  </r>
  <r>
    <s v="ORD-2025-0391"/>
    <x v="165"/>
    <x v="1"/>
    <s v="Peshawar"/>
    <x v="2"/>
    <x v="5"/>
    <x v="5"/>
    <n v="7"/>
    <n v="29853.27"/>
    <n v="0.1"/>
    <n v="188075.6"/>
    <n v="131756.25"/>
    <n v="56319.35"/>
    <s v="Bank Transfer"/>
    <n v="0.29945059327206719"/>
  </r>
  <r>
    <s v="ORD-2025-0392"/>
    <x v="196"/>
    <x v="0"/>
    <s v="Multan"/>
    <x v="1"/>
    <x v="2"/>
    <x v="0"/>
    <n v="3"/>
    <n v="126861.88"/>
    <n v="0"/>
    <n v="380585.64"/>
    <n v="306057.36"/>
    <n v="74528.28"/>
    <s v="Bank Transfer"/>
    <n v="0.19582525499385631"/>
  </r>
  <r>
    <s v="ORD-2025-0393"/>
    <x v="231"/>
    <x v="1"/>
    <s v="Peshawar"/>
    <x v="1"/>
    <x v="12"/>
    <x v="3"/>
    <n v="7"/>
    <n v="35141.72"/>
    <n v="0.1"/>
    <n v="221392.84"/>
    <n v="154345.57"/>
    <n v="67047.27"/>
    <s v="Bank Transfer"/>
    <n v="0.30284299167037204"/>
  </r>
  <r>
    <s v="ORD-2025-0394"/>
    <x v="232"/>
    <x v="1"/>
    <s v="Islamabad"/>
    <x v="2"/>
    <x v="11"/>
    <x v="4"/>
    <n v="8"/>
    <n v="43995.360000000001"/>
    <n v="0"/>
    <n v="351962.88"/>
    <n v="245605.73"/>
    <n v="106357.15"/>
    <s v="Cash"/>
    <n v="0.30218286087441948"/>
  </r>
  <r>
    <s v="ORD-2025-0395"/>
    <x v="114"/>
    <x v="1"/>
    <s v="Peshawar"/>
    <x v="3"/>
    <x v="8"/>
    <x v="0"/>
    <n v="6"/>
    <n v="10815.92"/>
    <n v="0.15"/>
    <n v="55161.19"/>
    <n v="38470.269999999997"/>
    <n v="16690.919999999998"/>
    <s v="Credit Card"/>
    <n v="0.30258448013902522"/>
  </r>
  <r>
    <s v="ORD-2025-0396"/>
    <x v="80"/>
    <x v="2"/>
    <s v="Hyderabad"/>
    <x v="3"/>
    <x v="8"/>
    <x v="2"/>
    <n v="5"/>
    <n v="11855.96"/>
    <n v="0"/>
    <n v="59279.8"/>
    <n v="32811.629999999997"/>
    <n v="26468.17"/>
    <s v="Digital Wallet"/>
    <n v="0.44649560221188328"/>
  </r>
  <r>
    <s v="ORD-2025-0397"/>
    <x v="184"/>
    <x v="1"/>
    <s v="Islamabad"/>
    <x v="1"/>
    <x v="12"/>
    <x v="5"/>
    <n v="4"/>
    <n v="34120.410000000003"/>
    <n v="0.15"/>
    <n v="116009.39"/>
    <n v="90047.58"/>
    <n v="25961.81"/>
    <s v="Bank Transfer"/>
    <n v="0.223790591434021"/>
  </r>
  <r>
    <s v="ORD-2025-0398"/>
    <x v="12"/>
    <x v="2"/>
    <s v="Hyderabad"/>
    <x v="3"/>
    <x v="8"/>
    <x v="0"/>
    <n v="5"/>
    <n v="11476.03"/>
    <n v="0"/>
    <n v="57380.15"/>
    <n v="31924.880000000001"/>
    <n v="25455.27"/>
    <s v="Bank Transfer"/>
    <n v="0.44362501666517079"/>
  </r>
  <r>
    <s v="ORD-2025-0399"/>
    <x v="104"/>
    <x v="1"/>
    <s v="Peshawar"/>
    <x v="2"/>
    <x v="9"/>
    <x v="6"/>
    <n v="2"/>
    <n v="39382.75"/>
    <n v="0"/>
    <n v="78765.5"/>
    <n v="53532.5"/>
    <n v="25233"/>
    <s v="Digital Wallet"/>
    <n v="0.32035599342351662"/>
  </r>
  <r>
    <s v="ORD-2025-0400"/>
    <x v="212"/>
    <x v="0"/>
    <s v="Lahore"/>
    <x v="0"/>
    <x v="0"/>
    <x v="4"/>
    <n v="8"/>
    <n v="14857.07"/>
    <n v="0"/>
    <n v="118856.56"/>
    <n v="65311.839999999997"/>
    <n v="53544.72"/>
    <s v="Credit Card"/>
    <n v="0.45049865148377172"/>
  </r>
  <r>
    <s v="ORD-2025-0401"/>
    <x v="201"/>
    <x v="2"/>
    <s v="Quetta"/>
    <x v="0"/>
    <x v="15"/>
    <x v="5"/>
    <n v="6"/>
    <n v="52018.03"/>
    <n v="0.15"/>
    <n v="265291.95"/>
    <n v="216092.04"/>
    <n v="49199.91"/>
    <s v="Credit Card"/>
    <n v="0.18545572151736983"/>
  </r>
  <r>
    <s v="ORD-2025-0402"/>
    <x v="233"/>
    <x v="2"/>
    <s v="Karachi"/>
    <x v="2"/>
    <x v="5"/>
    <x v="3"/>
    <n v="8"/>
    <n v="30502.639999999999"/>
    <n v="0"/>
    <n v="244021.12"/>
    <n v="149768.24"/>
    <n v="94252.88"/>
    <s v="Cash"/>
    <n v="0.38624886239355022"/>
  </r>
  <r>
    <s v="ORD-2025-0403"/>
    <x v="234"/>
    <x v="2"/>
    <s v="Hyderabad"/>
    <x v="2"/>
    <x v="11"/>
    <x v="6"/>
    <n v="4"/>
    <n v="43123.05"/>
    <n v="0.05"/>
    <n v="163867.59"/>
    <n v="123648.65"/>
    <n v="40218.94"/>
    <s v="Cash"/>
    <n v="0.24543559833887837"/>
  </r>
  <r>
    <s v="ORD-2025-0404"/>
    <x v="235"/>
    <x v="0"/>
    <s v="Faisalabad"/>
    <x v="0"/>
    <x v="0"/>
    <x v="1"/>
    <n v="5"/>
    <n v="14682.42"/>
    <n v="0.1"/>
    <n v="66070.89"/>
    <n v="40268.949999999997"/>
    <n v="25801.94"/>
    <s v="Bank Transfer"/>
    <n v="0.39051903190648707"/>
  </r>
  <r>
    <s v="ORD-2025-0405"/>
    <x v="79"/>
    <x v="0"/>
    <s v="Multan"/>
    <x v="0"/>
    <x v="0"/>
    <x v="2"/>
    <n v="7"/>
    <n v="15596.6"/>
    <n v="0"/>
    <n v="109176.2"/>
    <n v="57752.78"/>
    <n v="51423.42"/>
    <s v="Digital Wallet"/>
    <n v="0.47101309626090671"/>
  </r>
  <r>
    <s v="ORD-2025-0406"/>
    <x v="236"/>
    <x v="2"/>
    <s v="Quetta"/>
    <x v="0"/>
    <x v="1"/>
    <x v="3"/>
    <n v="8"/>
    <n v="87077.72"/>
    <n v="0"/>
    <n v="696621.76"/>
    <n v="547273.73"/>
    <n v="149348.03"/>
    <s v="Credit Card"/>
    <n v="0.21438898204959891"/>
  </r>
  <r>
    <s v="ORD-2025-0407"/>
    <x v="237"/>
    <x v="1"/>
    <s v="Islamabad"/>
    <x v="1"/>
    <x v="2"/>
    <x v="7"/>
    <n v="4"/>
    <n v="133155.66"/>
    <n v="0.05"/>
    <n v="505991.51"/>
    <n v="412248.83"/>
    <n v="93742.68"/>
    <s v="Digital Wallet"/>
    <n v="0.18526532194186418"/>
  </r>
  <r>
    <s v="ORD-2025-0408"/>
    <x v="113"/>
    <x v="1"/>
    <s v="Peshawar"/>
    <x v="2"/>
    <x v="7"/>
    <x v="5"/>
    <n v="1"/>
    <n v="8151.39"/>
    <n v="0"/>
    <n v="8151.39"/>
    <n v="4949.71"/>
    <n v="3201.68"/>
    <s v="Cash"/>
    <n v="0.39277718278723012"/>
  </r>
  <r>
    <s v="ORD-2025-0409"/>
    <x v="64"/>
    <x v="0"/>
    <s v="Lahore"/>
    <x v="0"/>
    <x v="1"/>
    <x v="6"/>
    <n v="5"/>
    <n v="98218.42"/>
    <n v="0.1"/>
    <n v="441982.89"/>
    <n v="352606.07"/>
    <n v="89376.82"/>
    <s v="Bank Transfer"/>
    <n v="0.20221782793447052"/>
  </r>
  <r>
    <s v="ORD-2025-0410"/>
    <x v="238"/>
    <x v="1"/>
    <s v="Islamabad"/>
    <x v="3"/>
    <x v="14"/>
    <x v="5"/>
    <n v="8"/>
    <n v="4925.91"/>
    <n v="0.05"/>
    <n v="37436.92"/>
    <n v="21860.47"/>
    <n v="15576.45"/>
    <s v="Bank Transfer"/>
    <n v="0.41607188839252807"/>
  </r>
  <r>
    <s v="ORD-2025-0411"/>
    <x v="88"/>
    <x v="1"/>
    <s v="Peshawar"/>
    <x v="1"/>
    <x v="4"/>
    <x v="3"/>
    <n v="2"/>
    <n v="23440.87"/>
    <n v="0.05"/>
    <n v="44537.65"/>
    <n v="30944.46"/>
    <n v="13593.19"/>
    <s v="Digital Wallet"/>
    <n v="0.30520671836075769"/>
  </r>
  <r>
    <s v="ORD-2025-0412"/>
    <x v="139"/>
    <x v="1"/>
    <s v="Peshawar"/>
    <x v="0"/>
    <x v="1"/>
    <x v="0"/>
    <n v="8"/>
    <n v="97911.67"/>
    <n v="0.1"/>
    <n v="704964.02"/>
    <n v="529166.51"/>
    <n v="175797.51"/>
    <s v="Cash"/>
    <n v="0.24937089697145112"/>
  </r>
  <r>
    <s v="ORD-2025-0413"/>
    <x v="200"/>
    <x v="2"/>
    <s v="Quetta"/>
    <x v="2"/>
    <x v="11"/>
    <x v="1"/>
    <n v="7"/>
    <n v="43151.66"/>
    <n v="0.05"/>
    <n v="286958.53999999998"/>
    <n v="223778.58"/>
    <n v="63179.96"/>
    <s v="Credit Card"/>
    <n v="0.22017103934247784"/>
  </r>
  <r>
    <s v="ORD-2025-0414"/>
    <x v="239"/>
    <x v="2"/>
    <s v="Hyderabad"/>
    <x v="1"/>
    <x v="2"/>
    <x v="4"/>
    <n v="7"/>
    <n v="127091.88"/>
    <n v="0.05"/>
    <n v="845161"/>
    <n v="723692.36"/>
    <n v="121468.64"/>
    <s v="Digital Wallet"/>
    <n v="0.143722486011541"/>
  </r>
  <r>
    <s v="ORD-2025-0415"/>
    <x v="140"/>
    <x v="2"/>
    <s v="Karachi"/>
    <x v="0"/>
    <x v="10"/>
    <x v="2"/>
    <n v="2"/>
    <n v="185584.95"/>
    <n v="0.05"/>
    <n v="352611.41"/>
    <n v="288492.38"/>
    <n v="64119.03"/>
    <s v="Digital Wallet"/>
    <n v="0.18184048553618842"/>
  </r>
  <r>
    <s v="ORD-2025-0416"/>
    <x v="81"/>
    <x v="2"/>
    <s v="Karachi"/>
    <x v="2"/>
    <x v="7"/>
    <x v="4"/>
    <n v="5"/>
    <n v="8175.37"/>
    <n v="0.1"/>
    <n v="36789.17"/>
    <n v="24491.41"/>
    <n v="12297.76"/>
    <s v="Digital Wallet"/>
    <n v="0.33427663630356436"/>
  </r>
  <r>
    <s v="ORD-2025-0417"/>
    <x v="63"/>
    <x v="1"/>
    <s v="Rawalpindi"/>
    <x v="3"/>
    <x v="6"/>
    <x v="2"/>
    <n v="6"/>
    <n v="4239.71"/>
    <n v="0.05"/>
    <n v="24166.35"/>
    <n v="12445.83"/>
    <n v="11720.52"/>
    <s v="Digital Wallet"/>
    <n v="0.48499338956855303"/>
  </r>
  <r>
    <s v="ORD-2025-0418"/>
    <x v="31"/>
    <x v="0"/>
    <s v="Lahore"/>
    <x v="0"/>
    <x v="1"/>
    <x v="1"/>
    <n v="8"/>
    <n v="96167.37"/>
    <n v="0"/>
    <n v="769338.96"/>
    <n v="531498.61"/>
    <n v="237840.35"/>
    <s v="Bank Transfer"/>
    <n v="0.30914897381513085"/>
  </r>
  <r>
    <s v="ORD-2025-0419"/>
    <x v="69"/>
    <x v="0"/>
    <s v="Multan"/>
    <x v="0"/>
    <x v="1"/>
    <x v="7"/>
    <n v="7"/>
    <n v="98838.47"/>
    <n v="0"/>
    <n v="691869.29"/>
    <n v="488521.59"/>
    <n v="203347.7"/>
    <s v="Digital Wallet"/>
    <n v="0.29391057377326285"/>
  </r>
  <r>
    <s v="ORD-2025-0420"/>
    <x v="19"/>
    <x v="1"/>
    <s v="Islamabad"/>
    <x v="1"/>
    <x v="12"/>
    <x v="4"/>
    <n v="6"/>
    <n v="30782.61"/>
    <n v="0"/>
    <n v="184695.66"/>
    <n v="137796.48000000001"/>
    <n v="46899.18"/>
    <s v="Cash"/>
    <n v="0.25392681127428768"/>
  </r>
  <r>
    <s v="ORD-2025-0421"/>
    <x v="220"/>
    <x v="1"/>
    <s v="Peshawar"/>
    <x v="3"/>
    <x v="14"/>
    <x v="4"/>
    <n v="1"/>
    <n v="4951.82"/>
    <n v="0.15"/>
    <n v="4209.05"/>
    <n v="2794.91"/>
    <n v="1414.14"/>
    <s v="Credit Card"/>
    <n v="0.33597605160309335"/>
  </r>
  <r>
    <s v="ORD-2025-0422"/>
    <x v="25"/>
    <x v="1"/>
    <s v="Peshawar"/>
    <x v="2"/>
    <x v="5"/>
    <x v="0"/>
    <n v="1"/>
    <n v="27860.41"/>
    <n v="0.15"/>
    <n v="23681.35"/>
    <n v="18430.38"/>
    <n v="5250.97"/>
    <s v="Bank Transfer"/>
    <n v="0.2217344028106506"/>
  </r>
  <r>
    <s v="ORD-2025-0423"/>
    <x v="240"/>
    <x v="2"/>
    <s v="Hyderabad"/>
    <x v="3"/>
    <x v="14"/>
    <x v="4"/>
    <n v="4"/>
    <n v="5214.76"/>
    <n v="0.15"/>
    <n v="17730.18"/>
    <n v="11007.94"/>
    <n v="6722.24"/>
    <s v="Bank Transfer"/>
    <n v="0.3791411029104047"/>
  </r>
  <r>
    <s v="ORD-2025-0424"/>
    <x v="35"/>
    <x v="2"/>
    <s v="Hyderabad"/>
    <x v="2"/>
    <x v="5"/>
    <x v="1"/>
    <n v="8"/>
    <n v="30459.5"/>
    <n v="0.1"/>
    <n v="219308.4"/>
    <n v="147489.49"/>
    <n v="71818.91"/>
    <s v="Cash"/>
    <n v="0.32747906600932752"/>
  </r>
  <r>
    <s v="ORD-2025-0425"/>
    <x v="49"/>
    <x v="0"/>
    <s v="Lahore"/>
    <x v="1"/>
    <x v="3"/>
    <x v="4"/>
    <n v="2"/>
    <n v="28308.71"/>
    <n v="0.05"/>
    <n v="53786.55"/>
    <n v="37127.800000000003"/>
    <n v="16658.75"/>
    <s v="Digital Wallet"/>
    <n v="0.30971962321435376"/>
  </r>
  <r>
    <s v="ORD-2025-0427"/>
    <x v="241"/>
    <x v="1"/>
    <s v="Rawalpindi"/>
    <x v="0"/>
    <x v="15"/>
    <x v="2"/>
    <n v="4"/>
    <n v="53471.92"/>
    <n v="0"/>
    <n v="213887.68"/>
    <n v="149797.65"/>
    <n v="64090.03"/>
    <s v="Cash"/>
    <n v="0.29964339227018594"/>
  </r>
  <r>
    <s v="ORD-2025-0428"/>
    <x v="242"/>
    <x v="0"/>
    <s v="Faisalabad"/>
    <x v="2"/>
    <x v="9"/>
    <x v="5"/>
    <n v="2"/>
    <n v="37385.5"/>
    <n v="0.15"/>
    <n v="63555.35"/>
    <n v="53428.71"/>
    <n v="10126.64"/>
    <s v="Digital Wallet"/>
    <n v="0.15933576008943384"/>
  </r>
  <r>
    <s v="ORD-2025-0429"/>
    <x v="17"/>
    <x v="2"/>
    <s v="Hyderabad"/>
    <x v="2"/>
    <x v="9"/>
    <x v="7"/>
    <n v="3"/>
    <n v="40718.480000000003"/>
    <n v="0.15"/>
    <n v="103832.12"/>
    <n v="80739.19"/>
    <n v="23092.93"/>
    <s v="Credit Card"/>
    <n v="0.22240641913118986"/>
  </r>
  <r>
    <s v="ORD-2025-0430"/>
    <x v="121"/>
    <x v="1"/>
    <s v="Peshawar"/>
    <x v="2"/>
    <x v="9"/>
    <x v="5"/>
    <n v="4"/>
    <n v="36353.58"/>
    <n v="0"/>
    <n v="145414.32"/>
    <n v="106968.52"/>
    <n v="38445.800000000003"/>
    <s v="Cash"/>
    <n v="0.26438799149904907"/>
  </r>
  <r>
    <s v="ORD-2025-0431"/>
    <x v="147"/>
    <x v="1"/>
    <s v="Islamabad"/>
    <x v="3"/>
    <x v="13"/>
    <x v="4"/>
    <n v="1"/>
    <n v="6861.93"/>
    <n v="0.05"/>
    <n v="6518.83"/>
    <n v="3648.41"/>
    <n v="2870.42"/>
    <s v="Digital Wallet"/>
    <n v="0.44032748207883932"/>
  </r>
  <r>
    <s v="ORD-2025-0432"/>
    <x v="94"/>
    <x v="1"/>
    <s v="Peshawar"/>
    <x v="1"/>
    <x v="4"/>
    <x v="7"/>
    <n v="4"/>
    <n v="25480.66"/>
    <n v="0"/>
    <n v="101922.64"/>
    <n v="61543.55"/>
    <n v="40379.089999999997"/>
    <s v="Cash"/>
    <n v="0.39617390208887837"/>
  </r>
  <r>
    <s v="ORD-2025-0433"/>
    <x v="7"/>
    <x v="0"/>
    <s v="Faisalabad"/>
    <x v="3"/>
    <x v="6"/>
    <x v="6"/>
    <n v="8"/>
    <n v="4520.21"/>
    <n v="0.15"/>
    <n v="30737.43"/>
    <n v="16905.41"/>
    <n v="13832.02"/>
    <s v="Cash"/>
    <n v="0.45000574218469147"/>
  </r>
  <r>
    <s v="ORD-2025-0434"/>
    <x v="8"/>
    <x v="0"/>
    <s v="Lahore"/>
    <x v="3"/>
    <x v="13"/>
    <x v="3"/>
    <n v="6"/>
    <n v="6356.07"/>
    <n v="0.05"/>
    <n v="36229.599999999999"/>
    <n v="21234.97"/>
    <n v="14994.63"/>
    <s v="Bank Transfer"/>
    <n v="0.41387787886148342"/>
  </r>
  <r>
    <s v="ORD-2025-0435"/>
    <x v="93"/>
    <x v="2"/>
    <s v="Quetta"/>
    <x v="1"/>
    <x v="3"/>
    <x v="2"/>
    <n v="3"/>
    <n v="26994.69"/>
    <n v="0"/>
    <n v="80984.070000000007"/>
    <n v="53964.17"/>
    <n v="27019.9"/>
    <s v="Digital Wallet"/>
    <n v="0.33364462912273979"/>
  </r>
  <r>
    <s v="ORD-2025-0436"/>
    <x v="243"/>
    <x v="2"/>
    <s v="Hyderabad"/>
    <x v="2"/>
    <x v="5"/>
    <x v="1"/>
    <n v="4"/>
    <n v="29932.71"/>
    <n v="0.15"/>
    <n v="101771.21"/>
    <n v="75156.13"/>
    <n v="26615.08"/>
    <s v="Digital Wallet"/>
    <n v="0.26151875368289323"/>
  </r>
  <r>
    <s v="ORD-2025-0437"/>
    <x v="244"/>
    <x v="1"/>
    <s v="Islamabad"/>
    <x v="2"/>
    <x v="7"/>
    <x v="2"/>
    <n v="1"/>
    <n v="8060.19"/>
    <n v="0.05"/>
    <n v="7657.18"/>
    <n v="4799.12"/>
    <n v="2858.06"/>
    <s v="Digital Wallet"/>
    <n v="0.3732522939254399"/>
  </r>
  <r>
    <s v="ORD-2025-0438"/>
    <x v="245"/>
    <x v="2"/>
    <s v="Hyderabad"/>
    <x v="0"/>
    <x v="15"/>
    <x v="7"/>
    <n v="2"/>
    <n v="53585.32"/>
    <n v="0"/>
    <n v="107170.64"/>
    <n v="71911.039999999994"/>
    <n v="35259.599999999999"/>
    <s v="Cash"/>
    <n v="0.32900428699502027"/>
  </r>
  <r>
    <s v="ORD-2025-0439"/>
    <x v="246"/>
    <x v="2"/>
    <s v="Quetta"/>
    <x v="1"/>
    <x v="3"/>
    <x v="2"/>
    <n v="6"/>
    <n v="26396.52"/>
    <n v="-0.05"/>
    <n v="142541.21"/>
    <n v="111804.74"/>
    <n v="30736.47"/>
    <s v="Cash"/>
    <n v="0.21563216700629947"/>
  </r>
  <r>
    <s v="ORD-2025-0440"/>
    <x v="247"/>
    <x v="2"/>
    <s v="Karachi"/>
    <x v="1"/>
    <x v="12"/>
    <x v="7"/>
    <n v="3"/>
    <n v="35531.089999999997"/>
    <n v="0.05"/>
    <n v="101263.61"/>
    <n v="67152.89"/>
    <n v="34110.720000000001"/>
    <s v="Digital Wallet"/>
    <n v="0.33685072060930871"/>
  </r>
  <r>
    <s v="ORD-2025-0441"/>
    <x v="183"/>
    <x v="1"/>
    <s v="Rawalpindi"/>
    <x v="1"/>
    <x v="4"/>
    <x v="1"/>
    <n v="3"/>
    <n v="25943.57"/>
    <n v="0.15"/>
    <n v="66156.100000000006"/>
    <n v="48658.01"/>
    <n v="17498.09"/>
    <s v="Digital Wallet"/>
    <n v="0.26449700027661849"/>
  </r>
  <r>
    <s v="ORD-2025-0442"/>
    <x v="5"/>
    <x v="1"/>
    <s v="Islamabad"/>
    <x v="2"/>
    <x v="9"/>
    <x v="1"/>
    <n v="4"/>
    <n v="36865.97"/>
    <n v="0.15"/>
    <n v="125344.3"/>
    <n v="103001.07"/>
    <n v="22343.23"/>
    <s v="Bank Transfer"/>
    <n v="0.17825485482786213"/>
  </r>
  <r>
    <s v="ORD-2025-0443"/>
    <x v="243"/>
    <x v="2"/>
    <s v="Hyderabad"/>
    <x v="3"/>
    <x v="14"/>
    <x v="4"/>
    <n v="3"/>
    <n v="4936.99"/>
    <n v="0"/>
    <n v="14810.97"/>
    <n v="7927.9"/>
    <n v="6883.07"/>
    <s v="Cash"/>
    <n v="0.46472783349098673"/>
  </r>
  <r>
    <s v="ORD-2025-0444"/>
    <x v="248"/>
    <x v="1"/>
    <s v="Islamabad"/>
    <x v="3"/>
    <x v="13"/>
    <x v="1"/>
    <n v="2"/>
    <n v="6046.34"/>
    <n v="0.05"/>
    <n v="11488.05"/>
    <n v="7260.41"/>
    <n v="4227.6400000000003"/>
    <s v="Cash"/>
    <n v="0.36800327296625629"/>
  </r>
  <r>
    <s v="ORD-2025-0445"/>
    <x v="249"/>
    <x v="1"/>
    <s v="Rawalpindi"/>
    <x v="2"/>
    <x v="11"/>
    <x v="5"/>
    <n v="7"/>
    <n v="41688.47"/>
    <n v="0"/>
    <n v="291819.28999999998"/>
    <n v="221694.04"/>
    <n v="70125.25"/>
    <s v="Credit Card"/>
    <n v="0.24030368246047068"/>
  </r>
  <r>
    <s v="ORD-2025-0446"/>
    <x v="250"/>
    <x v="0"/>
    <s v="Lahore"/>
    <x v="0"/>
    <x v="10"/>
    <x v="4"/>
    <n v="6"/>
    <n v="195666.92"/>
    <n v="0.05"/>
    <n v="1115301.44"/>
    <n v="877983.34"/>
    <n v="237318.1"/>
    <s v="Digital Wallet"/>
    <n v="0.21278381923365938"/>
  </r>
  <r>
    <s v="ORD-2025-0447"/>
    <x v="251"/>
    <x v="1"/>
    <s v="Peshawar"/>
    <x v="2"/>
    <x v="7"/>
    <x v="7"/>
    <n v="7"/>
    <n v="8531.91"/>
    <n v="0.15"/>
    <n v="50764.86"/>
    <n v="34552.620000000003"/>
    <n v="16212.24"/>
    <s v="Credit Card"/>
    <n v="0.31935949394916091"/>
  </r>
  <r>
    <s v="ORD-2025-0448"/>
    <x v="252"/>
    <x v="1"/>
    <s v="Rawalpindi"/>
    <x v="1"/>
    <x v="3"/>
    <x v="5"/>
    <n v="7"/>
    <n v="25962.37"/>
    <n v="0.05"/>
    <n v="172649.76"/>
    <n v="122313.1"/>
    <n v="50336.66"/>
    <s v="Bank Transfer"/>
    <n v="0.29155360540321634"/>
  </r>
  <r>
    <s v="ORD-2025-0449"/>
    <x v="253"/>
    <x v="2"/>
    <s v="Hyderabad"/>
    <x v="0"/>
    <x v="15"/>
    <x v="3"/>
    <n v="8"/>
    <n v="50332.76"/>
    <n v="0.05"/>
    <n v="382528.98"/>
    <n v="299550.40000000002"/>
    <n v="82978.58"/>
    <s v="Cash"/>
    <n v="0.21692102909431857"/>
  </r>
  <r>
    <s v="ORD-2025-0450"/>
    <x v="102"/>
    <x v="0"/>
    <s v="Faisalabad"/>
    <x v="2"/>
    <x v="7"/>
    <x v="1"/>
    <n v="7"/>
    <n v="8356.86"/>
    <n v="0"/>
    <n v="58498.02"/>
    <n v="34987.57"/>
    <n v="23510.45"/>
    <s v="Digital Wallet"/>
    <n v="0.40190163701267156"/>
  </r>
  <r>
    <s v="ORD-2025-0451"/>
    <x v="135"/>
    <x v="1"/>
    <s v="Rawalpindi"/>
    <x v="0"/>
    <x v="15"/>
    <x v="4"/>
    <n v="4"/>
    <n v="52138.2"/>
    <n v="0.1"/>
    <n v="187697.52"/>
    <n v="149873.42000000001"/>
    <n v="37824.1"/>
    <s v="Bank Transfer"/>
    <n v="0.20151624805698018"/>
  </r>
  <r>
    <s v="ORD-2025-0452"/>
    <x v="117"/>
    <x v="0"/>
    <s v="Multan"/>
    <x v="1"/>
    <x v="4"/>
    <x v="7"/>
    <n v="4"/>
    <n v="25885.65"/>
    <n v="0"/>
    <n v="103542.6"/>
    <n v="61908.42"/>
    <n v="41634.18"/>
    <s v="Digital Wallet"/>
    <n v="0.40209710785705594"/>
  </r>
  <r>
    <s v="ORD-2025-0453"/>
    <x v="151"/>
    <x v="2"/>
    <s v="Quetta"/>
    <x v="3"/>
    <x v="6"/>
    <x v="5"/>
    <n v="6"/>
    <n v="3877.03"/>
    <n v="0"/>
    <n v="23262.18"/>
    <n v="13077.29"/>
    <n v="10184.89"/>
    <s v="Cash"/>
    <n v="0.43783041830129416"/>
  </r>
  <r>
    <s v="ORD-2025-0454"/>
    <x v="48"/>
    <x v="2"/>
    <s v="Hyderabad"/>
    <x v="2"/>
    <x v="7"/>
    <x v="2"/>
    <n v="1"/>
    <n v="8136.62"/>
    <n v="0"/>
    <n v="8136.62"/>
    <n v="4758.05"/>
    <n v="3378.57"/>
    <s v="Digital Wallet"/>
    <n v="0.41523015699393606"/>
  </r>
  <r>
    <s v="ORD-2025-0455"/>
    <x v="254"/>
    <x v="2"/>
    <s v="Hyderabad"/>
    <x v="1"/>
    <x v="4"/>
    <x v="0"/>
    <n v="1"/>
    <n v="23834.57"/>
    <n v="0"/>
    <n v="23834.57"/>
    <n v="15387.98"/>
    <n v="8446.59"/>
    <s v="Digital Wallet"/>
    <n v="0.35438398930628917"/>
  </r>
  <r>
    <s v="ORD-2025-0456"/>
    <x v="249"/>
    <x v="1"/>
    <s v="Islamabad"/>
    <x v="1"/>
    <x v="4"/>
    <x v="3"/>
    <n v="1"/>
    <n v="23018.09"/>
    <n v="0.15"/>
    <n v="19565.38"/>
    <n v="15601.35"/>
    <n v="3964.03"/>
    <s v="Cash"/>
    <n v="0.2026042939109795"/>
  </r>
  <r>
    <s v="ORD-2025-0457"/>
    <x v="9"/>
    <x v="1"/>
    <s v="Rawalpindi"/>
    <x v="0"/>
    <x v="1"/>
    <x v="6"/>
    <n v="8"/>
    <n v="90367.89"/>
    <n v="0.05"/>
    <n v="686795.96"/>
    <n v="563331.07999999996"/>
    <n v="123464.88"/>
    <s v="Cash"/>
    <n v="0.17976937429859083"/>
  </r>
  <r>
    <s v="ORD-2025-0458"/>
    <x v="188"/>
    <x v="2"/>
    <s v="Hyderabad"/>
    <x v="1"/>
    <x v="12"/>
    <x v="3"/>
    <n v="6"/>
    <n v="35046.1"/>
    <n v="0.15"/>
    <n v="178735.11"/>
    <n v="133008.1"/>
    <n v="45727.01"/>
    <s v="Digital Wallet"/>
    <n v="0.255836751939784"/>
  </r>
  <r>
    <s v="ORD-2025-0459"/>
    <x v="181"/>
    <x v="2"/>
    <s v="Karachi"/>
    <x v="2"/>
    <x v="9"/>
    <x v="7"/>
    <n v="2"/>
    <n v="37366.51"/>
    <n v="0"/>
    <n v="74733.02"/>
    <n v="50472.5"/>
    <n v="24260.52"/>
    <s v="Credit Card"/>
    <n v="0.32462919336057877"/>
  </r>
  <r>
    <s v="ORD-2025-0460"/>
    <x v="255"/>
    <x v="2"/>
    <s v="Karachi"/>
    <x v="2"/>
    <x v="5"/>
    <x v="6"/>
    <n v="8"/>
    <n v="26636.79"/>
    <n v="0.1"/>
    <n v="191784.89"/>
    <n v="151040.81"/>
    <n v="40744.080000000002"/>
    <s v="Cash"/>
    <n v="0.21244676783452543"/>
  </r>
  <r>
    <s v="ORD-2025-0461"/>
    <x v="102"/>
    <x v="2"/>
    <s v="Quetta"/>
    <x v="2"/>
    <x v="11"/>
    <x v="2"/>
    <n v="3"/>
    <n v="42916.36"/>
    <n v="0.05"/>
    <n v="122311.63"/>
    <n v="96600.71"/>
    <n v="25710.92"/>
    <s v="Digital Wallet"/>
    <n v="0.2102083015327324"/>
  </r>
  <r>
    <s v="ORD-2025-0462"/>
    <x v="256"/>
    <x v="0"/>
    <s v="Lahore"/>
    <x v="0"/>
    <x v="15"/>
    <x v="7"/>
    <n v="6"/>
    <n v="53867"/>
    <n v="0.05"/>
    <n v="307041.90000000002"/>
    <n v="226206.5"/>
    <n v="80835.399999999994"/>
    <s v="Bank Transfer"/>
    <n v="0.2632715600053282"/>
  </r>
  <r>
    <s v="ORD-2025-0463"/>
    <x v="56"/>
    <x v="0"/>
    <s v="Multan"/>
    <x v="3"/>
    <x v="6"/>
    <x v="5"/>
    <n v="3"/>
    <n v="4229.3100000000004"/>
    <n v="0.05"/>
    <n v="12053.53"/>
    <n v="6433.99"/>
    <n v="5619.54"/>
    <s v="Cash"/>
    <n v="0.46621529128811223"/>
  </r>
  <r>
    <s v="ORD-2025-0464"/>
    <x v="125"/>
    <x v="0"/>
    <s v="Lahore"/>
    <x v="3"/>
    <x v="8"/>
    <x v="1"/>
    <n v="5"/>
    <n v="11576.55"/>
    <n v="0.05"/>
    <n v="54988.61"/>
    <n v="31526.639999999999"/>
    <n v="23461.97"/>
    <s v="Credit Card"/>
    <n v="0.42666963212927189"/>
  </r>
  <r>
    <s v="ORD-2025-0465"/>
    <x v="227"/>
    <x v="1"/>
    <s v="Peshawar"/>
    <x v="1"/>
    <x v="12"/>
    <x v="3"/>
    <n v="6"/>
    <n v="34166.9"/>
    <n v="0.15"/>
    <n v="174251.19"/>
    <n v="140089.69"/>
    <n v="34161.5"/>
    <s v="Digital Wallet"/>
    <n v="0.1960474416272279"/>
  </r>
  <r>
    <s v="ORD-2025-0466"/>
    <x v="78"/>
    <x v="0"/>
    <s v="Lahore"/>
    <x v="1"/>
    <x v="3"/>
    <x v="0"/>
    <n v="7"/>
    <n v="27608.7"/>
    <n v="0"/>
    <n v="193260.9"/>
    <n v="123068.98"/>
    <n v="70191.92"/>
    <s v="Cash"/>
    <n v="0.36319772908022263"/>
  </r>
  <r>
    <s v="ORD-2025-0468"/>
    <x v="162"/>
    <x v="0"/>
    <s v="Multan"/>
    <x v="1"/>
    <x v="2"/>
    <x v="7"/>
    <n v="6"/>
    <n v="128967.61"/>
    <n v="0.15"/>
    <n v="657734.81000000006"/>
    <n v="590826.47"/>
    <n v="66908.34"/>
    <s v="Cash"/>
    <n v="0.10172540510665688"/>
  </r>
  <r>
    <s v="ORD-2025-0469"/>
    <x v="136"/>
    <x v="2"/>
    <s v="Quetta"/>
    <x v="0"/>
    <x v="0"/>
    <x v="4"/>
    <n v="7"/>
    <n v="15247.1"/>
    <n v="0.15"/>
    <n v="90720.24"/>
    <n v="55912.25"/>
    <n v="34807.99"/>
    <s v="Cash"/>
    <n v="0.38368494175059498"/>
  </r>
  <r>
    <s v="ORD-2025-0470"/>
    <x v="257"/>
    <x v="0"/>
    <s v="Lahore"/>
    <x v="1"/>
    <x v="2"/>
    <x v="1"/>
    <n v="4"/>
    <n v="144948.67000000001"/>
    <n v="0"/>
    <n v="579794.68000000005"/>
    <n v="394742.65"/>
    <n v="185052.03"/>
    <s v="Credit Card"/>
    <n v="0.31916820968415921"/>
  </r>
  <r>
    <s v="ORD-2025-0471"/>
    <x v="258"/>
    <x v="1"/>
    <s v="Peshawar"/>
    <x v="2"/>
    <x v="5"/>
    <x v="7"/>
    <n v="7"/>
    <n v="29622.25"/>
    <n v="0.15"/>
    <n v="176252.39"/>
    <n v="134377.81"/>
    <n v="41874.58"/>
    <s v="Digital Wallet"/>
    <n v="0.23758304781001835"/>
  </r>
  <r>
    <s v="ORD-2025-0472"/>
    <x v="249"/>
    <x v="1"/>
    <s v="Islamabad"/>
    <x v="2"/>
    <x v="7"/>
    <x v="2"/>
    <n v="6"/>
    <n v="8714.24"/>
    <n v="0.1"/>
    <n v="47056.9"/>
    <n v="30572.78"/>
    <n v="16484.12"/>
    <s v="Bank Transfer"/>
    <n v="0.35030186858887852"/>
  </r>
  <r>
    <s v="ORD-2025-0473"/>
    <x v="170"/>
    <x v="0"/>
    <s v="Faisalabad"/>
    <x v="1"/>
    <x v="4"/>
    <x v="3"/>
    <n v="7"/>
    <n v="25778.53"/>
    <n v="0.05"/>
    <n v="171427.22"/>
    <n v="111992.34"/>
    <n v="59434.879999999997"/>
    <s v="Digital Wallet"/>
    <n v="0.34670619986720891"/>
  </r>
  <r>
    <s v="ORD-2025-0474"/>
    <x v="126"/>
    <x v="0"/>
    <s v="Multan"/>
    <x v="1"/>
    <x v="3"/>
    <x v="4"/>
    <n v="8"/>
    <n v="26773.200000000001"/>
    <n v="0.05"/>
    <n v="203476.32"/>
    <n v="139681.97"/>
    <n v="63794.35"/>
    <s v="Cash"/>
    <n v="0.31352223197274254"/>
  </r>
  <r>
    <s v="ORD-2025-0475"/>
    <x v="151"/>
    <x v="0"/>
    <s v="Lahore"/>
    <x v="1"/>
    <x v="2"/>
    <x v="4"/>
    <n v="5"/>
    <n v="145462.92000000001"/>
    <n v="0"/>
    <n v="727314.6"/>
    <n v="520099.72"/>
    <n v="207214.88"/>
    <s v="Credit Card"/>
    <n v="0.28490405664893848"/>
  </r>
  <r>
    <s v="ORD-2025-0476"/>
    <x v="208"/>
    <x v="1"/>
    <s v="Islamabad"/>
    <x v="3"/>
    <x v="8"/>
    <x v="3"/>
    <n v="3"/>
    <n v="10834.67"/>
    <n v="0.05"/>
    <n v="30878.81"/>
    <n v="20129.34"/>
    <n v="10749.47"/>
    <s v="Bank Transfer"/>
    <n v="0.34811801361516193"/>
  </r>
  <r>
    <s v="ORD-2025-0477"/>
    <x v="124"/>
    <x v="2"/>
    <s v="Karachi"/>
    <x v="3"/>
    <x v="6"/>
    <x v="0"/>
    <n v="2"/>
    <n v="4350.25"/>
    <n v="0.05"/>
    <n v="8265.48"/>
    <n v="4124.83"/>
    <n v="4140.6499999999996"/>
    <s v="Bank Transfer"/>
    <n v="0.5009569922133984"/>
  </r>
  <r>
    <s v="ORD-2025-0478"/>
    <x v="259"/>
    <x v="1"/>
    <s v="Peshawar"/>
    <x v="3"/>
    <x v="13"/>
    <x v="1"/>
    <n v="1"/>
    <n v="6938.75"/>
    <n v="0.05"/>
    <n v="6591.81"/>
    <n v="3579.68"/>
    <n v="3012.13"/>
    <s v="Cash"/>
    <n v="0.45695036719808368"/>
  </r>
  <r>
    <s v="ORD-2025-0479"/>
    <x v="204"/>
    <x v="1"/>
    <s v="Peshawar"/>
    <x v="0"/>
    <x v="15"/>
    <x v="5"/>
    <n v="1"/>
    <n v="50375.8"/>
    <n v="0"/>
    <n v="50375.8"/>
    <n v="36220.85"/>
    <n v="14154.95"/>
    <s v="Bank Transfer"/>
    <n v="0.28098710094926532"/>
  </r>
  <r>
    <s v="ORD-2025-0480"/>
    <x v="260"/>
    <x v="0"/>
    <s v="Multan"/>
    <x v="2"/>
    <x v="5"/>
    <x v="0"/>
    <n v="1"/>
    <n v="29291.78"/>
    <n v="0.05"/>
    <n v="27827.19"/>
    <n v="19721.48"/>
    <n v="8105.71"/>
    <s v="Credit Card"/>
    <n v="0.29128740631015926"/>
  </r>
  <r>
    <s v="ORD-2025-0481"/>
    <x v="145"/>
    <x v="2"/>
    <s v="Hyderabad"/>
    <x v="3"/>
    <x v="6"/>
    <x v="1"/>
    <n v="3"/>
    <n v="4089.91"/>
    <n v="0.05"/>
    <n v="11656.24"/>
    <n v="6363.01"/>
    <n v="5293.23"/>
    <s v="Bank Transfer"/>
    <n v="0.45411127430457848"/>
  </r>
  <r>
    <s v="ORD-2025-0482"/>
    <x v="261"/>
    <x v="1"/>
    <s v="Rawalpindi"/>
    <x v="3"/>
    <x v="6"/>
    <x v="3"/>
    <n v="3"/>
    <n v="4187.18"/>
    <n v="0"/>
    <n v="12561.54"/>
    <n v="6326.15"/>
    <n v="6235.39"/>
    <s v="Credit Card"/>
    <n v="0.49638738562310036"/>
  </r>
  <r>
    <s v="ORD-2025-0483"/>
    <x v="262"/>
    <x v="1"/>
    <s v="Islamabad"/>
    <x v="1"/>
    <x v="4"/>
    <x v="1"/>
    <n v="6"/>
    <n v="25224.17"/>
    <n v="0.1"/>
    <n v="136210.51999999999"/>
    <n v="92550.55"/>
    <n v="43659.97"/>
    <s v="Digital Wallet"/>
    <n v="0.32053302490879565"/>
  </r>
  <r>
    <s v="ORD-2025-0484"/>
    <x v="134"/>
    <x v="2"/>
    <s v="Hyderabad"/>
    <x v="2"/>
    <x v="9"/>
    <x v="2"/>
    <n v="6"/>
    <n v="38570.769999999997"/>
    <n v="0"/>
    <n v="231424.62"/>
    <n v="159724.92000000001"/>
    <n v="71699.7"/>
    <s v="Digital Wallet"/>
    <n v="0.30981880838780246"/>
  </r>
  <r>
    <s v="ORD-2025-0485"/>
    <x v="263"/>
    <x v="0"/>
    <s v="Lahore"/>
    <x v="3"/>
    <x v="13"/>
    <x v="0"/>
    <n v="4"/>
    <n v="6187.67"/>
    <n v="0.05"/>
    <n v="23513.15"/>
    <n v="14125.24"/>
    <n v="9387.91"/>
    <s v="Cash"/>
    <n v="0.39926211502924958"/>
  </r>
  <r>
    <s v="ORD-2025-0486"/>
    <x v="264"/>
    <x v="1"/>
    <s v="Peshawar"/>
    <x v="2"/>
    <x v="9"/>
    <x v="6"/>
    <n v="1"/>
    <n v="37047.089999999997"/>
    <n v="0"/>
    <n v="37047.089999999997"/>
    <n v="25775.31"/>
    <n v="11271.78"/>
    <s v="Bank Transfer"/>
    <n v="0.3042554759361667"/>
  </r>
  <r>
    <s v="ORD-2025-0487"/>
    <x v="202"/>
    <x v="1"/>
    <s v="Peshawar"/>
    <x v="2"/>
    <x v="5"/>
    <x v="6"/>
    <n v="5"/>
    <n v="28722.53"/>
    <n v="0.1"/>
    <n v="129251.38"/>
    <n v="97003.99"/>
    <n v="32247.39"/>
    <s v="Digital Wallet"/>
    <n v="0.2494935837435546"/>
  </r>
  <r>
    <s v="ORD-2025-0488"/>
    <x v="59"/>
    <x v="0"/>
    <s v="Multan"/>
    <x v="0"/>
    <x v="0"/>
    <x v="4"/>
    <n v="3"/>
    <n v="13479.46"/>
    <n v="0"/>
    <n v="40438.379999999997"/>
    <n v="25220.98"/>
    <n v="15217.4"/>
    <s v="Cash"/>
    <n v="0.37631082155120954"/>
  </r>
  <r>
    <s v="ORD-2025-0489"/>
    <x v="78"/>
    <x v="2"/>
    <s v="Quetta"/>
    <x v="0"/>
    <x v="10"/>
    <x v="2"/>
    <n v="7"/>
    <n v="189747.04"/>
    <n v="0.15"/>
    <n v="1128994.8899999999"/>
    <n v="1023467.93"/>
    <n v="105526.96"/>
    <s v="Cash"/>
    <n v="9.346982961100915E-2"/>
  </r>
  <r>
    <s v="ORD-2025-0490"/>
    <x v="7"/>
    <x v="1"/>
    <s v="Rawalpindi"/>
    <x v="3"/>
    <x v="6"/>
    <x v="7"/>
    <n v="7"/>
    <n v="4205.74"/>
    <n v="0.15"/>
    <n v="25024.15"/>
    <n v="14361.49"/>
    <n v="10662.66"/>
    <s v="Cash"/>
    <n v="0.42609479243051207"/>
  </r>
  <r>
    <s v="ORD-2025-0491"/>
    <x v="265"/>
    <x v="1"/>
    <s v="Islamabad"/>
    <x v="3"/>
    <x v="13"/>
    <x v="1"/>
    <n v="1"/>
    <n v="6237.29"/>
    <n v="0.1"/>
    <n v="5613.56"/>
    <n v="3568.84"/>
    <n v="2044.72"/>
    <s v="Credit Card"/>
    <n v="0.36424657436635571"/>
  </r>
  <r>
    <s v="ORD-2025-0492"/>
    <x v="266"/>
    <x v="1"/>
    <s v="Rawalpindi"/>
    <x v="1"/>
    <x v="3"/>
    <x v="4"/>
    <n v="5"/>
    <n v="25860.400000000001"/>
    <n v="0.1"/>
    <n v="116371.8"/>
    <n v="89038.03"/>
    <n v="27333.77"/>
    <s v="Digital Wallet"/>
    <n v="0.23488310741949509"/>
  </r>
  <r>
    <s v="ORD-2025-0494"/>
    <x v="267"/>
    <x v="2"/>
    <s v="Karachi"/>
    <x v="2"/>
    <x v="7"/>
    <x v="3"/>
    <n v="5"/>
    <n v="9057.24"/>
    <n v="0.05"/>
    <n v="43021.89"/>
    <n v="24535.33"/>
    <n v="18486.560000000001"/>
    <s v="Credit Card"/>
    <n v="0.42970125208353238"/>
  </r>
  <r>
    <s v="ORD-2025-0495"/>
    <x v="96"/>
    <x v="0"/>
    <s v="Multan"/>
    <x v="2"/>
    <x v="5"/>
    <x v="5"/>
    <n v="5"/>
    <n v="29359.71"/>
    <n v="0.1"/>
    <n v="132118.70000000001"/>
    <n v="98198.59"/>
    <n v="33920.11"/>
    <s v="Credit Card"/>
    <n v="0.25673965910957341"/>
  </r>
  <r>
    <s v="ORD-2025-0496"/>
    <x v="41"/>
    <x v="2"/>
    <s v="Karachi"/>
    <x v="0"/>
    <x v="1"/>
    <x v="1"/>
    <n v="6"/>
    <n v="96997.77"/>
    <n v="0"/>
    <n v="581986.62"/>
    <n v="416525.39"/>
    <n v="165461.23000000001"/>
    <s v="Digital Wallet"/>
    <n v="0.28430418211332764"/>
  </r>
  <r>
    <s v="ORD-2025-0497"/>
    <x v="129"/>
    <x v="2"/>
    <s v="Hyderabad"/>
    <x v="1"/>
    <x v="12"/>
    <x v="4"/>
    <n v="4"/>
    <n v="30923.75"/>
    <n v="0"/>
    <n v="123695"/>
    <n v="87465.05"/>
    <n v="36229.949999999997"/>
    <s v="Credit Card"/>
    <n v="0.2928974493714378"/>
  </r>
  <r>
    <s v="ORD-2025-0499"/>
    <x v="268"/>
    <x v="1"/>
    <s v="Rawalpindi"/>
    <x v="3"/>
    <x v="14"/>
    <x v="4"/>
    <n v="3"/>
    <n v="4920.2700000000004"/>
    <n v="0"/>
    <n v="14760.81"/>
    <n v="7875.27"/>
    <n v="6885.54"/>
    <s v="Digital Wallet"/>
    <n v="0.46647440079507835"/>
  </r>
  <r>
    <s v="ORD-2025-0500"/>
    <x v="265"/>
    <x v="1"/>
    <s v="Peshawar"/>
    <x v="2"/>
    <x v="5"/>
    <x v="2"/>
    <n v="2"/>
    <n v="27027.48"/>
    <n v="0.05"/>
    <n v="51352.21"/>
    <n v="39166.559999999998"/>
    <n v="12185.65"/>
    <s v="Digital Wallet"/>
    <n v="0.23729553216891736"/>
  </r>
  <r>
    <s v="ORD-2025-0501"/>
    <x v="118"/>
    <x v="1"/>
    <s v="Rawalpindi"/>
    <x v="3"/>
    <x v="13"/>
    <x v="6"/>
    <n v="7"/>
    <n v="6729.01"/>
    <n v="0.05"/>
    <n v="44747.92"/>
    <n v="25522.69"/>
    <n v="19225.23"/>
    <s v="Cash"/>
    <n v="0.42963404779484721"/>
  </r>
  <r>
    <s v="ORD-2025-0502"/>
    <x v="13"/>
    <x v="2"/>
    <s v="Hyderabad"/>
    <x v="0"/>
    <x v="1"/>
    <x v="6"/>
    <n v="7"/>
    <n v="99121.99"/>
    <n v="0"/>
    <n v="693853.93"/>
    <n v="480302.6"/>
    <n v="213551.33"/>
    <s v="Credit Card"/>
    <n v="0.3077756293749031"/>
  </r>
  <r>
    <s v="ORD-2025-0503"/>
    <x v="269"/>
    <x v="2"/>
    <s v="Hyderabad"/>
    <x v="3"/>
    <x v="8"/>
    <x v="5"/>
    <n v="5"/>
    <n v="11428.88"/>
    <n v="0.05"/>
    <n v="54287.18"/>
    <n v="32194.799999999999"/>
    <n v="22092.38"/>
    <s v="Digital Wallet"/>
    <n v="0.40695390698135364"/>
  </r>
  <r>
    <s v="ORD-2025-0504"/>
    <x v="196"/>
    <x v="0"/>
    <s v="Faisalabad"/>
    <x v="0"/>
    <x v="10"/>
    <x v="1"/>
    <n v="3"/>
    <n v="193250.44"/>
    <n v="0.15"/>
    <n v="492788.62"/>
    <n v="429513.86"/>
    <n v="63274.76"/>
    <s v="Bank Transfer"/>
    <n v="0.12840142290623513"/>
  </r>
  <r>
    <s v="ORD-2025-0505"/>
    <x v="143"/>
    <x v="2"/>
    <s v="Karachi"/>
    <x v="2"/>
    <x v="7"/>
    <x v="5"/>
    <n v="4"/>
    <n v="9020.27"/>
    <n v="0"/>
    <n v="36081.08"/>
    <n v="19355.11"/>
    <n v="16725.97"/>
    <s v="Cash"/>
    <n v="0.46356622362745242"/>
  </r>
  <r>
    <s v="ORD-2025-0506"/>
    <x v="150"/>
    <x v="1"/>
    <s v="Islamabad"/>
    <x v="3"/>
    <x v="8"/>
    <x v="5"/>
    <n v="2"/>
    <n v="11543.82"/>
    <n v="0.05"/>
    <n v="21933.26"/>
    <n v="13271.46"/>
    <n v="8661.7999999999993"/>
    <s v="Digital Wallet"/>
    <n v="0.39491621400557875"/>
  </r>
  <r>
    <s v="ORD-2025-0507"/>
    <x v="270"/>
    <x v="0"/>
    <s v="Faisalabad"/>
    <x v="0"/>
    <x v="1"/>
    <x v="5"/>
    <n v="6"/>
    <n v="92964.04"/>
    <n v="0.15"/>
    <n v="474116.6"/>
    <n v="420397.93"/>
    <n v="53718.67"/>
    <s v="Credit Card"/>
    <n v="0.11330265592894237"/>
  </r>
  <r>
    <s v="ORD-2025-0508"/>
    <x v="123"/>
    <x v="0"/>
    <s v="Lahore"/>
    <x v="3"/>
    <x v="8"/>
    <x v="0"/>
    <n v="5"/>
    <n v="11923.5"/>
    <n v="0.05"/>
    <n v="56636.62"/>
    <n v="32181.98"/>
    <n v="24454.639999999999"/>
    <s v="Credit Card"/>
    <n v="0.43178141633451994"/>
  </r>
  <r>
    <s v="ORD-2025-0509"/>
    <x v="38"/>
    <x v="1"/>
    <s v="Islamabad"/>
    <x v="1"/>
    <x v="2"/>
    <x v="7"/>
    <n v="8"/>
    <n v="134948.76"/>
    <n v="0.05"/>
    <n v="1025610.58"/>
    <n v="814500.43"/>
    <n v="211110.15"/>
    <s v="Credit Card"/>
    <n v="0.20583850646314511"/>
  </r>
  <r>
    <s v="ORD-2025-0510"/>
    <x v="271"/>
    <x v="1"/>
    <s v="Peshawar"/>
    <x v="3"/>
    <x v="14"/>
    <x v="4"/>
    <n v="7"/>
    <n v="5151.6400000000003"/>
    <n v="0.1"/>
    <n v="32455.33"/>
    <n v="19126.939999999999"/>
    <n v="13328.39"/>
    <s v="Credit Card"/>
    <n v="0.41066875610261855"/>
  </r>
  <r>
    <s v="ORD-2025-0511"/>
    <x v="108"/>
    <x v="1"/>
    <s v="Islamabad"/>
    <x v="2"/>
    <x v="11"/>
    <x v="4"/>
    <n v="6"/>
    <n v="39812.639999999999"/>
    <n v="0"/>
    <n v="238875.84"/>
    <n v="189104.29"/>
    <n v="49771.55"/>
    <s v="Bank Transfer"/>
    <n v="0.20835740441561609"/>
  </r>
  <r>
    <s v="ORD-2025-0512"/>
    <x v="143"/>
    <x v="1"/>
    <s v="Islamabad"/>
    <x v="0"/>
    <x v="15"/>
    <x v="5"/>
    <n v="3"/>
    <n v="49182.31"/>
    <n v="0.05"/>
    <n v="140169.57999999999"/>
    <n v="110899"/>
    <n v="29270.58"/>
    <s v="Digital Wallet"/>
    <n v="0.20882262756298481"/>
  </r>
  <r>
    <s v="ORD-2025-0513"/>
    <x v="141"/>
    <x v="0"/>
    <s v="Multan"/>
    <x v="1"/>
    <x v="2"/>
    <x v="0"/>
    <n v="2"/>
    <n v="140799.85999999999"/>
    <n v="0.05"/>
    <n v="267519.73"/>
    <n v="201151.57"/>
    <n v="66368.160000000003"/>
    <s v="Digital Wallet"/>
    <n v="0.24808697287486051"/>
  </r>
  <r>
    <s v="ORD-2025-0514"/>
    <x v="241"/>
    <x v="0"/>
    <s v="Lahore"/>
    <x v="1"/>
    <x v="4"/>
    <x v="3"/>
    <n v="3"/>
    <n v="23018.33"/>
    <n v="0.05"/>
    <n v="65602.240000000005"/>
    <n v="47070.31"/>
    <n v="18531.93"/>
    <s v="Credit Card"/>
    <n v="0.28248928695117725"/>
  </r>
  <r>
    <s v="ORD-2025-0515"/>
    <x v="272"/>
    <x v="0"/>
    <s v="Lahore"/>
    <x v="0"/>
    <x v="10"/>
    <x v="4"/>
    <n v="8"/>
    <n v="191632.59"/>
    <n v="0.1"/>
    <n v="1379754.65"/>
    <n v="1176183.07"/>
    <n v="203571.58"/>
    <s v="Digital Wallet"/>
    <n v="0.14754186912868894"/>
  </r>
  <r>
    <s v="ORD-2025-0516"/>
    <x v="104"/>
    <x v="0"/>
    <s v="Faisalabad"/>
    <x v="1"/>
    <x v="3"/>
    <x v="7"/>
    <n v="3"/>
    <n v="27493.73"/>
    <n v="0.05"/>
    <n v="78357.13"/>
    <n v="54344.49"/>
    <n v="24012.639999999999"/>
    <s v="Digital Wallet"/>
    <n v="0.30645124444961164"/>
  </r>
  <r>
    <s v="ORD-2025-0517"/>
    <x v="157"/>
    <x v="1"/>
    <s v="Peshawar"/>
    <x v="2"/>
    <x v="9"/>
    <x v="3"/>
    <n v="4"/>
    <n v="34969.61"/>
    <n v="0"/>
    <n v="139878.44"/>
    <n v="104264.37"/>
    <n v="35614.07"/>
    <s v="Digital Wallet"/>
    <n v="0.25460728615503575"/>
  </r>
  <r>
    <s v="ORD-2025-0518"/>
    <x v="245"/>
    <x v="2"/>
    <s v="Karachi"/>
    <x v="1"/>
    <x v="3"/>
    <x v="0"/>
    <n v="4"/>
    <n v="24888.799999999999"/>
    <n v="0"/>
    <n v="99555.199999999997"/>
    <n v="73317.69"/>
    <n v="26237.51"/>
    <s v="Bank Transfer"/>
    <n v="0.26354735865128087"/>
  </r>
  <r>
    <s v="ORD-2025-0519"/>
    <x v="22"/>
    <x v="2"/>
    <s v="Quetta"/>
    <x v="1"/>
    <x v="2"/>
    <x v="6"/>
    <n v="2"/>
    <n v="139014.04999999999"/>
    <n v="0.05"/>
    <n v="264126.69"/>
    <n v="201540.14"/>
    <n v="62586.55"/>
    <s v="Credit Card"/>
    <n v="0.23695655293298834"/>
  </r>
  <r>
    <s v="ORD-2025-0520"/>
    <x v="273"/>
    <x v="1"/>
    <s v="Rawalpindi"/>
    <x v="1"/>
    <x v="4"/>
    <x v="7"/>
    <n v="8"/>
    <n v="25665.24"/>
    <n v="0.15"/>
    <n v="174523.63"/>
    <n v="123809.15"/>
    <n v="50714.48"/>
    <s v="Bank Transfer"/>
    <n v="0.29058804243299319"/>
  </r>
  <r>
    <s v="ORD-2025-0521"/>
    <x v="135"/>
    <x v="2"/>
    <s v="Hyderabad"/>
    <x v="0"/>
    <x v="0"/>
    <x v="2"/>
    <n v="6"/>
    <n v="14628.01"/>
    <n v="0"/>
    <n v="87768.06"/>
    <n v="48441.26"/>
    <n v="39326.800000000003"/>
    <s v="Bank Transfer"/>
    <n v="0.44807644147540693"/>
  </r>
  <r>
    <s v="ORD-2025-0522"/>
    <x v="111"/>
    <x v="1"/>
    <s v="Islamabad"/>
    <x v="1"/>
    <x v="2"/>
    <x v="1"/>
    <n v="6"/>
    <n v="145446.17000000001"/>
    <n v="0.15"/>
    <n v="741775.47"/>
    <n v="610483.87"/>
    <n v="131291.6"/>
    <s v="Credit Card"/>
    <n v="0.17699641644930644"/>
  </r>
  <r>
    <s v="ORD-2025-0523"/>
    <x v="29"/>
    <x v="0"/>
    <s v="Lahore"/>
    <x v="1"/>
    <x v="3"/>
    <x v="2"/>
    <n v="1"/>
    <n v="26012.87"/>
    <n v="0"/>
    <n v="26012.87"/>
    <n v="18086.29"/>
    <n v="7926.58"/>
    <s v="Digital Wallet"/>
    <n v="0.30471762631343641"/>
  </r>
  <r>
    <s v="ORD-2025-0524"/>
    <x v="166"/>
    <x v="2"/>
    <s v="Karachi"/>
    <x v="1"/>
    <x v="12"/>
    <x v="7"/>
    <n v="2"/>
    <n v="32335.86"/>
    <n v="0"/>
    <n v="64671.72"/>
    <n v="46100.04"/>
    <n v="18571.68"/>
    <s v="Cash"/>
    <n v="0.28716848724604821"/>
  </r>
  <r>
    <s v="ORD-2025-0525"/>
    <x v="274"/>
    <x v="2"/>
    <s v="Quetta"/>
    <x v="2"/>
    <x v="5"/>
    <x v="2"/>
    <n v="6"/>
    <n v="30431.78"/>
    <n v="0.15"/>
    <n v="155202.07999999999"/>
    <n v="117553.56"/>
    <n v="37648.519999999997"/>
    <s v="Credit Card"/>
    <n v="0.24257741906551769"/>
  </r>
  <r>
    <s v="ORD-2025-0526"/>
    <x v="218"/>
    <x v="1"/>
    <s v="Peshawar"/>
    <x v="2"/>
    <x v="5"/>
    <x v="6"/>
    <n v="1"/>
    <n v="28314.720000000001"/>
    <n v="0.15"/>
    <n v="24067.51"/>
    <n v="19580.2"/>
    <n v="4487.3100000000004"/>
    <s v="Bank Transfer"/>
    <n v="0.18644679071495143"/>
  </r>
  <r>
    <s v="ORD-2025-0527"/>
    <x v="78"/>
    <x v="1"/>
    <s v="Peshawar"/>
    <x v="0"/>
    <x v="0"/>
    <x v="4"/>
    <n v="8"/>
    <n v="15402.91"/>
    <n v="0"/>
    <n v="123223.28"/>
    <n v="66022.490000000005"/>
    <n v="57200.79"/>
    <s v="Cash"/>
    <n v="0.46420441007575841"/>
  </r>
  <r>
    <s v="ORD-2025-0528"/>
    <x v="275"/>
    <x v="0"/>
    <s v="Faisalabad"/>
    <x v="2"/>
    <x v="9"/>
    <x v="0"/>
    <n v="4"/>
    <n v="36130.68"/>
    <n v="0.05"/>
    <n v="137296.57999999999"/>
    <n v="104754.97"/>
    <n v="32541.61"/>
    <s v="Bank Transfer"/>
    <n v="0.23701690165916736"/>
  </r>
  <r>
    <s v="ORD-2025-0529"/>
    <x v="211"/>
    <x v="1"/>
    <s v="Islamabad"/>
    <x v="1"/>
    <x v="2"/>
    <x v="2"/>
    <n v="1"/>
    <n v="144899.24"/>
    <n v="0.1"/>
    <n v="130409.32"/>
    <n v="101604.41"/>
    <n v="28804.91"/>
    <s v="Bank Transfer"/>
    <n v="0.22088076220319222"/>
  </r>
  <r>
    <s v="ORD-2025-0530"/>
    <x v="84"/>
    <x v="2"/>
    <s v="Karachi"/>
    <x v="1"/>
    <x v="12"/>
    <x v="7"/>
    <n v="3"/>
    <n v="30736.16"/>
    <n v="0.1"/>
    <n v="82987.63"/>
    <n v="69690.850000000006"/>
    <n v="13296.78"/>
    <s v="Cash"/>
    <n v="0.16022604814717567"/>
  </r>
  <r>
    <s v="ORD-2025-0531"/>
    <x v="276"/>
    <x v="1"/>
    <s v="Islamabad"/>
    <x v="3"/>
    <x v="13"/>
    <x v="7"/>
    <n v="2"/>
    <n v="6378.94"/>
    <n v="0"/>
    <n v="12757.88"/>
    <n v="7198.94"/>
    <n v="5558.94"/>
    <s v="Bank Transfer"/>
    <n v="0.43572599836336445"/>
  </r>
  <r>
    <s v="ORD-2025-0532"/>
    <x v="200"/>
    <x v="2"/>
    <s v="Hyderabad"/>
    <x v="2"/>
    <x v="11"/>
    <x v="7"/>
    <n v="8"/>
    <n v="43466.39"/>
    <n v="0"/>
    <n v="347731.12"/>
    <n v="254671.09"/>
    <n v="93060.03"/>
    <s v="Cash"/>
    <n v="0.26762065471735746"/>
  </r>
  <r>
    <s v="ORD-2025-0533"/>
    <x v="136"/>
    <x v="2"/>
    <s v="Hyderabad"/>
    <x v="3"/>
    <x v="14"/>
    <x v="4"/>
    <n v="4"/>
    <n v="5572.28"/>
    <n v="0"/>
    <n v="22289.119999999999"/>
    <n v="11126.99"/>
    <n v="11162.13"/>
    <s v="Bank Transfer"/>
    <n v="0.50078827697100647"/>
  </r>
  <r>
    <s v="ORD-2025-0534"/>
    <x v="277"/>
    <x v="2"/>
    <s v="Karachi"/>
    <x v="1"/>
    <x v="3"/>
    <x v="7"/>
    <n v="8"/>
    <n v="26946.03"/>
    <n v="0"/>
    <n v="215568.24"/>
    <n v="144471.37"/>
    <n v="71096.87"/>
    <s v="Digital Wallet"/>
    <n v="0.32981143233344579"/>
  </r>
  <r>
    <s v="ORD-2025-0535"/>
    <x v="177"/>
    <x v="1"/>
    <s v="Rawalpindi"/>
    <x v="1"/>
    <x v="12"/>
    <x v="0"/>
    <n v="2"/>
    <n v="32502.02"/>
    <n v="0.15"/>
    <n v="55253.43"/>
    <n v="46159.79"/>
    <n v="9093.64"/>
    <s v="Bank Transfer"/>
    <n v="0.16458055183180481"/>
  </r>
  <r>
    <s v="ORD-2025-0536"/>
    <x v="237"/>
    <x v="0"/>
    <s v="Faisalabad"/>
    <x v="3"/>
    <x v="14"/>
    <x v="1"/>
    <n v="4"/>
    <n v="5300.57"/>
    <n v="0.1"/>
    <n v="19082.05"/>
    <n v="10596.22"/>
    <n v="8485.83"/>
    <s v="Cash"/>
    <n v="0.44470222014930261"/>
  </r>
  <r>
    <s v="ORD-2025-0537"/>
    <x v="228"/>
    <x v="2"/>
    <s v="Karachi"/>
    <x v="3"/>
    <x v="14"/>
    <x v="0"/>
    <n v="6"/>
    <n v="5237.05"/>
    <n v="0"/>
    <n v="31422.3"/>
    <n v="15910.28"/>
    <n v="15512.02"/>
    <s v="Digital Wallet"/>
    <n v="0.49366278089127785"/>
  </r>
  <r>
    <s v="ORD-2025-0538"/>
    <x v="44"/>
    <x v="1"/>
    <s v="Peshawar"/>
    <x v="3"/>
    <x v="8"/>
    <x v="0"/>
    <n v="2"/>
    <n v="12092.52"/>
    <n v="0"/>
    <n v="24185.040000000001"/>
    <n v="12890.31"/>
    <n v="11294.73"/>
    <s v="Cash"/>
    <n v="0.46701307915967882"/>
  </r>
  <r>
    <s v="ORD-2025-0539"/>
    <x v="163"/>
    <x v="0"/>
    <s v="Multan"/>
    <x v="3"/>
    <x v="8"/>
    <x v="6"/>
    <n v="8"/>
    <n v="11766.78"/>
    <n v="0"/>
    <n v="94134.24"/>
    <n v="50769.54"/>
    <n v="43364.7"/>
    <s v="Credit Card"/>
    <n v="0.4606687216043811"/>
  </r>
  <r>
    <s v="ORD-2025-0540"/>
    <x v="164"/>
    <x v="0"/>
    <s v="Lahore"/>
    <x v="3"/>
    <x v="8"/>
    <x v="2"/>
    <n v="7"/>
    <n v="11712.65"/>
    <n v="0.05"/>
    <n v="77889.119999999995"/>
    <n v="44758.2"/>
    <n v="33130.92"/>
    <s v="Bank Transfer"/>
    <n v="0.42536005028686935"/>
  </r>
  <r>
    <s v="ORD-2025-0541"/>
    <x v="150"/>
    <x v="0"/>
    <s v="Multan"/>
    <x v="1"/>
    <x v="4"/>
    <x v="1"/>
    <n v="6"/>
    <n v="26421.93"/>
    <n v="0.1"/>
    <n v="142678.42000000001"/>
    <n v="92009.88"/>
    <n v="50668.54"/>
    <s v="Credit Card"/>
    <n v="0.35512406150839065"/>
  </r>
  <r>
    <s v="ORD-2025-0542"/>
    <x v="278"/>
    <x v="2"/>
    <s v="Karachi"/>
    <x v="1"/>
    <x v="2"/>
    <x v="6"/>
    <n v="1"/>
    <n v="139392.45000000001"/>
    <n v="0.05"/>
    <n v="132422.82999999999"/>
    <n v="98745.57"/>
    <n v="33677.26"/>
    <s v="Credit Card"/>
    <n v="0.25431611754559247"/>
  </r>
  <r>
    <s v="ORD-2025-0543"/>
    <x v="142"/>
    <x v="2"/>
    <s v="Quetta"/>
    <x v="3"/>
    <x v="8"/>
    <x v="5"/>
    <n v="7"/>
    <n v="11327.1"/>
    <n v="0.05"/>
    <n v="75325.210000000006"/>
    <n v="45871.199999999997"/>
    <n v="29454.01"/>
    <s v="Digital Wallet"/>
    <n v="0.39102459853746169"/>
  </r>
  <r>
    <s v="ORD-2025-0544"/>
    <x v="279"/>
    <x v="1"/>
    <s v="Islamabad"/>
    <x v="3"/>
    <x v="8"/>
    <x v="0"/>
    <n v="7"/>
    <n v="10863.85"/>
    <n v="0.15"/>
    <n v="64639.91"/>
    <n v="44534.87"/>
    <n v="20105.04"/>
    <s v="Cash"/>
    <n v="0.31103137365135564"/>
  </r>
  <r>
    <s v="ORD-2025-0545"/>
    <x v="217"/>
    <x v="1"/>
    <s v="Peshawar"/>
    <x v="3"/>
    <x v="14"/>
    <x v="1"/>
    <n v="3"/>
    <n v="4854.4399999999996"/>
    <n v="0.15"/>
    <n v="12378.82"/>
    <n v="8313.9699999999993"/>
    <n v="4064.85"/>
    <s v="Credit Card"/>
    <n v="0.32837136334480993"/>
  </r>
  <r>
    <s v="ORD-2025-0546"/>
    <x v="14"/>
    <x v="2"/>
    <s v="Quetta"/>
    <x v="3"/>
    <x v="14"/>
    <x v="7"/>
    <n v="7"/>
    <n v="5079.62"/>
    <n v="0"/>
    <n v="35557.339999999997"/>
    <n v="18894.97"/>
    <n v="16662.37"/>
    <s v="Credit Card"/>
    <n v="0.46860563810453765"/>
  </r>
  <r>
    <s v="ORD-2025-0547"/>
    <x v="74"/>
    <x v="0"/>
    <s v="Multan"/>
    <x v="1"/>
    <x v="4"/>
    <x v="2"/>
    <n v="6"/>
    <n v="22671.17"/>
    <n v="0"/>
    <n v="136027.01999999999"/>
    <n v="95726.24"/>
    <n v="40300.78"/>
    <s v="Cash"/>
    <n v="0.29627040274792465"/>
  </r>
  <r>
    <s v="ORD-2025-0548"/>
    <x v="83"/>
    <x v="0"/>
    <s v="Faisalabad"/>
    <x v="0"/>
    <x v="1"/>
    <x v="0"/>
    <n v="5"/>
    <n v="91483.86"/>
    <n v="0"/>
    <n v="457419.3"/>
    <n v="342255.89"/>
    <n v="115163.41"/>
    <s v="Credit Card"/>
    <n v="0.25176771071968324"/>
  </r>
  <r>
    <s v="ORD-2025-0549"/>
    <x v="116"/>
    <x v="2"/>
    <s v="Quetta"/>
    <x v="0"/>
    <x v="0"/>
    <x v="7"/>
    <n v="1"/>
    <n v="15436.32"/>
    <n v="0.1"/>
    <n v="13892.69"/>
    <n v="8400.8700000000008"/>
    <n v="5491.82"/>
    <s v="Digital Wallet"/>
    <n v="0.39530285351504996"/>
  </r>
  <r>
    <s v="ORD-2025-0550"/>
    <x v="73"/>
    <x v="0"/>
    <s v="Multan"/>
    <x v="1"/>
    <x v="4"/>
    <x v="4"/>
    <n v="6"/>
    <n v="26305.48"/>
    <n v="0.05"/>
    <n v="149941.24"/>
    <n v="93875.19"/>
    <n v="56066.05"/>
    <s v="Bank Transfer"/>
    <n v="0.37392014365093956"/>
  </r>
  <r>
    <s v="ORD-2025-0551"/>
    <x v="90"/>
    <x v="1"/>
    <s v="Peshawar"/>
    <x v="3"/>
    <x v="6"/>
    <x v="6"/>
    <n v="1"/>
    <n v="4305.05"/>
    <n v="0.05"/>
    <n v="4089.8"/>
    <n v="2155.91"/>
    <n v="1933.89"/>
    <s v="Bank Transfer"/>
    <n v="0.47285686341630395"/>
  </r>
  <r>
    <s v="ORD-2025-0552"/>
    <x v="246"/>
    <x v="2"/>
    <s v="Karachi"/>
    <x v="2"/>
    <x v="11"/>
    <x v="6"/>
    <n v="5"/>
    <n v="41294.11"/>
    <n v="0.1"/>
    <n v="185823.49"/>
    <n v="153398.54999999999"/>
    <n v="32424.94"/>
    <s v="Cash"/>
    <n v="0.17449322472632497"/>
  </r>
  <r>
    <s v="ORD-2025-0553"/>
    <x v="243"/>
    <x v="0"/>
    <s v="Lahore"/>
    <x v="2"/>
    <x v="7"/>
    <x v="7"/>
    <n v="6"/>
    <n v="8918.66"/>
    <n v="0.05"/>
    <n v="50836.36"/>
    <n v="30128.44"/>
    <n v="20707.919999999998"/>
    <s v="Credit Card"/>
    <n v="0.40734466433080568"/>
  </r>
  <r>
    <s v="ORD-2025-0554"/>
    <x v="241"/>
    <x v="0"/>
    <s v="Lahore"/>
    <x v="1"/>
    <x v="2"/>
    <x v="1"/>
    <n v="3"/>
    <n v="137063.75"/>
    <n v="0"/>
    <n v="411191.25"/>
    <n v="311675.8"/>
    <n v="99515.45"/>
    <s v="Credit Card"/>
    <n v="0.24201743106158022"/>
  </r>
  <r>
    <s v="ORD-2025-0555"/>
    <x v="218"/>
    <x v="0"/>
    <s v="Faisalabad"/>
    <x v="2"/>
    <x v="5"/>
    <x v="6"/>
    <n v="6"/>
    <n v="26467.73"/>
    <n v="0.05"/>
    <n v="150866.06"/>
    <n v="116608.76"/>
    <n v="34257.300000000003"/>
    <s v="Credit Card"/>
    <n v="0.22707095287038054"/>
  </r>
  <r>
    <s v="ORD-2025-0556"/>
    <x v="206"/>
    <x v="2"/>
    <s v="Hyderabad"/>
    <x v="3"/>
    <x v="8"/>
    <x v="1"/>
    <n v="8"/>
    <n v="11952.92"/>
    <n v="0.1"/>
    <n v="86061.02"/>
    <n v="51290.53"/>
    <n v="34770.49"/>
    <s v="Digital Wallet"/>
    <n v="0.40402135600995659"/>
  </r>
  <r>
    <s v="ORD-2025-0557"/>
    <x v="7"/>
    <x v="2"/>
    <s v="Karachi"/>
    <x v="3"/>
    <x v="13"/>
    <x v="6"/>
    <n v="5"/>
    <n v="6944.31"/>
    <n v="0.05"/>
    <n v="32985.47"/>
    <n v="17941.330000000002"/>
    <n v="15044.14"/>
    <s v="Cash"/>
    <n v="0.45608384540223312"/>
  </r>
  <r>
    <s v="ORD-2025-0558"/>
    <x v="245"/>
    <x v="0"/>
    <s v="Multan"/>
    <x v="1"/>
    <x v="4"/>
    <x v="1"/>
    <n v="5"/>
    <n v="23853.07"/>
    <n v="0.05"/>
    <n v="113302.08"/>
    <n v="81066.81"/>
    <n v="32235.27"/>
    <s v="Digital Wallet"/>
    <n v="0.28450731001584439"/>
  </r>
  <r>
    <s v="ORD-2025-0559"/>
    <x v="279"/>
    <x v="0"/>
    <s v="Multan"/>
    <x v="2"/>
    <x v="5"/>
    <x v="6"/>
    <n v="6"/>
    <n v="29310.39"/>
    <n v="0"/>
    <n v="175862.34"/>
    <n v="113079.89"/>
    <n v="62782.45"/>
    <s v="Cash"/>
    <n v="0.35699769490159178"/>
  </r>
  <r>
    <s v="ORD-2025-0560"/>
    <x v="280"/>
    <x v="1"/>
    <s v="Rawalpindi"/>
    <x v="0"/>
    <x v="10"/>
    <x v="6"/>
    <n v="8"/>
    <n v="180604.89"/>
    <n v="0.15"/>
    <n v="1228113.25"/>
    <n v="1124447.78"/>
    <n v="103665.47"/>
    <s v="Cash"/>
    <n v="8.4410350592667244E-2"/>
  </r>
  <r>
    <s v="ORD-2025-0561"/>
    <x v="281"/>
    <x v="0"/>
    <s v="Lahore"/>
    <x v="0"/>
    <x v="1"/>
    <x v="5"/>
    <n v="2"/>
    <n v="95062.87"/>
    <n v="0"/>
    <n v="190125.74"/>
    <n v="132742.39999999999"/>
    <n v="57383.34"/>
    <s v="Digital Wallet"/>
    <n v="0.30181783907849613"/>
  </r>
  <r>
    <s v="ORD-2025-0562"/>
    <x v="242"/>
    <x v="0"/>
    <s v="Multan"/>
    <x v="2"/>
    <x v="11"/>
    <x v="7"/>
    <n v="3"/>
    <n v="41302.949999999997"/>
    <n v="0.05"/>
    <n v="117713.41"/>
    <n v="94509.71"/>
    <n v="23203.7"/>
    <s v="Bank Transfer"/>
    <n v="0.1971202771205082"/>
  </r>
  <r>
    <s v="ORD-2025-0563"/>
    <x v="282"/>
    <x v="2"/>
    <s v="Quetta"/>
    <x v="1"/>
    <x v="3"/>
    <x v="1"/>
    <n v="3"/>
    <n v="28212.76"/>
    <n v="0.05"/>
    <n v="80406.37"/>
    <n v="55317.46"/>
    <n v="25088.91"/>
    <s v="Bank Transfer"/>
    <n v="0.31202639790852393"/>
  </r>
  <r>
    <s v="ORD-2025-0564"/>
    <x v="276"/>
    <x v="1"/>
    <s v="Rawalpindi"/>
    <x v="1"/>
    <x v="12"/>
    <x v="7"/>
    <n v="8"/>
    <n v="30726.42"/>
    <n v="0"/>
    <n v="245811.36"/>
    <n v="182289.8"/>
    <n v="63521.56"/>
    <s v="Cash"/>
    <n v="0.25841588444081676"/>
  </r>
  <r>
    <s v="ORD-2025-0565"/>
    <x v="126"/>
    <x v="1"/>
    <s v="Peshawar"/>
    <x v="3"/>
    <x v="6"/>
    <x v="0"/>
    <n v="2"/>
    <n v="4477.2700000000004"/>
    <n v="0.15"/>
    <n v="7611.36"/>
    <n v="4150.1400000000003"/>
    <n v="3461.22"/>
    <s v="Cash"/>
    <n v="0.45474396165731223"/>
  </r>
  <r>
    <s v="ORD-2025-0566"/>
    <x v="283"/>
    <x v="0"/>
    <s v="Multan"/>
    <x v="1"/>
    <x v="4"/>
    <x v="6"/>
    <n v="1"/>
    <n v="26054.33"/>
    <n v="0"/>
    <n v="26054.33"/>
    <n v="16048.07"/>
    <n v="10006.26"/>
    <s v="Digital Wallet"/>
    <n v="0.38405362947348864"/>
  </r>
  <r>
    <s v="ORD-2025-0567"/>
    <x v="67"/>
    <x v="2"/>
    <s v="Karachi"/>
    <x v="1"/>
    <x v="4"/>
    <x v="0"/>
    <n v="1"/>
    <n v="24560.3"/>
    <n v="0.05"/>
    <n v="23332.28"/>
    <n v="15854.82"/>
    <n v="7477.46"/>
    <s v="Credit Card"/>
    <n v="0.32047703867774602"/>
  </r>
  <r>
    <s v="ORD-2025-0568"/>
    <x v="104"/>
    <x v="1"/>
    <s v="Rawalpindi"/>
    <x v="3"/>
    <x v="13"/>
    <x v="0"/>
    <n v="6"/>
    <n v="6326.78"/>
    <n v="0.05"/>
    <n v="36062.65"/>
    <n v="21557.73"/>
    <n v="14504.92"/>
    <s v="Bank Transfer"/>
    <n v="0.40221447952382866"/>
  </r>
  <r>
    <s v="ORD-2025-0569"/>
    <x v="185"/>
    <x v="0"/>
    <s v="Faisalabad"/>
    <x v="0"/>
    <x v="15"/>
    <x v="3"/>
    <n v="5"/>
    <n v="53229.63"/>
    <n v="0"/>
    <n v="266148.15000000002"/>
    <n v="184108.42"/>
    <n v="82039.73"/>
    <s v="Bank Transfer"/>
    <n v="0.30824835716498494"/>
  </r>
  <r>
    <s v="ORD-2025-0570"/>
    <x v="17"/>
    <x v="0"/>
    <s v="Faisalabad"/>
    <x v="0"/>
    <x v="0"/>
    <x v="5"/>
    <n v="8"/>
    <n v="13536.88"/>
    <n v="0.15"/>
    <n v="92050.78"/>
    <n v="65643.22"/>
    <n v="26407.56"/>
    <s v="Cash"/>
    <n v="0.28688035017193775"/>
  </r>
  <r>
    <s v="ORD-2025-0571"/>
    <x v="161"/>
    <x v="1"/>
    <s v="Islamabad"/>
    <x v="2"/>
    <x v="7"/>
    <x v="7"/>
    <n v="7"/>
    <n v="7905.67"/>
    <n v="0.1"/>
    <n v="49805.72"/>
    <n v="34815.82"/>
    <n v="14989.9"/>
    <s v="Cash"/>
    <n v="0.30096743908129425"/>
  </r>
  <r>
    <s v="ORD-2025-0572"/>
    <x v="34"/>
    <x v="1"/>
    <s v="Rawalpindi"/>
    <x v="0"/>
    <x v="0"/>
    <x v="7"/>
    <n v="1"/>
    <n v="14280.78"/>
    <n v="0"/>
    <n v="14280.78"/>
    <n v="8417.2800000000007"/>
    <n v="5863.5"/>
    <s v="Credit Card"/>
    <n v="0.4105868166864835"/>
  </r>
  <r>
    <s v="ORD-2025-0573"/>
    <x v="264"/>
    <x v="0"/>
    <s v="Multan"/>
    <x v="2"/>
    <x v="11"/>
    <x v="6"/>
    <n v="1"/>
    <n v="44619.96"/>
    <n v="0.05"/>
    <n v="42388.959999999999"/>
    <n v="31488.81"/>
    <n v="10900.15"/>
    <s v="Credit Card"/>
    <n v="0.25714596442092469"/>
  </r>
  <r>
    <s v="ORD-2025-0574"/>
    <x v="284"/>
    <x v="0"/>
    <s v="Multan"/>
    <x v="2"/>
    <x v="11"/>
    <x v="7"/>
    <n v="3"/>
    <n v="43912.71"/>
    <n v="0.05"/>
    <n v="125151.22"/>
    <n v="95553.01"/>
    <n v="29598.21"/>
    <s v="Credit Card"/>
    <n v="0.23649957227744164"/>
  </r>
  <r>
    <s v="ORD-2025-0575"/>
    <x v="149"/>
    <x v="0"/>
    <s v="Lahore"/>
    <x v="0"/>
    <x v="10"/>
    <x v="1"/>
    <n v="8"/>
    <n v="187811.33"/>
    <n v="0.1"/>
    <n v="1352241.58"/>
    <n v="1119459.93"/>
    <n v="232781.65"/>
    <s v="Bank Transfer"/>
    <n v="0.17214501716475838"/>
  </r>
  <r>
    <s v="ORD-2025-0576"/>
    <x v="36"/>
    <x v="0"/>
    <s v="Multan"/>
    <x v="3"/>
    <x v="8"/>
    <x v="3"/>
    <n v="2"/>
    <n v="12375.57"/>
    <n v="0.1"/>
    <n v="22276.03"/>
    <n v="13106.76"/>
    <n v="9169.27"/>
    <s v="Cash"/>
    <n v="0.41162047276826264"/>
  </r>
  <r>
    <s v="ORD-2025-0577"/>
    <x v="85"/>
    <x v="0"/>
    <s v="Lahore"/>
    <x v="1"/>
    <x v="2"/>
    <x v="5"/>
    <n v="2"/>
    <n v="130116.1"/>
    <n v="0.05"/>
    <n v="247220.59"/>
    <n v="198316.24"/>
    <n v="48904.35"/>
    <s v="Digital Wallet"/>
    <n v="0.19781665434905724"/>
  </r>
  <r>
    <s v="ORD-2025-0578"/>
    <x v="25"/>
    <x v="1"/>
    <s v="Peshawar"/>
    <x v="0"/>
    <x v="1"/>
    <x v="6"/>
    <n v="2"/>
    <n v="96284.29"/>
    <n v="0.15"/>
    <n v="163683.29"/>
    <n v="137750.44"/>
    <n v="25932.85"/>
    <s v="Digital Wallet"/>
    <n v="0.15843309356746188"/>
  </r>
  <r>
    <s v="ORD-2025-0579"/>
    <x v="285"/>
    <x v="1"/>
    <s v="Islamabad"/>
    <x v="0"/>
    <x v="1"/>
    <x v="7"/>
    <n v="2"/>
    <n v="95043.23"/>
    <n v="0.1"/>
    <n v="171077.81"/>
    <n v="140363.43"/>
    <n v="30714.38"/>
    <s v="Credit Card"/>
    <n v="0.17953456383384847"/>
  </r>
  <r>
    <s v="ORD-2025-0580"/>
    <x v="216"/>
    <x v="1"/>
    <s v="Islamabad"/>
    <x v="1"/>
    <x v="4"/>
    <x v="5"/>
    <n v="7"/>
    <n v="23477.87"/>
    <n v="0"/>
    <n v="164345.09"/>
    <n v="112008.79"/>
    <n v="52336.3"/>
    <s v="Digital Wallet"/>
    <n v="0.3184536879075609"/>
  </r>
  <r>
    <s v="ORD-2025-0581"/>
    <x v="11"/>
    <x v="0"/>
    <s v="Lahore"/>
    <x v="1"/>
    <x v="3"/>
    <x v="0"/>
    <n v="7"/>
    <n v="24859.74"/>
    <n v="0"/>
    <n v="174018.18"/>
    <n v="123912.58"/>
    <n v="50105.599999999999"/>
    <s v="Bank Transfer"/>
    <n v="0.28793313434263018"/>
  </r>
  <r>
    <s v="ORD-2025-0582"/>
    <x v="286"/>
    <x v="0"/>
    <s v="Multan"/>
    <x v="2"/>
    <x v="7"/>
    <x v="7"/>
    <n v="4"/>
    <n v="8195.94"/>
    <n v="0"/>
    <n v="32783.760000000002"/>
    <n v="19166.599999999999"/>
    <n v="13617.16"/>
    <s v="Digital Wallet"/>
    <n v="0.41536297239852898"/>
  </r>
  <r>
    <s v="ORD-2025-0583"/>
    <x v="136"/>
    <x v="1"/>
    <s v="Islamabad"/>
    <x v="0"/>
    <x v="10"/>
    <x v="7"/>
    <n v="6"/>
    <n v="178637.91"/>
    <n v="0.05"/>
    <n v="1018236.09"/>
    <n v="841432.41"/>
    <n v="176803.68"/>
    <s v="Cash"/>
    <n v="0.17363721609985361"/>
  </r>
  <r>
    <s v="ORD-2025-0584"/>
    <x v="287"/>
    <x v="1"/>
    <s v="Peshawar"/>
    <x v="0"/>
    <x v="1"/>
    <x v="3"/>
    <n v="3"/>
    <n v="96202.44"/>
    <n v="0.05"/>
    <n v="274176.95"/>
    <n v="205232.83"/>
    <n v="68944.12"/>
    <s v="Digital Wallet"/>
    <n v="0.25145848328971487"/>
  </r>
  <r>
    <s v="ORD-2025-0585"/>
    <x v="117"/>
    <x v="0"/>
    <s v="Multan"/>
    <x v="1"/>
    <x v="4"/>
    <x v="2"/>
    <n v="4"/>
    <n v="25468.58"/>
    <n v="0.05"/>
    <n v="96780.6"/>
    <n v="62321.8"/>
    <n v="34458.800000000003"/>
    <s v="Credit Card"/>
    <n v="0.35605069611058415"/>
  </r>
  <r>
    <s v="ORD-2025-0586"/>
    <x v="256"/>
    <x v="1"/>
    <s v="Islamabad"/>
    <x v="3"/>
    <x v="6"/>
    <x v="6"/>
    <n v="7"/>
    <n v="4463"/>
    <n v="0"/>
    <n v="31241"/>
    <n v="14743.65"/>
    <n v="16497.349999999999"/>
    <s v="Digital Wallet"/>
    <n v="0.52806728337761266"/>
  </r>
  <r>
    <s v="ORD-2025-0587"/>
    <x v="104"/>
    <x v="1"/>
    <s v="Islamabad"/>
    <x v="3"/>
    <x v="6"/>
    <x v="2"/>
    <n v="7"/>
    <n v="4114.9799999999996"/>
    <n v="0.05"/>
    <n v="27364.62"/>
    <n v="14999.7"/>
    <n v="12364.92"/>
    <s v="Bank Transfer"/>
    <n v="0.45185790995818692"/>
  </r>
  <r>
    <s v="ORD-2025-0588"/>
    <x v="182"/>
    <x v="1"/>
    <s v="Rawalpindi"/>
    <x v="2"/>
    <x v="11"/>
    <x v="1"/>
    <n v="1"/>
    <n v="41490.559999999998"/>
    <n v="0"/>
    <n v="41490.559999999998"/>
    <n v="31918.080000000002"/>
    <n v="9572.48"/>
    <s v="Credit Card"/>
    <n v="0.23071464930817998"/>
  </r>
  <r>
    <s v="ORD-2025-0589"/>
    <x v="130"/>
    <x v="2"/>
    <s v="Karachi"/>
    <x v="1"/>
    <x v="12"/>
    <x v="1"/>
    <n v="3"/>
    <n v="33412.480000000003"/>
    <n v="0.1"/>
    <n v="90213.7"/>
    <n v="69514.89"/>
    <n v="20698.810000000001"/>
    <s v="Digital Wallet"/>
    <n v="0.2294419805417581"/>
  </r>
  <r>
    <s v="ORD-2025-0590"/>
    <x v="40"/>
    <x v="1"/>
    <s v="Peshawar"/>
    <x v="3"/>
    <x v="14"/>
    <x v="3"/>
    <n v="5"/>
    <n v="4796.07"/>
    <n v="0.05"/>
    <n v="22781.33"/>
    <n v="13790.69"/>
    <n v="8990.64"/>
    <s v="Bank Transfer"/>
    <n v="0.39464947832281955"/>
  </r>
  <r>
    <s v="ORD-2025-0591"/>
    <x v="116"/>
    <x v="2"/>
    <s v="Quetta"/>
    <x v="2"/>
    <x v="5"/>
    <x v="6"/>
    <n v="1"/>
    <n v="28125.040000000001"/>
    <n v="0"/>
    <n v="28125.040000000001"/>
    <n v="18483.28"/>
    <n v="9641.76"/>
    <s v="Digital Wallet"/>
    <n v="0.34281764577045937"/>
  </r>
  <r>
    <s v="ORD-2025-0592"/>
    <x v="191"/>
    <x v="0"/>
    <s v="Faisalabad"/>
    <x v="3"/>
    <x v="13"/>
    <x v="1"/>
    <n v="8"/>
    <n v="6495.1"/>
    <n v="0"/>
    <n v="51960.800000000003"/>
    <n v="29061.91"/>
    <n v="22898.89"/>
    <s v="Credit Card"/>
    <n v="0.44069548582777784"/>
  </r>
  <r>
    <s v="ORD-2025-0593"/>
    <x v="74"/>
    <x v="1"/>
    <s v="Rawalpindi"/>
    <x v="1"/>
    <x v="12"/>
    <x v="7"/>
    <n v="2"/>
    <n v="30444.11"/>
    <n v="0.15"/>
    <n v="51754.99"/>
    <n v="44610.239999999998"/>
    <n v="7144.75"/>
    <s v="Cash"/>
    <n v="0.13804949049357368"/>
  </r>
  <r>
    <s v="ORD-2025-0594"/>
    <x v="74"/>
    <x v="2"/>
    <s v="Hyderabad"/>
    <x v="2"/>
    <x v="7"/>
    <x v="6"/>
    <n v="3"/>
    <n v="8894.2099999999991"/>
    <n v="0.05"/>
    <n v="25348.5"/>
    <n v="14903.99"/>
    <n v="10444.51"/>
    <s v="Cash"/>
    <n v="0.41203660966132122"/>
  </r>
  <r>
    <s v="ORD-2025-0595"/>
    <x v="129"/>
    <x v="2"/>
    <s v="Quetta"/>
    <x v="1"/>
    <x v="2"/>
    <x v="3"/>
    <n v="5"/>
    <n v="133399.49"/>
    <n v="0.05"/>
    <n v="633647.57999999996"/>
    <n v="514526.24"/>
    <n v="119121.34"/>
    <s v="Cash"/>
    <n v="0.1879930481230592"/>
  </r>
  <r>
    <s v="ORD-2025-0596"/>
    <x v="28"/>
    <x v="0"/>
    <s v="Faisalabad"/>
    <x v="0"/>
    <x v="0"/>
    <x v="2"/>
    <n v="1"/>
    <n v="13597.44"/>
    <n v="0.05"/>
    <n v="12917.57"/>
    <n v="8221.11"/>
    <n v="4696.46"/>
    <s v="Bank Transfer"/>
    <n v="0.36357147667866324"/>
  </r>
  <r>
    <s v="ORD-2025-0597"/>
    <x v="1"/>
    <x v="1"/>
    <s v="Peshawar"/>
    <x v="0"/>
    <x v="1"/>
    <x v="7"/>
    <n v="3"/>
    <n v="99084.02"/>
    <n v="0"/>
    <n v="297252.06"/>
    <n v="205585.97"/>
    <n v="91666.09"/>
    <s v="Credit Card"/>
    <n v="0.30837831704177254"/>
  </r>
  <r>
    <s v="ORD-2025-0598"/>
    <x v="288"/>
    <x v="0"/>
    <s v="Lahore"/>
    <x v="1"/>
    <x v="3"/>
    <x v="2"/>
    <n v="5"/>
    <n v="27015.4"/>
    <n v="0.05"/>
    <n v="128323.15"/>
    <n v="89046.02"/>
    <n v="39277.129999999997"/>
    <s v="Bank Transfer"/>
    <n v="0.30607984607609773"/>
  </r>
  <r>
    <s v="ORD-2025-0599"/>
    <x v="143"/>
    <x v="2"/>
    <s v="Hyderabad"/>
    <x v="0"/>
    <x v="15"/>
    <x v="0"/>
    <n v="5"/>
    <n v="51600.46"/>
    <n v="0.05"/>
    <n v="245102.18"/>
    <n v="187243.77"/>
    <n v="57858.41"/>
    <s v="Credit Card"/>
    <n v="0.23605832473623858"/>
  </r>
  <r>
    <s v="ORD-2025-0600"/>
    <x v="167"/>
    <x v="2"/>
    <s v="Karachi"/>
    <x v="0"/>
    <x v="15"/>
    <x v="0"/>
    <n v="3"/>
    <n v="50239.26"/>
    <n v="0"/>
    <n v="150717.78"/>
    <n v="107053.28"/>
    <n v="43664.5"/>
    <s v="Credit Card"/>
    <n v="0.28971034472508816"/>
  </r>
  <r>
    <s v="ORD-2025-0601"/>
    <x v="267"/>
    <x v="2"/>
    <s v="Karachi"/>
    <x v="2"/>
    <x v="11"/>
    <x v="7"/>
    <n v="5"/>
    <n v="42425.77"/>
    <n v="0.15"/>
    <n v="180309.52"/>
    <n v="156224.57"/>
    <n v="24084.95"/>
    <s v="Bank Transfer"/>
    <n v="0.1335755871348335"/>
  </r>
  <r>
    <s v="ORD-2025-0602"/>
    <x v="289"/>
    <x v="2"/>
    <s v="Hyderabad"/>
    <x v="0"/>
    <x v="0"/>
    <x v="2"/>
    <n v="4"/>
    <n v="13486.04"/>
    <n v="0"/>
    <n v="53944.160000000003"/>
    <n v="33733.040000000001"/>
    <n v="20211.12"/>
    <s v="Digital Wallet"/>
    <n v="0.37466743387977491"/>
  </r>
  <r>
    <s v="ORD-2025-0603"/>
    <x v="290"/>
    <x v="0"/>
    <s v="Faisalabad"/>
    <x v="1"/>
    <x v="4"/>
    <x v="5"/>
    <n v="8"/>
    <n v="24335.39"/>
    <n v="0.1"/>
    <n v="175214.81"/>
    <n v="123775.53"/>
    <n v="51439.28"/>
    <s v="Bank Transfer"/>
    <n v="0.29357837959017274"/>
  </r>
  <r>
    <s v="ORD-2025-0604"/>
    <x v="291"/>
    <x v="1"/>
    <s v="Rawalpindi"/>
    <x v="1"/>
    <x v="3"/>
    <x v="5"/>
    <n v="1"/>
    <n v="25480.82"/>
    <n v="0.05"/>
    <n v="24206.78"/>
    <n v="18034.47"/>
    <n v="6172.31"/>
    <s v="Bank Transfer"/>
    <n v="0.25498269493092435"/>
  </r>
  <r>
    <s v="ORD-2025-0605"/>
    <x v="275"/>
    <x v="1"/>
    <s v="Islamabad"/>
    <x v="2"/>
    <x v="5"/>
    <x v="4"/>
    <n v="4"/>
    <n v="26753.14"/>
    <n v="0.05"/>
    <n v="101661.93"/>
    <n v="76776.47"/>
    <n v="24885.46"/>
    <s v="Bank Transfer"/>
    <n v="0.24478642103292747"/>
  </r>
  <r>
    <s v="ORD-2025-0606"/>
    <x v="270"/>
    <x v="1"/>
    <s v="Islamabad"/>
    <x v="0"/>
    <x v="0"/>
    <x v="4"/>
    <n v="6"/>
    <n v="13683.23"/>
    <n v="0.05"/>
    <n v="77994.41"/>
    <n v="49583.3"/>
    <n v="28411.11"/>
    <s v="Cash"/>
    <n v="0.36427110609593688"/>
  </r>
  <r>
    <s v="ORD-2025-0607"/>
    <x v="0"/>
    <x v="1"/>
    <s v="Rawalpindi"/>
    <x v="3"/>
    <x v="6"/>
    <x v="2"/>
    <n v="8"/>
    <n v="4487.49"/>
    <n v="0"/>
    <n v="35899.919999999998"/>
    <n v="16301.05"/>
    <n v="19598.87"/>
    <s v="Bank Transfer"/>
    <n v="0.54593074302115441"/>
  </r>
  <r>
    <s v="ORD-2025-0608"/>
    <x v="28"/>
    <x v="2"/>
    <s v="Hyderabad"/>
    <x v="2"/>
    <x v="7"/>
    <x v="5"/>
    <n v="6"/>
    <n v="8757.24"/>
    <n v="0.15"/>
    <n v="44661.919999999998"/>
    <n v="29503.74"/>
    <n v="15158.18"/>
    <s v="Cash"/>
    <n v="0.33939830620806272"/>
  </r>
  <r>
    <s v="ORD-2025-0609"/>
    <x v="292"/>
    <x v="2"/>
    <s v="Karachi"/>
    <x v="3"/>
    <x v="6"/>
    <x v="3"/>
    <n v="8"/>
    <n v="4104.17"/>
    <n v="0.05"/>
    <n v="31191.69"/>
    <n v="16360.72"/>
    <n v="14830.97"/>
    <s v="Credit Card"/>
    <n v="0.47547824436572689"/>
  </r>
  <r>
    <s v="ORD-2025-0611"/>
    <x v="93"/>
    <x v="2"/>
    <s v="Quetta"/>
    <x v="0"/>
    <x v="0"/>
    <x v="6"/>
    <n v="7"/>
    <n v="13683.23"/>
    <n v="0.05"/>
    <n v="90993.48"/>
    <n v="57163.17"/>
    <n v="33830.31"/>
    <s v="Bank Transfer"/>
    <n v="0.37178828636952888"/>
  </r>
  <r>
    <s v="ORD-2025-0612"/>
    <x v="174"/>
    <x v="2"/>
    <s v="Hyderabad"/>
    <x v="1"/>
    <x v="4"/>
    <x v="7"/>
    <n v="2"/>
    <n v="23385.53"/>
    <n v="0.05"/>
    <n v="44432.51"/>
    <n v="32292.26"/>
    <n v="12140.25"/>
    <s v="Bank Transfer"/>
    <n v="0.27322899381556431"/>
  </r>
  <r>
    <s v="ORD-2025-0613"/>
    <x v="162"/>
    <x v="1"/>
    <s v="Peshawar"/>
    <x v="3"/>
    <x v="14"/>
    <x v="4"/>
    <n v="3"/>
    <n v="5479.15"/>
    <n v="0.1"/>
    <n v="14793.7"/>
    <n v="7905.81"/>
    <n v="6887.89"/>
    <s v="Digital Wallet"/>
    <n v="0.46559616593549957"/>
  </r>
  <r>
    <s v="ORD-2025-0614"/>
    <x v="174"/>
    <x v="0"/>
    <s v="Faisalabad"/>
    <x v="0"/>
    <x v="15"/>
    <x v="5"/>
    <n v="2"/>
    <n v="47895.07"/>
    <n v="0.15"/>
    <n v="81421.62"/>
    <n v="75482.64"/>
    <n v="5938.98"/>
    <s v="Digital Wallet"/>
    <n v="7.2941068969150938E-2"/>
  </r>
  <r>
    <s v="ORD-2025-0615"/>
    <x v="181"/>
    <x v="0"/>
    <s v="Multan"/>
    <x v="2"/>
    <x v="5"/>
    <x v="4"/>
    <n v="3"/>
    <n v="30015.21"/>
    <n v="0.05"/>
    <n v="85543.35"/>
    <n v="57499.93"/>
    <n v="28043.42"/>
    <s v="Bank Transfer"/>
    <n v="0.32782700233273537"/>
  </r>
  <r>
    <s v="ORD-2025-0616"/>
    <x v="293"/>
    <x v="2"/>
    <s v="Quetta"/>
    <x v="3"/>
    <x v="6"/>
    <x v="7"/>
    <n v="1"/>
    <n v="4395.7"/>
    <n v="0"/>
    <n v="4395.7"/>
    <n v="2075.61"/>
    <n v="2320.09"/>
    <s v="Cash"/>
    <n v="0.52780899515435542"/>
  </r>
  <r>
    <s v="ORD-2025-0617"/>
    <x v="294"/>
    <x v="0"/>
    <s v="Multan"/>
    <x v="1"/>
    <x v="4"/>
    <x v="0"/>
    <n v="3"/>
    <n v="24468.2"/>
    <n v="0.15"/>
    <n v="62393.91"/>
    <n v="48117.4"/>
    <n v="14276.51"/>
    <s v="Bank Transfer"/>
    <n v="0.2288125555843511"/>
  </r>
  <r>
    <s v="ORD-2025-0618"/>
    <x v="66"/>
    <x v="2"/>
    <s v="Karachi"/>
    <x v="1"/>
    <x v="4"/>
    <x v="0"/>
    <n v="7"/>
    <n v="25943.919999999998"/>
    <n v="0.15"/>
    <n v="154366.32"/>
    <n v="112592.34"/>
    <n v="41773.980000000003"/>
    <s v="Bank Transfer"/>
    <n v="0.2706158960063309"/>
  </r>
  <r>
    <s v="ORD-2025-0619"/>
    <x v="143"/>
    <x v="0"/>
    <s v="Multan"/>
    <x v="0"/>
    <x v="0"/>
    <x v="5"/>
    <n v="3"/>
    <n v="14689.44"/>
    <n v="0"/>
    <n v="44068.32"/>
    <n v="24412.49"/>
    <n v="19655.830000000002"/>
    <s v="Bank Transfer"/>
    <n v="0.44603084483365835"/>
  </r>
  <r>
    <s v="ORD-2025-0620"/>
    <x v="295"/>
    <x v="1"/>
    <s v="Islamabad"/>
    <x v="1"/>
    <x v="3"/>
    <x v="0"/>
    <n v="7"/>
    <n v="27588.59"/>
    <n v="0.05"/>
    <n v="183464.12"/>
    <n v="122649.67"/>
    <n v="60814.45"/>
    <s v="Credit Card"/>
    <n v="0.3314787109326881"/>
  </r>
  <r>
    <s v="ORD-2025-0621"/>
    <x v="51"/>
    <x v="0"/>
    <s v="Lahore"/>
    <x v="0"/>
    <x v="1"/>
    <x v="2"/>
    <n v="6"/>
    <n v="97482.36"/>
    <n v="0.15"/>
    <n v="497160.04"/>
    <n v="418604.49"/>
    <n v="78555.55"/>
    <s v="Cash"/>
    <n v="0.15800857607139948"/>
  </r>
  <r>
    <s v="ORD-2025-0622"/>
    <x v="256"/>
    <x v="0"/>
    <s v="Multan"/>
    <x v="1"/>
    <x v="12"/>
    <x v="1"/>
    <n v="1"/>
    <n v="31083.09"/>
    <n v="0.05"/>
    <n v="29528.94"/>
    <n v="22412.5"/>
    <n v="7116.44"/>
    <s v="Bank Transfer"/>
    <n v="0.24099883030003785"/>
  </r>
  <r>
    <s v="ORD-2025-0623"/>
    <x v="296"/>
    <x v="1"/>
    <s v="Islamabad"/>
    <x v="2"/>
    <x v="5"/>
    <x v="0"/>
    <n v="4"/>
    <n v="30011.98"/>
    <n v="0.1"/>
    <n v="108043.13"/>
    <n v="76983.44"/>
    <n v="31059.69"/>
    <s v="Digital Wallet"/>
    <n v="0.28747491858112584"/>
  </r>
  <r>
    <s v="ORD-2025-0624"/>
    <x v="163"/>
    <x v="2"/>
    <s v="Karachi"/>
    <x v="0"/>
    <x v="1"/>
    <x v="7"/>
    <n v="1"/>
    <n v="91698.51"/>
    <n v="0.05"/>
    <n v="87113.58"/>
    <n v="69249.399999999994"/>
    <n v="17864.18"/>
    <s v="Bank Transfer"/>
    <n v="0.20506768290317079"/>
  </r>
  <r>
    <s v="ORD-2025-0625"/>
    <x v="30"/>
    <x v="1"/>
    <s v="Peshawar"/>
    <x v="1"/>
    <x v="2"/>
    <x v="4"/>
    <n v="2"/>
    <n v="129002.93"/>
    <n v="0.15"/>
    <n v="219304.98"/>
    <n v="197952.96"/>
    <n v="21352.02"/>
    <s v="Credit Card"/>
    <n v="9.7362221323017833E-2"/>
  </r>
  <r>
    <s v="ORD-2025-0626"/>
    <x v="181"/>
    <x v="1"/>
    <s v="Islamabad"/>
    <x v="0"/>
    <x v="15"/>
    <x v="3"/>
    <n v="2"/>
    <n v="48486.76"/>
    <n v="0.05"/>
    <n v="92124.84"/>
    <n v="74679.98"/>
    <n v="17444.86"/>
    <s v="Cash"/>
    <n v="0.18936108871396684"/>
  </r>
  <r>
    <s v="ORD-2025-0627"/>
    <x v="34"/>
    <x v="1"/>
    <s v="Peshawar"/>
    <x v="0"/>
    <x v="15"/>
    <x v="6"/>
    <n v="2"/>
    <n v="55398.96"/>
    <n v="0"/>
    <n v="110797.92"/>
    <n v="71148.52"/>
    <n v="39649.4"/>
    <s v="Cash"/>
    <n v="0.35785328822057311"/>
  </r>
  <r>
    <s v="ORD-2025-0628"/>
    <x v="297"/>
    <x v="1"/>
    <s v="Peshawar"/>
    <x v="2"/>
    <x v="5"/>
    <x v="2"/>
    <n v="3"/>
    <n v="29277.94"/>
    <n v="0"/>
    <n v="87833.82"/>
    <n v="55652.21"/>
    <n v="32181.61"/>
    <s v="Bank Transfer"/>
    <n v="0.36639201164198482"/>
  </r>
  <r>
    <s v="ORD-2025-0629"/>
    <x v="280"/>
    <x v="1"/>
    <s v="Peshawar"/>
    <x v="2"/>
    <x v="11"/>
    <x v="4"/>
    <n v="2"/>
    <n v="45198.76"/>
    <n v="0"/>
    <n v="90397.52"/>
    <n v="62435.16"/>
    <n v="27962.36"/>
    <s v="Credit Card"/>
    <n v="0.30932662754464946"/>
  </r>
  <r>
    <s v="ORD-2025-0631"/>
    <x v="117"/>
    <x v="2"/>
    <s v="Hyderabad"/>
    <x v="3"/>
    <x v="6"/>
    <x v="5"/>
    <n v="4"/>
    <n v="4137.8900000000003"/>
    <n v="0.05"/>
    <n v="15723.98"/>
    <n v="8220.69"/>
    <n v="7503.29"/>
    <s v="Digital Wallet"/>
    <n v="0.47718770947304689"/>
  </r>
  <r>
    <s v="ORD-2025-0632"/>
    <x v="217"/>
    <x v="2"/>
    <s v="Quetta"/>
    <x v="1"/>
    <x v="2"/>
    <x v="4"/>
    <n v="2"/>
    <n v="131287.29"/>
    <n v="0"/>
    <n v="262574.58"/>
    <n v="201380.8"/>
    <n v="61193.78"/>
    <s v="Digital Wallet"/>
    <n v="0.23305294823284112"/>
  </r>
  <r>
    <s v="ORD-2025-0633"/>
    <x v="37"/>
    <x v="1"/>
    <s v="Peshawar"/>
    <x v="3"/>
    <x v="8"/>
    <x v="2"/>
    <n v="7"/>
    <n v="10927.36"/>
    <n v="0"/>
    <n v="76491.520000000004"/>
    <n v="46984.79"/>
    <n v="29506.73"/>
    <s v="Credit Card"/>
    <n v="0.38575164933315481"/>
  </r>
  <r>
    <s v="ORD-2025-0634"/>
    <x v="298"/>
    <x v="1"/>
    <s v="Peshawar"/>
    <x v="3"/>
    <x v="13"/>
    <x v="5"/>
    <n v="7"/>
    <n v="6435.58"/>
    <n v="0.15"/>
    <n v="38291.699999999997"/>
    <n v="25637.38"/>
    <n v="12654.32"/>
    <s v="Digital Wallet"/>
    <n v="0.3304716165644252"/>
  </r>
  <r>
    <s v="ORD-2025-0635"/>
    <x v="260"/>
    <x v="2"/>
    <s v="Quetta"/>
    <x v="0"/>
    <x v="1"/>
    <x v="1"/>
    <n v="2"/>
    <n v="89993.81"/>
    <n v="0"/>
    <n v="179987.62"/>
    <n v="135143.76999999999"/>
    <n v="44843.85"/>
    <s v="Cash"/>
    <n v="0.24914963595829534"/>
  </r>
  <r>
    <s v="ORD-2025-0637"/>
    <x v="257"/>
    <x v="2"/>
    <s v="Quetta"/>
    <x v="1"/>
    <x v="12"/>
    <x v="5"/>
    <n v="8"/>
    <n v="30930.43"/>
    <n v="0.05"/>
    <n v="235071.27"/>
    <n v="180765.7"/>
    <n v="54305.57"/>
    <s v="Cash"/>
    <n v="0.23101746972311846"/>
  </r>
  <r>
    <s v="ORD-2025-0638"/>
    <x v="127"/>
    <x v="1"/>
    <s v="Peshawar"/>
    <x v="0"/>
    <x v="10"/>
    <x v="2"/>
    <n v="8"/>
    <n v="190271.98"/>
    <n v="0"/>
    <n v="1522175.84"/>
    <n v="1132346.97"/>
    <n v="389828.87"/>
    <s v="Credit Card"/>
    <n v="0.25609976177259519"/>
  </r>
  <r>
    <s v="ORD-2025-0639"/>
    <x v="189"/>
    <x v="2"/>
    <s v="Quetta"/>
    <x v="0"/>
    <x v="10"/>
    <x v="7"/>
    <n v="8"/>
    <n v="193664.85"/>
    <n v="0"/>
    <n v="1549318.8"/>
    <n v="1125264.1200000001"/>
    <n v="424054.68"/>
    <s v="Bank Transfer"/>
    <n v="0.27370395298888772"/>
  </r>
  <r>
    <s v="ORD-2025-0640"/>
    <x v="7"/>
    <x v="0"/>
    <s v="Faisalabad"/>
    <x v="0"/>
    <x v="10"/>
    <x v="1"/>
    <n v="7"/>
    <n v="196251.72"/>
    <n v="0"/>
    <n v="1373762.04"/>
    <n v="990872.97"/>
    <n v="382889.07"/>
    <s v="Digital Wallet"/>
    <n v="0.27871571556890595"/>
  </r>
  <r>
    <s v="ORD-2025-0641"/>
    <x v="148"/>
    <x v="2"/>
    <s v="Karachi"/>
    <x v="0"/>
    <x v="1"/>
    <x v="4"/>
    <n v="5"/>
    <n v="97662.79"/>
    <n v="0"/>
    <n v="488313.95"/>
    <n v="341497.21"/>
    <n v="146816.74"/>
    <s v="Digital Wallet"/>
    <n v="0.30066054840333761"/>
  </r>
  <r>
    <s v="ORD-2025-0642"/>
    <x v="254"/>
    <x v="2"/>
    <s v="Karachi"/>
    <x v="3"/>
    <x v="14"/>
    <x v="4"/>
    <n v="8"/>
    <n v="5251.8"/>
    <n v="0"/>
    <n v="42014.400000000001"/>
    <n v="21718.11"/>
    <n v="20296.29"/>
    <s v="Digital Wallet"/>
    <n v="0.48307937278647323"/>
  </r>
  <r>
    <s v="ORD-2025-0643"/>
    <x v="81"/>
    <x v="0"/>
    <s v="Faisalabad"/>
    <x v="1"/>
    <x v="3"/>
    <x v="2"/>
    <n v="6"/>
    <n v="25105.35"/>
    <n v="0.1"/>
    <n v="135568.89000000001"/>
    <n v="105101.1"/>
    <n v="30467.79"/>
    <s v="Cash"/>
    <n v="0.22474027780267286"/>
  </r>
  <r>
    <s v="ORD-2025-0644"/>
    <x v="133"/>
    <x v="0"/>
    <s v="Faisalabad"/>
    <x v="3"/>
    <x v="13"/>
    <x v="3"/>
    <n v="7"/>
    <n v="6338.95"/>
    <n v="0.05"/>
    <n v="42154.02"/>
    <n v="25170.639999999999"/>
    <n v="16983.38"/>
    <s v="Bank Transfer"/>
    <n v="0.40288873991140117"/>
  </r>
  <r>
    <s v="ORD-2025-0645"/>
    <x v="299"/>
    <x v="1"/>
    <s v="Peshawar"/>
    <x v="1"/>
    <x v="2"/>
    <x v="2"/>
    <n v="2"/>
    <n v="142969.1"/>
    <n v="0"/>
    <n v="285938.2"/>
    <n v="200713.58"/>
    <n v="85224.62"/>
    <s v="Cash"/>
    <n v="0.29805258618820429"/>
  </r>
  <r>
    <s v="ORD-2025-0646"/>
    <x v="132"/>
    <x v="2"/>
    <s v="Quetta"/>
    <x v="3"/>
    <x v="14"/>
    <x v="1"/>
    <n v="5"/>
    <n v="4800.97"/>
    <n v="0.05"/>
    <n v="22804.61"/>
    <n v="13650.65"/>
    <n v="9153.9599999999991"/>
    <s v="Digital Wallet"/>
    <n v="0.40140831174047698"/>
  </r>
  <r>
    <s v="ORD-2025-0647"/>
    <x v="192"/>
    <x v="2"/>
    <s v="Quetta"/>
    <x v="0"/>
    <x v="15"/>
    <x v="2"/>
    <n v="2"/>
    <n v="53587.99"/>
    <n v="0"/>
    <n v="107175.98"/>
    <n v="72526.789999999994"/>
    <n v="34649.19"/>
    <s v="Credit Card"/>
    <n v="0.32329249520274977"/>
  </r>
  <r>
    <s v="ORD-2025-0648"/>
    <x v="3"/>
    <x v="0"/>
    <s v="Faisalabad"/>
    <x v="1"/>
    <x v="4"/>
    <x v="3"/>
    <n v="4"/>
    <n v="24488.05"/>
    <n v="0"/>
    <n v="97952.2"/>
    <n v="65021.84"/>
    <n v="32930.36"/>
    <s v="Bank Transfer"/>
    <n v="0.33618805907371146"/>
  </r>
  <r>
    <s v="ORD-2025-0649"/>
    <x v="159"/>
    <x v="2"/>
    <s v="Karachi"/>
    <x v="1"/>
    <x v="4"/>
    <x v="0"/>
    <n v="4"/>
    <n v="24988.32"/>
    <n v="0"/>
    <n v="99953.279999999999"/>
    <n v="64479.14"/>
    <n v="35474.14"/>
    <s v="Bank Transfer"/>
    <n v="0.35490721264974995"/>
  </r>
  <r>
    <s v="ORD-2025-0650"/>
    <x v="219"/>
    <x v="2"/>
    <s v="Karachi"/>
    <x v="3"/>
    <x v="14"/>
    <x v="4"/>
    <n v="4"/>
    <n v="5072.97"/>
    <n v="0"/>
    <n v="20291.88"/>
    <n v="10968.56"/>
    <n v="9323.32"/>
    <s v="Digital Wallet"/>
    <n v="0.45946063154325767"/>
  </r>
  <r>
    <s v="ORD-2025-0651"/>
    <x v="262"/>
    <x v="0"/>
    <s v="Multan"/>
    <x v="1"/>
    <x v="12"/>
    <x v="5"/>
    <n v="7"/>
    <n v="32484.15"/>
    <n v="0.1"/>
    <n v="204650.15"/>
    <n v="158456.95000000001"/>
    <n v="46193.2"/>
    <s v="Cash"/>
    <n v="0.22571788977432949"/>
  </r>
  <r>
    <s v="ORD-2025-0652"/>
    <x v="300"/>
    <x v="0"/>
    <s v="Multan"/>
    <x v="2"/>
    <x v="7"/>
    <x v="1"/>
    <n v="4"/>
    <n v="8718.7000000000007"/>
    <n v="0.15"/>
    <n v="29643.58"/>
    <n v="20299.080000000002"/>
    <n v="9344.5"/>
    <s v="Cash"/>
    <n v="0.31522845756146861"/>
  </r>
  <r>
    <s v="ORD-2025-0653"/>
    <x v="301"/>
    <x v="0"/>
    <s v="Lahore"/>
    <x v="1"/>
    <x v="4"/>
    <x v="1"/>
    <n v="3"/>
    <n v="23482.27"/>
    <n v="0.15"/>
    <n v="59879.79"/>
    <n v="48251.85"/>
    <n v="11627.94"/>
    <s v="Digital Wallet"/>
    <n v="0.19418805576973466"/>
  </r>
  <r>
    <s v="ORD-2025-0654"/>
    <x v="225"/>
    <x v="2"/>
    <s v="Karachi"/>
    <x v="2"/>
    <x v="7"/>
    <x v="3"/>
    <n v="5"/>
    <n v="8940.25"/>
    <n v="0.15"/>
    <n v="37996.06"/>
    <n v="24040.400000000001"/>
    <n v="13955.66"/>
    <s v="Digital Wallet"/>
    <n v="0.36729229293774146"/>
  </r>
  <r>
    <s v="ORD-2025-0655"/>
    <x v="302"/>
    <x v="1"/>
    <s v="Islamabad"/>
    <x v="2"/>
    <x v="5"/>
    <x v="1"/>
    <n v="1"/>
    <n v="27339.87"/>
    <n v="0.05"/>
    <n v="25972.880000000001"/>
    <n v="19047.330000000002"/>
    <n v="6925.55"/>
    <s v="Digital Wallet"/>
    <n v="0.2666454393967862"/>
  </r>
  <r>
    <s v="ORD-2025-0656"/>
    <x v="297"/>
    <x v="0"/>
    <s v="Lahore"/>
    <x v="2"/>
    <x v="5"/>
    <x v="5"/>
    <n v="5"/>
    <n v="26842.12"/>
    <n v="0.05"/>
    <n v="127500.07"/>
    <n v="97401.3"/>
    <n v="30098.77"/>
    <s v="Cash"/>
    <n v="0.23606865470740526"/>
  </r>
  <r>
    <s v="ORD-2025-0657"/>
    <x v="303"/>
    <x v="0"/>
    <s v="Faisalabad"/>
    <x v="0"/>
    <x v="10"/>
    <x v="2"/>
    <n v="2"/>
    <n v="179491.58"/>
    <n v="0.05"/>
    <n v="341034"/>
    <n v="292719.37"/>
    <n v="48314.63"/>
    <s v="Cash"/>
    <n v="0.14167100640991806"/>
  </r>
  <r>
    <s v="ORD-2025-0658"/>
    <x v="252"/>
    <x v="2"/>
    <s v="Quetta"/>
    <x v="2"/>
    <x v="5"/>
    <x v="4"/>
    <n v="2"/>
    <n v="28823.64"/>
    <n v="0.1"/>
    <n v="51882.55"/>
    <n v="39341.61"/>
    <n v="12540.94"/>
    <s v="Digital Wallet"/>
    <n v="0.24171788009648715"/>
  </r>
  <r>
    <s v="ORD-2025-0660"/>
    <x v="133"/>
    <x v="1"/>
    <s v="Islamabad"/>
    <x v="2"/>
    <x v="5"/>
    <x v="7"/>
    <n v="5"/>
    <n v="28224.01"/>
    <n v="0.05"/>
    <n v="134064.04999999999"/>
    <n v="97888.28"/>
    <n v="36175.769999999997"/>
    <s v="Bank Transfer"/>
    <n v="0.26983945360445249"/>
  </r>
  <r>
    <s v="ORD-2025-0661"/>
    <x v="69"/>
    <x v="0"/>
    <s v="Lahore"/>
    <x v="1"/>
    <x v="4"/>
    <x v="2"/>
    <n v="8"/>
    <n v="25216.33"/>
    <n v="0.05"/>
    <n v="191644.11"/>
    <n v="130389.23"/>
    <n v="61254.879999999997"/>
    <s v="Digital Wallet"/>
    <n v="0.31962829434204892"/>
  </r>
  <r>
    <s v="ORD-2025-0662"/>
    <x v="269"/>
    <x v="0"/>
    <s v="Faisalabad"/>
    <x v="1"/>
    <x v="2"/>
    <x v="3"/>
    <n v="1"/>
    <n v="142375.82"/>
    <n v="0.15"/>
    <n v="121019.45"/>
    <n v="103618.52"/>
    <n v="17400.93"/>
    <s v="Bank Transfer"/>
    <n v="0.14378622609836683"/>
  </r>
  <r>
    <s v="ORD-2025-0663"/>
    <x v="227"/>
    <x v="0"/>
    <s v="Faisalabad"/>
    <x v="1"/>
    <x v="3"/>
    <x v="6"/>
    <n v="2"/>
    <n v="27150.81"/>
    <n v="0"/>
    <n v="54301.62"/>
    <n v="37081.269999999997"/>
    <n v="17220.349999999999"/>
    <s v="Digital Wallet"/>
    <n v="0.31712405633570412"/>
  </r>
  <r>
    <s v="ORD-2025-0664"/>
    <x v="104"/>
    <x v="2"/>
    <s v="Hyderabad"/>
    <x v="0"/>
    <x v="1"/>
    <x v="2"/>
    <n v="5"/>
    <n v="87736.89"/>
    <n v="0"/>
    <n v="438684.45"/>
    <n v="351598.2"/>
    <n v="87086.25"/>
    <s v="Digital Wallet"/>
    <n v="0.19851683824215788"/>
  </r>
  <r>
    <s v="ORD-2025-0665"/>
    <x v="205"/>
    <x v="1"/>
    <s v="Rawalpindi"/>
    <x v="0"/>
    <x v="15"/>
    <x v="5"/>
    <n v="8"/>
    <n v="53971.360000000001"/>
    <n v="0.05"/>
    <n v="410182.34"/>
    <n v="297903.37"/>
    <n v="112278.97"/>
    <s v="Bank Transfer"/>
    <n v="0.27372941019352515"/>
  </r>
  <r>
    <s v="ORD-2025-0666"/>
    <x v="292"/>
    <x v="0"/>
    <s v="Lahore"/>
    <x v="1"/>
    <x v="4"/>
    <x v="5"/>
    <n v="6"/>
    <n v="24316.79"/>
    <n v="0"/>
    <n v="145900.74"/>
    <n v="97012.47"/>
    <n v="48888.27"/>
    <s v="Digital Wallet"/>
    <n v="0.33507897218341731"/>
  </r>
  <r>
    <s v="ORD-2025-0667"/>
    <x v="117"/>
    <x v="0"/>
    <s v="Lahore"/>
    <x v="0"/>
    <x v="15"/>
    <x v="5"/>
    <n v="4"/>
    <n v="53067.42"/>
    <n v="0.05"/>
    <n v="201656.2"/>
    <n v="147504.76999999999"/>
    <n v="54151.43"/>
    <s v="Credit Card"/>
    <n v="0.26853342470997665"/>
  </r>
  <r>
    <s v="ORD-2025-0668"/>
    <x v="304"/>
    <x v="0"/>
    <s v="Multan"/>
    <x v="2"/>
    <x v="7"/>
    <x v="2"/>
    <n v="6"/>
    <n v="8434.0300000000007"/>
    <n v="0.15"/>
    <n v="43013.55"/>
    <n v="28792.76"/>
    <n v="14220.79"/>
    <s v="Bank Transfer"/>
    <n v="0.33061186533080855"/>
  </r>
  <r>
    <s v="ORD-2025-0669"/>
    <x v="118"/>
    <x v="1"/>
    <s v="Islamabad"/>
    <x v="3"/>
    <x v="8"/>
    <x v="3"/>
    <n v="3"/>
    <n v="11304.03"/>
    <n v="0.05"/>
    <n v="32216.49"/>
    <n v="20204.59"/>
    <n v="12011.9"/>
    <s v="Cash"/>
    <n v="0.37284943207655458"/>
  </r>
  <r>
    <s v="ORD-2025-0670"/>
    <x v="145"/>
    <x v="1"/>
    <s v="Peshawar"/>
    <x v="2"/>
    <x v="11"/>
    <x v="1"/>
    <n v="8"/>
    <n v="40924.07"/>
    <n v="0.15"/>
    <n v="278283.68"/>
    <n v="255347.78"/>
    <n v="22935.9"/>
    <s v="Digital Wallet"/>
    <n v="8.2419134316464415E-2"/>
  </r>
  <r>
    <s v="ORD-2025-0671"/>
    <x v="296"/>
    <x v="0"/>
    <s v="Faisalabad"/>
    <x v="2"/>
    <x v="11"/>
    <x v="1"/>
    <n v="6"/>
    <n v="40730.449999999997"/>
    <n v="0.1"/>
    <n v="219944.43"/>
    <n v="181947.9"/>
    <n v="37996.53"/>
    <s v="Digital Wallet"/>
    <n v="0.17275513637694759"/>
  </r>
  <r>
    <s v="ORD-2025-0672"/>
    <x v="137"/>
    <x v="0"/>
    <s v="Faisalabad"/>
    <x v="0"/>
    <x v="1"/>
    <x v="1"/>
    <n v="4"/>
    <n v="87444.81"/>
    <n v="0.05"/>
    <n v="332290.28000000003"/>
    <n v="269322.8"/>
    <n v="62967.48"/>
    <s v="Credit Card"/>
    <n v="0.18949540143033974"/>
  </r>
  <r>
    <s v="ORD-2025-0673"/>
    <x v="294"/>
    <x v="2"/>
    <s v="Karachi"/>
    <x v="2"/>
    <x v="9"/>
    <x v="4"/>
    <n v="4"/>
    <n v="37503.449999999997"/>
    <n v="0.05"/>
    <n v="142513.10999999999"/>
    <n v="106649.13"/>
    <n v="35863.980000000003"/>
    <s v="Bank Transfer"/>
    <n v="0.2516539004727355"/>
  </r>
  <r>
    <s v="ORD-2025-0674"/>
    <x v="279"/>
    <x v="1"/>
    <s v="Peshawar"/>
    <x v="3"/>
    <x v="6"/>
    <x v="7"/>
    <n v="6"/>
    <n v="4255.71"/>
    <n v="0.15"/>
    <n v="21704.12"/>
    <n v="12626.1"/>
    <n v="9078.02"/>
    <s v="Credit Card"/>
    <n v="0.41826252342873155"/>
  </r>
  <r>
    <s v="ORD-2025-0675"/>
    <x v="156"/>
    <x v="2"/>
    <s v="Quetta"/>
    <x v="3"/>
    <x v="6"/>
    <x v="0"/>
    <n v="7"/>
    <n v="4340.08"/>
    <n v="0.15"/>
    <n v="25823.48"/>
    <n v="14873.51"/>
    <n v="10949.97"/>
    <s v="Cash"/>
    <n v="0.42403154028814083"/>
  </r>
  <r>
    <s v="ORD-2025-0676"/>
    <x v="64"/>
    <x v="1"/>
    <s v="Rawalpindi"/>
    <x v="2"/>
    <x v="7"/>
    <x v="6"/>
    <n v="6"/>
    <n v="9175.57"/>
    <n v="0.15"/>
    <n v="46795.41"/>
    <n v="30508.52"/>
    <n v="16286.89"/>
    <s v="Cash"/>
    <n v="0.34804460522944447"/>
  </r>
  <r>
    <s v="ORD-2025-0677"/>
    <x v="302"/>
    <x v="2"/>
    <s v="Quetta"/>
    <x v="3"/>
    <x v="8"/>
    <x v="6"/>
    <n v="7"/>
    <n v="11815.12"/>
    <n v="0"/>
    <n v="82705.84"/>
    <n v="47218.26"/>
    <n v="35487.58"/>
    <s v="Credit Card"/>
    <n v="0.4290819124743791"/>
  </r>
  <r>
    <s v="ORD-2025-0678"/>
    <x v="229"/>
    <x v="2"/>
    <s v="Karachi"/>
    <x v="3"/>
    <x v="8"/>
    <x v="5"/>
    <n v="8"/>
    <n v="10822.73"/>
    <n v="0.05"/>
    <n v="82252.75"/>
    <n v="53025.33"/>
    <n v="29227.42"/>
    <s v="Bank Transfer"/>
    <n v="0.355336690870518"/>
  </r>
  <r>
    <s v="ORD-2025-0679"/>
    <x v="96"/>
    <x v="1"/>
    <s v="Rawalpindi"/>
    <x v="0"/>
    <x v="1"/>
    <x v="4"/>
    <n v="8"/>
    <n v="97471.12"/>
    <n v="0.05"/>
    <n v="740780.51"/>
    <n v="556157.11"/>
    <n v="184623.4"/>
    <s v="Bank Transfer"/>
    <n v="0.24922820931128439"/>
  </r>
  <r>
    <s v="ORD-2025-0680"/>
    <x v="187"/>
    <x v="0"/>
    <s v="Faisalabad"/>
    <x v="1"/>
    <x v="4"/>
    <x v="7"/>
    <n v="3"/>
    <n v="23776.93"/>
    <n v="0.05"/>
    <n v="67764.25"/>
    <n v="48511.88"/>
    <n v="19252.37"/>
    <s v="Cash"/>
    <n v="0.28410806583117204"/>
  </r>
  <r>
    <s v="ORD-2025-0681"/>
    <x v="250"/>
    <x v="1"/>
    <s v="Islamabad"/>
    <x v="0"/>
    <x v="1"/>
    <x v="1"/>
    <n v="3"/>
    <n v="85167.89"/>
    <n v="0.05"/>
    <n v="242728.49"/>
    <n v="200215.56"/>
    <n v="42512.93"/>
    <s v="Cash"/>
    <n v="0.17514602426769105"/>
  </r>
  <r>
    <s v="ORD-2025-0682"/>
    <x v="305"/>
    <x v="2"/>
    <s v="Karachi"/>
    <x v="3"/>
    <x v="8"/>
    <x v="0"/>
    <n v="8"/>
    <n v="11422.28"/>
    <n v="0"/>
    <n v="91378.240000000005"/>
    <n v="53518.85"/>
    <n v="37859.39"/>
    <s v="Bank Transfer"/>
    <n v="0.41431515861982016"/>
  </r>
  <r>
    <s v="ORD-2025-0683"/>
    <x v="142"/>
    <x v="1"/>
    <s v="Islamabad"/>
    <x v="1"/>
    <x v="12"/>
    <x v="3"/>
    <n v="3"/>
    <n v="34319.67"/>
    <n v="0.05"/>
    <n v="97811.06"/>
    <n v="68136.34"/>
    <n v="29674.720000000001"/>
    <s v="Cash"/>
    <n v="0.30338818534427497"/>
  </r>
  <r>
    <s v="ORD-2025-0684"/>
    <x v="169"/>
    <x v="0"/>
    <s v="Multan"/>
    <x v="2"/>
    <x v="7"/>
    <x v="6"/>
    <n v="2"/>
    <n v="8154.77"/>
    <n v="0.05"/>
    <n v="15494.06"/>
    <n v="9970.36"/>
    <n v="5523.7"/>
    <s v="Bank Transfer"/>
    <n v="0.35650436360773097"/>
  </r>
  <r>
    <s v="ORD-2025-0685"/>
    <x v="306"/>
    <x v="0"/>
    <s v="Multan"/>
    <x v="0"/>
    <x v="15"/>
    <x v="6"/>
    <n v="6"/>
    <n v="52751.62"/>
    <n v="0"/>
    <n v="316509.71999999997"/>
    <n v="225260.86"/>
    <n v="91248.86"/>
    <s v="Cash"/>
    <n v="0.28829718088910511"/>
  </r>
  <r>
    <s v="ORD-2025-0686"/>
    <x v="307"/>
    <x v="2"/>
    <s v="Quetta"/>
    <x v="3"/>
    <x v="14"/>
    <x v="7"/>
    <n v="5"/>
    <n v="5278.38"/>
    <n v="0"/>
    <n v="26391.9"/>
    <n v="13406.31"/>
    <n v="12985.59"/>
    <s v="Bank Transfer"/>
    <n v="0.49202937264842622"/>
  </r>
  <r>
    <s v="ORD-2025-0687"/>
    <x v="133"/>
    <x v="0"/>
    <s v="Multan"/>
    <x v="2"/>
    <x v="5"/>
    <x v="0"/>
    <n v="1"/>
    <n v="29875.1"/>
    <n v="0.05"/>
    <n v="28381.34"/>
    <n v="18859.82"/>
    <n v="9521.52"/>
    <s v="Digital Wallet"/>
    <n v="0.33548521669519482"/>
  </r>
  <r>
    <s v="ORD-2025-0688"/>
    <x v="162"/>
    <x v="1"/>
    <s v="Rawalpindi"/>
    <x v="1"/>
    <x v="12"/>
    <x v="5"/>
    <n v="4"/>
    <n v="35455.46"/>
    <n v="0.05"/>
    <n v="134730.75"/>
    <n v="87861.89"/>
    <n v="46868.86"/>
    <s v="Digital Wallet"/>
    <n v="0.34787054922502841"/>
  </r>
  <r>
    <s v="ORD-2025-0689"/>
    <x v="274"/>
    <x v="2"/>
    <s v="Hyderabad"/>
    <x v="2"/>
    <x v="11"/>
    <x v="5"/>
    <n v="5"/>
    <n v="42937.01"/>
    <n v="0.05"/>
    <n v="203950.8"/>
    <n v="158334.39999999999"/>
    <n v="45616.4"/>
    <s v="Bank Transfer"/>
    <n v="0.22366374635451297"/>
  </r>
  <r>
    <s v="ORD-2025-0690"/>
    <x v="170"/>
    <x v="0"/>
    <s v="Lahore"/>
    <x v="1"/>
    <x v="12"/>
    <x v="1"/>
    <n v="8"/>
    <n v="32711.94"/>
    <n v="0.05"/>
    <n v="248610.74"/>
    <n v="180603.14"/>
    <n v="68007.600000000006"/>
    <s v="Cash"/>
    <n v="0.27355053124414502"/>
  </r>
  <r>
    <s v="ORD-2025-0691"/>
    <x v="39"/>
    <x v="2"/>
    <s v="Hyderabad"/>
    <x v="2"/>
    <x v="7"/>
    <x v="3"/>
    <n v="7"/>
    <n v="7946.41"/>
    <n v="0.1"/>
    <n v="50062.38"/>
    <n v="34091.53"/>
    <n v="15970.85"/>
    <s v="Credit Card"/>
    <n v="0.31901899190569849"/>
  </r>
  <r>
    <s v="ORD-2025-0692"/>
    <x v="203"/>
    <x v="2"/>
    <s v="Quetta"/>
    <x v="0"/>
    <x v="0"/>
    <x v="4"/>
    <n v="8"/>
    <n v="14354.66"/>
    <n v="0.05"/>
    <n v="109095.42"/>
    <n v="65011.41"/>
    <n v="44084.01"/>
    <s v="Credit Card"/>
    <n v="0.40408671601429286"/>
  </r>
  <r>
    <s v="ORD-2025-0693"/>
    <x v="101"/>
    <x v="0"/>
    <s v="Faisalabad"/>
    <x v="1"/>
    <x v="2"/>
    <x v="1"/>
    <n v="2"/>
    <n v="144013.72"/>
    <n v="0.1"/>
    <n v="259224.7"/>
    <n v="197461.92"/>
    <n v="61762.78"/>
    <s v="Cash"/>
    <n v="0.23825962572239451"/>
  </r>
  <r>
    <s v="ORD-2025-0694"/>
    <x v="230"/>
    <x v="2"/>
    <s v="Quetta"/>
    <x v="1"/>
    <x v="3"/>
    <x v="7"/>
    <n v="5"/>
    <n v="27369.65"/>
    <n v="0.1"/>
    <n v="123163.43"/>
    <n v="87402.49"/>
    <n v="35760.94"/>
    <s v="Credit Card"/>
    <n v="0.29035355705829241"/>
  </r>
  <r>
    <s v="ORD-2025-0695"/>
    <x v="234"/>
    <x v="1"/>
    <s v="Rawalpindi"/>
    <x v="0"/>
    <x v="10"/>
    <x v="7"/>
    <n v="7"/>
    <n v="196151.96"/>
    <n v="0.05"/>
    <n v="1304410.53"/>
    <n v="986024.39"/>
    <n v="318386.14"/>
    <s v="Bank Transfer"/>
    <n v="0.24408430680178578"/>
  </r>
  <r>
    <s v="ORD-2025-0696"/>
    <x v="247"/>
    <x v="2"/>
    <s v="Karachi"/>
    <x v="2"/>
    <x v="5"/>
    <x v="0"/>
    <n v="2"/>
    <n v="29626.45"/>
    <n v="0.1"/>
    <n v="53327.61"/>
    <n v="37549.79"/>
    <n v="15777.82"/>
    <s v="Digital Wallet"/>
    <n v="0.29586587510672241"/>
  </r>
  <r>
    <s v="ORD-2025-0697"/>
    <x v="143"/>
    <x v="0"/>
    <s v="Lahore"/>
    <x v="0"/>
    <x v="15"/>
    <x v="1"/>
    <n v="2"/>
    <n v="47950.69"/>
    <n v="0.15"/>
    <n v="81516.17"/>
    <n v="73248.08"/>
    <n v="8268.09"/>
    <s v="Digital Wallet"/>
    <n v="0.10142883307692205"/>
  </r>
  <r>
    <s v="ORD-2025-0698"/>
    <x v="188"/>
    <x v="2"/>
    <s v="Quetta"/>
    <x v="1"/>
    <x v="4"/>
    <x v="6"/>
    <n v="5"/>
    <n v="22883.53"/>
    <n v="0"/>
    <n v="114417.65"/>
    <n v="76706.73"/>
    <n v="37710.92"/>
    <s v="Credit Card"/>
    <n v="0.32959005887640586"/>
  </r>
  <r>
    <s v="ORD-2025-0699"/>
    <x v="33"/>
    <x v="1"/>
    <s v="Islamabad"/>
    <x v="3"/>
    <x v="6"/>
    <x v="3"/>
    <n v="4"/>
    <n v="4156.8500000000004"/>
    <n v="0.15"/>
    <n v="14133.29"/>
    <n v="8652.6200000000008"/>
    <n v="5480.67"/>
    <s v="Cash"/>
    <n v="0.38778444367871878"/>
  </r>
  <r>
    <s v="ORD-2025-0700"/>
    <x v="308"/>
    <x v="2"/>
    <s v="Hyderabad"/>
    <x v="2"/>
    <x v="7"/>
    <x v="7"/>
    <n v="7"/>
    <n v="7849.67"/>
    <n v="0"/>
    <n v="54947.69"/>
    <n v="35437.699999999997"/>
    <n v="19509.990000000002"/>
    <s v="Digital Wallet"/>
    <n v="0.35506478980281064"/>
  </r>
  <r>
    <s v="ORD-2025-0701"/>
    <x v="309"/>
    <x v="2"/>
    <s v="Karachi"/>
    <x v="3"/>
    <x v="6"/>
    <x v="0"/>
    <n v="4"/>
    <n v="4062.13"/>
    <n v="0.05"/>
    <n v="15436.09"/>
    <n v="8177.94"/>
    <n v="7258.15"/>
    <s v="Digital Wallet"/>
    <n v="0.47020650955002202"/>
  </r>
  <r>
    <s v="ORD-2025-0702"/>
    <x v="129"/>
    <x v="2"/>
    <s v="Hyderabad"/>
    <x v="1"/>
    <x v="2"/>
    <x v="7"/>
    <n v="8"/>
    <n v="132833.1"/>
    <n v="0.1"/>
    <n v="956398.32"/>
    <n v="817189.18"/>
    <n v="139209.14000000001"/>
    <s v="Credit Card"/>
    <n v="0.14555560908973578"/>
  </r>
  <r>
    <s v="ORD-2025-0703"/>
    <x v="285"/>
    <x v="0"/>
    <s v="Lahore"/>
    <x v="0"/>
    <x v="15"/>
    <x v="7"/>
    <n v="6"/>
    <n v="52443.09"/>
    <n v="0.05"/>
    <n v="298925.61"/>
    <n v="226117.81"/>
    <n v="72807.8"/>
    <s v="Cash"/>
    <n v="0.2435649458070856"/>
  </r>
  <r>
    <s v="ORD-2025-0704"/>
    <x v="116"/>
    <x v="2"/>
    <s v="Quetta"/>
    <x v="1"/>
    <x v="4"/>
    <x v="2"/>
    <n v="7"/>
    <n v="22621.56"/>
    <n v="0.05"/>
    <n v="150433.37"/>
    <n v="112904.31"/>
    <n v="37529.06"/>
    <s v="Digital Wallet"/>
    <n v="0.24947297265227789"/>
  </r>
  <r>
    <s v="ORD-2025-0705"/>
    <x v="43"/>
    <x v="1"/>
    <s v="Peshawar"/>
    <x v="2"/>
    <x v="9"/>
    <x v="1"/>
    <n v="8"/>
    <n v="35757.440000000002"/>
    <n v="0.05"/>
    <n v="271756.53999999998"/>
    <n v="212286.81"/>
    <n v="59469.73"/>
    <s v="Bank Transfer"/>
    <n v="0.21883458628079386"/>
  </r>
  <r>
    <s v="ORD-2025-0706"/>
    <x v="25"/>
    <x v="2"/>
    <s v="Karachi"/>
    <x v="2"/>
    <x v="9"/>
    <x v="7"/>
    <n v="2"/>
    <n v="39015.699999999997"/>
    <n v="0"/>
    <n v="78031.399999999994"/>
    <n v="51070.78"/>
    <n v="26960.62"/>
    <s v="Cash"/>
    <n v="0.34550988448240066"/>
  </r>
  <r>
    <s v="ORD-2025-0707"/>
    <x v="310"/>
    <x v="2"/>
    <s v="Hyderabad"/>
    <x v="1"/>
    <x v="12"/>
    <x v="2"/>
    <n v="4"/>
    <n v="33300.07"/>
    <n v="0"/>
    <n v="133200.28"/>
    <n v="89560.36"/>
    <n v="43639.92"/>
    <s v="Credit Card"/>
    <n v="0.32762633832301252"/>
  </r>
  <r>
    <s v="ORD-2025-0708"/>
    <x v="311"/>
    <x v="1"/>
    <s v="Peshawar"/>
    <x v="0"/>
    <x v="10"/>
    <x v="3"/>
    <n v="6"/>
    <n v="182946.37"/>
    <n v="0.1"/>
    <n v="987910.4"/>
    <n v="839959.81"/>
    <n v="147950.59"/>
    <s v="Digital Wallet"/>
    <n v="0.14976114230602289"/>
  </r>
  <r>
    <s v="ORD-2025-0709"/>
    <x v="281"/>
    <x v="2"/>
    <s v="Hyderabad"/>
    <x v="1"/>
    <x v="2"/>
    <x v="0"/>
    <n v="5"/>
    <n v="143560.46"/>
    <n v="0.15"/>
    <n v="610131.94999999995"/>
    <n v="520735.14"/>
    <n v="89396.81"/>
    <s v="Cash"/>
    <n v="0.14652045348551243"/>
  </r>
  <r>
    <s v="ORD-2025-0710"/>
    <x v="291"/>
    <x v="2"/>
    <s v="Hyderabad"/>
    <x v="0"/>
    <x v="10"/>
    <x v="0"/>
    <n v="2"/>
    <n v="194578.86"/>
    <n v="0"/>
    <n v="389157.72"/>
    <n v="285565.24"/>
    <n v="103592.48"/>
    <s v="Credit Card"/>
    <n v="0.26619664643939223"/>
  </r>
  <r>
    <s v="ORD-2025-0711"/>
    <x v="80"/>
    <x v="2"/>
    <s v="Karachi"/>
    <x v="1"/>
    <x v="4"/>
    <x v="2"/>
    <n v="8"/>
    <n v="25411.599999999999"/>
    <n v="0"/>
    <n v="203292.79999999999"/>
    <n v="123973.21"/>
    <n v="79319.59"/>
    <s v="Credit Card"/>
    <n v="0.39017412323505801"/>
  </r>
  <r>
    <s v="ORD-2025-0712"/>
    <x v="312"/>
    <x v="1"/>
    <s v="Islamabad"/>
    <x v="3"/>
    <x v="14"/>
    <x v="5"/>
    <n v="1"/>
    <n v="4988.1000000000004"/>
    <n v="0.05"/>
    <n v="4738.6899999999996"/>
    <n v="2683.51"/>
    <n v="2055.1799999999998"/>
    <s v="Cash"/>
    <n v="0.43370214130909596"/>
  </r>
  <r>
    <s v="ORD-2025-0713"/>
    <x v="30"/>
    <x v="2"/>
    <s v="Hyderabad"/>
    <x v="3"/>
    <x v="8"/>
    <x v="5"/>
    <n v="4"/>
    <n v="10858.96"/>
    <n v="0.1"/>
    <n v="39092.26"/>
    <n v="25987.53"/>
    <n v="13104.73"/>
    <s v="Digital Wallet"/>
    <n v="0.33522569429344834"/>
  </r>
  <r>
    <s v="ORD-2025-0714"/>
    <x v="13"/>
    <x v="2"/>
    <s v="Hyderabad"/>
    <x v="3"/>
    <x v="8"/>
    <x v="0"/>
    <n v="1"/>
    <n v="11394.34"/>
    <n v="0"/>
    <n v="11394.34"/>
    <n v="6631.52"/>
    <n v="4762.82"/>
    <s v="Cash"/>
    <n v="0.41799876078825099"/>
  </r>
  <r>
    <s v="ORD-2025-0715"/>
    <x v="292"/>
    <x v="2"/>
    <s v="Hyderabad"/>
    <x v="3"/>
    <x v="6"/>
    <x v="5"/>
    <n v="7"/>
    <n v="3905.31"/>
    <n v="0"/>
    <n v="27337.17"/>
    <n v="14938.32"/>
    <n v="12398.85"/>
    <s v="Cash"/>
    <n v="0.45355280008867055"/>
  </r>
  <r>
    <s v="ORD-2025-0716"/>
    <x v="313"/>
    <x v="0"/>
    <s v="Multan"/>
    <x v="1"/>
    <x v="4"/>
    <x v="2"/>
    <n v="7"/>
    <n v="26012.27"/>
    <n v="0.15"/>
    <n v="154773.01"/>
    <n v="111568.05"/>
    <n v="43204.959999999999"/>
    <s v="Bank Transfer"/>
    <n v="0.27915047978972557"/>
  </r>
  <r>
    <s v="ORD-2025-0717"/>
    <x v="59"/>
    <x v="1"/>
    <s v="Rawalpindi"/>
    <x v="2"/>
    <x v="7"/>
    <x v="7"/>
    <n v="8"/>
    <n v="8695.68"/>
    <n v="0.1"/>
    <n v="62608.9"/>
    <n v="39737.24"/>
    <n v="22871.66"/>
    <s v="Bank Transfer"/>
    <n v="0.36531004377971821"/>
  </r>
  <r>
    <s v="ORD-2025-0718"/>
    <x v="87"/>
    <x v="0"/>
    <s v="Faisalabad"/>
    <x v="2"/>
    <x v="9"/>
    <x v="4"/>
    <n v="2"/>
    <n v="35184.78"/>
    <n v="0.05"/>
    <n v="66851.08"/>
    <n v="51859.58"/>
    <n v="14991.5"/>
    <s v="Credit Card"/>
    <n v="0.22425217363728453"/>
  </r>
  <r>
    <s v="ORD-2025-0719"/>
    <x v="314"/>
    <x v="1"/>
    <s v="Peshawar"/>
    <x v="1"/>
    <x v="3"/>
    <x v="4"/>
    <n v="3"/>
    <n v="24941.18"/>
    <n v="0.1"/>
    <n v="67341.19"/>
    <n v="54619.66"/>
    <n v="12721.53"/>
    <s v="Digital Wallet"/>
    <n v="0.18891157106074308"/>
  </r>
  <r>
    <s v="ORD-2025-0720"/>
    <x v="261"/>
    <x v="0"/>
    <s v="Lahore"/>
    <x v="0"/>
    <x v="0"/>
    <x v="0"/>
    <n v="5"/>
    <n v="14794.62"/>
    <n v="0.05"/>
    <n v="70274.45"/>
    <n v="40125.339999999997"/>
    <n v="30149.11"/>
    <s v="Digital Wallet"/>
    <n v="0.4290195085126956"/>
  </r>
  <r>
    <s v="ORD-2025-0721"/>
    <x v="204"/>
    <x v="2"/>
    <s v="Quetta"/>
    <x v="0"/>
    <x v="15"/>
    <x v="3"/>
    <n v="6"/>
    <n v="56018.15"/>
    <n v="0.15"/>
    <n v="285692.57"/>
    <n v="227591.37"/>
    <n v="58101.2"/>
    <s v="Bank Transfer"/>
    <n v="0.20336965711078869"/>
  </r>
  <r>
    <s v="ORD-2025-0722"/>
    <x v="184"/>
    <x v="2"/>
    <s v="Hyderabad"/>
    <x v="2"/>
    <x v="7"/>
    <x v="7"/>
    <n v="4"/>
    <n v="7963.11"/>
    <n v="0.1"/>
    <n v="28667.200000000001"/>
    <n v="19811.009999999998"/>
    <n v="8856.19"/>
    <s v="Cash"/>
    <n v="0.30893111290952729"/>
  </r>
  <r>
    <s v="ORD-2025-0723"/>
    <x v="37"/>
    <x v="1"/>
    <s v="Peshawar"/>
    <x v="3"/>
    <x v="14"/>
    <x v="3"/>
    <n v="2"/>
    <n v="4860.75"/>
    <n v="0.05"/>
    <n v="9235.42"/>
    <n v="5573.86"/>
    <n v="3661.56"/>
    <s v="Digital Wallet"/>
    <n v="0.39646924557843605"/>
  </r>
  <r>
    <s v="ORD-2025-0724"/>
    <x v="275"/>
    <x v="1"/>
    <s v="Rawalpindi"/>
    <x v="3"/>
    <x v="14"/>
    <x v="7"/>
    <n v="5"/>
    <n v="5270.14"/>
    <n v="0.15"/>
    <n v="22398.1"/>
    <n v="13495.13"/>
    <n v="8902.9699999999993"/>
    <s v="Digital Wallet"/>
    <n v="0.39748773333452392"/>
  </r>
  <r>
    <s v="ORD-2025-0725"/>
    <x v="315"/>
    <x v="1"/>
    <s v="Islamabad"/>
    <x v="2"/>
    <x v="7"/>
    <x v="0"/>
    <n v="8"/>
    <n v="7995.96"/>
    <n v="0.15"/>
    <n v="54372.53"/>
    <n v="39432.18"/>
    <n v="14940.35"/>
    <s v="Credit Card"/>
    <n v="0.27477753931994703"/>
  </r>
  <r>
    <s v="ORD-2025-0726"/>
    <x v="61"/>
    <x v="2"/>
    <s v="Hyderabad"/>
    <x v="0"/>
    <x v="1"/>
    <x v="0"/>
    <n v="6"/>
    <n v="98207.39"/>
    <n v="0"/>
    <n v="589244.34"/>
    <n v="412941.7"/>
    <n v="176302.64"/>
    <s v="Cash"/>
    <n v="0.29920124476715387"/>
  </r>
  <r>
    <s v="ORD-2025-0727"/>
    <x v="313"/>
    <x v="2"/>
    <s v="Quetta"/>
    <x v="1"/>
    <x v="2"/>
    <x v="4"/>
    <n v="3"/>
    <n v="126743.23"/>
    <n v="0.05"/>
    <n v="361218.21"/>
    <n v="314929.53999999998"/>
    <n v="46288.67"/>
    <s v="Digital Wallet"/>
    <n v="0.12814600349190589"/>
  </r>
  <r>
    <s v="ORD-2025-0729"/>
    <x v="226"/>
    <x v="1"/>
    <s v="Islamabad"/>
    <x v="1"/>
    <x v="2"/>
    <x v="2"/>
    <n v="1"/>
    <n v="133219.62"/>
    <n v="0.1"/>
    <n v="119897.66"/>
    <n v="100159.59"/>
    <n v="19738.07"/>
    <s v="Digital Wallet"/>
    <n v="0.16462431376892592"/>
  </r>
  <r>
    <s v="ORD-2025-0730"/>
    <x v="177"/>
    <x v="2"/>
    <s v="Quetta"/>
    <x v="2"/>
    <x v="5"/>
    <x v="0"/>
    <n v="8"/>
    <n v="29693.26"/>
    <n v="0.15"/>
    <n v="201914.17"/>
    <n v="152218.16"/>
    <n v="49696.01"/>
    <s v="Digital Wallet"/>
    <n v="0.24612442999914269"/>
  </r>
  <r>
    <s v="ORD-2025-0731"/>
    <x v="102"/>
    <x v="2"/>
    <s v="Karachi"/>
    <x v="3"/>
    <x v="8"/>
    <x v="0"/>
    <n v="1"/>
    <n v="12342.87"/>
    <n v="0.05"/>
    <n v="11725.73"/>
    <n v="6639.84"/>
    <n v="5085.8900000000003"/>
    <s v="Credit Card"/>
    <n v="0.43373760098518394"/>
  </r>
  <r>
    <s v="ORD-2025-0732"/>
    <x v="269"/>
    <x v="0"/>
    <s v="Lahore"/>
    <x v="1"/>
    <x v="2"/>
    <x v="3"/>
    <n v="2"/>
    <n v="128356.42"/>
    <n v="0.1"/>
    <n v="231041.56"/>
    <n v="203601.54"/>
    <n v="27440.02"/>
    <s v="Digital Wallet"/>
    <n v="0.1187665976632083"/>
  </r>
  <r>
    <s v="ORD-2025-0733"/>
    <x v="272"/>
    <x v="0"/>
    <s v="Lahore"/>
    <x v="0"/>
    <x v="1"/>
    <x v="7"/>
    <n v="1"/>
    <n v="88687.45"/>
    <n v="0"/>
    <n v="88687.45"/>
    <n v="67127.56"/>
    <n v="21559.89"/>
    <s v="Cash"/>
    <n v="0.24309967193779955"/>
  </r>
  <r>
    <s v="ORD-2025-0734"/>
    <x v="123"/>
    <x v="0"/>
    <s v="Multan"/>
    <x v="1"/>
    <x v="4"/>
    <x v="1"/>
    <n v="1"/>
    <n v="24466.57"/>
    <n v="0"/>
    <n v="24466.57"/>
    <n v="15701.99"/>
    <n v="8764.58"/>
    <s v="Cash"/>
    <n v="0.35822675593677417"/>
  </r>
  <r>
    <s v="ORD-2025-0735"/>
    <x v="105"/>
    <x v="0"/>
    <s v="Faisalabad"/>
    <x v="3"/>
    <x v="8"/>
    <x v="5"/>
    <n v="2"/>
    <n v="10790.95"/>
    <n v="0"/>
    <n v="21581.9"/>
    <n v="13103.02"/>
    <n v="8478.8799999999992"/>
    <s v="Credit Card"/>
    <n v="0.392869951209115"/>
  </r>
  <r>
    <s v="ORD-2025-0736"/>
    <x v="177"/>
    <x v="2"/>
    <s v="Karachi"/>
    <x v="2"/>
    <x v="9"/>
    <x v="5"/>
    <n v="7"/>
    <n v="39085.94"/>
    <n v="0"/>
    <n v="273601.58"/>
    <n v="184368.42"/>
    <n v="89233.16"/>
    <s v="Cash"/>
    <n v="0.32614270721682237"/>
  </r>
  <r>
    <s v="ORD-2025-0737"/>
    <x v="210"/>
    <x v="0"/>
    <s v="Lahore"/>
    <x v="1"/>
    <x v="4"/>
    <x v="1"/>
    <n v="2"/>
    <n v="23794.560000000001"/>
    <n v="0.05"/>
    <n v="45209.66"/>
    <n v="32627.34"/>
    <n v="12582.32"/>
    <s v="Cash"/>
    <n v="0.27831043188557486"/>
  </r>
  <r>
    <s v="ORD-2025-0738"/>
    <x v="128"/>
    <x v="1"/>
    <s v="Islamabad"/>
    <x v="2"/>
    <x v="5"/>
    <x v="4"/>
    <n v="8"/>
    <n v="28539.31"/>
    <n v="0.1"/>
    <n v="205483.03"/>
    <n v="151536.92000000001"/>
    <n v="53946.11"/>
    <s v="Cash"/>
    <n v="0.26253316393086085"/>
  </r>
  <r>
    <s v="ORD-2025-0739"/>
    <x v="109"/>
    <x v="2"/>
    <s v="Hyderabad"/>
    <x v="3"/>
    <x v="13"/>
    <x v="4"/>
    <n v="8"/>
    <n v="6010.06"/>
    <n v="0.15"/>
    <n v="40868.410000000003"/>
    <n v="28407.22"/>
    <n v="12461.19"/>
    <s v="Cash"/>
    <n v="0.30491007602204245"/>
  </r>
  <r>
    <s v="ORD-2025-0740"/>
    <x v="202"/>
    <x v="1"/>
    <s v="Peshawar"/>
    <x v="2"/>
    <x v="9"/>
    <x v="2"/>
    <n v="7"/>
    <n v="37671.57"/>
    <n v="0.15"/>
    <n v="224145.84"/>
    <n v="182915.51"/>
    <n v="41230.33"/>
    <s v="Credit Card"/>
    <n v="0.18394421239314548"/>
  </r>
  <r>
    <s v="ORD-2025-0741"/>
    <x v="76"/>
    <x v="1"/>
    <s v="Peshawar"/>
    <x v="3"/>
    <x v="14"/>
    <x v="4"/>
    <n v="1"/>
    <n v="4784.83"/>
    <n v="0.05"/>
    <n v="4545.59"/>
    <n v="2800.65"/>
    <n v="1744.94"/>
    <s v="Credit Card"/>
    <n v="0.38387536051425669"/>
  </r>
  <r>
    <s v="ORD-2025-0742"/>
    <x v="104"/>
    <x v="1"/>
    <s v="Islamabad"/>
    <x v="3"/>
    <x v="8"/>
    <x v="3"/>
    <n v="5"/>
    <n v="12124.66"/>
    <n v="0.05"/>
    <n v="57592.14"/>
    <n v="33798.28"/>
    <n v="23793.86"/>
    <s v="Bank Transfer"/>
    <n v="0.4131442241944821"/>
  </r>
  <r>
    <s v="ORD-2025-0743"/>
    <x v="20"/>
    <x v="1"/>
    <s v="Islamabad"/>
    <x v="0"/>
    <x v="0"/>
    <x v="4"/>
    <n v="2"/>
    <n v="14257.11"/>
    <n v="0"/>
    <n v="28514.22"/>
    <n v="16861.41"/>
    <n v="11652.81"/>
    <s v="Digital Wallet"/>
    <n v="0.40866662317959246"/>
  </r>
  <r>
    <s v="ORD-2025-0744"/>
    <x v="271"/>
    <x v="1"/>
    <s v="Peshawar"/>
    <x v="1"/>
    <x v="3"/>
    <x v="2"/>
    <n v="5"/>
    <n v="29072.05"/>
    <n v="0.15"/>
    <n v="123556.21"/>
    <n v="90152.12"/>
    <n v="33404.089999999997"/>
    <s v="Bank Transfer"/>
    <n v="0.27035541151675013"/>
  </r>
  <r>
    <s v="ORD-2025-0745"/>
    <x v="38"/>
    <x v="1"/>
    <s v="Rawalpindi"/>
    <x v="1"/>
    <x v="2"/>
    <x v="6"/>
    <n v="3"/>
    <n v="138163.18"/>
    <n v="0"/>
    <n v="414489.54"/>
    <n v="306822.37"/>
    <n v="107667.17"/>
    <s v="Credit Card"/>
    <n v="0.25975847303649691"/>
  </r>
  <r>
    <s v="ORD-2025-0746"/>
    <x v="33"/>
    <x v="2"/>
    <s v="Quetta"/>
    <x v="3"/>
    <x v="14"/>
    <x v="6"/>
    <n v="2"/>
    <n v="5439.04"/>
    <n v="0.15"/>
    <n v="9246.3700000000008"/>
    <n v="5484.18"/>
    <n v="3762.19"/>
    <s v="Digital Wallet"/>
    <n v="0.40688291729619297"/>
  </r>
  <r>
    <s v="ORD-2025-0747"/>
    <x v="209"/>
    <x v="0"/>
    <s v="Lahore"/>
    <x v="1"/>
    <x v="4"/>
    <x v="7"/>
    <n v="6"/>
    <n v="24056.06"/>
    <n v="0.15"/>
    <n v="122685.91"/>
    <n v="98484.47"/>
    <n v="24201.439999999999"/>
    <s v="Bank Transfer"/>
    <n v="0.19726340212987781"/>
  </r>
  <r>
    <s v="ORD-2025-0748"/>
    <x v="179"/>
    <x v="1"/>
    <s v="Rawalpindi"/>
    <x v="0"/>
    <x v="1"/>
    <x v="3"/>
    <n v="1"/>
    <n v="95803.96"/>
    <n v="0.15"/>
    <n v="81433.37"/>
    <n v="70345.86"/>
    <n v="11087.51"/>
    <s v="Cash"/>
    <n v="0.13615437995504792"/>
  </r>
  <r>
    <s v="ORD-2025-0749"/>
    <x v="147"/>
    <x v="0"/>
    <s v="Multan"/>
    <x v="1"/>
    <x v="12"/>
    <x v="3"/>
    <n v="4"/>
    <n v="35535.03"/>
    <n v="0.05"/>
    <n v="135033.10999999999"/>
    <n v="87531.82"/>
    <n v="47501.29"/>
    <s v="Cash"/>
    <n v="0.35177513129927918"/>
  </r>
  <r>
    <s v="ORD-2025-0751"/>
    <x v="56"/>
    <x v="0"/>
    <s v="Lahore"/>
    <x v="0"/>
    <x v="1"/>
    <x v="3"/>
    <n v="5"/>
    <n v="98382.05"/>
    <n v="0"/>
    <n v="491910.25"/>
    <n v="350767.87"/>
    <n v="141142.38"/>
    <s v="Cash"/>
    <n v="0.2869270969653509"/>
  </r>
  <r>
    <s v="ORD-2025-0752"/>
    <x v="1"/>
    <x v="0"/>
    <s v="Multan"/>
    <x v="1"/>
    <x v="4"/>
    <x v="6"/>
    <n v="1"/>
    <n v="26216.53"/>
    <n v="0.15"/>
    <n v="22284.05"/>
    <n v="16070.45"/>
    <n v="6213.6"/>
    <s v="Bank Transfer"/>
    <n v="0.2788362079604022"/>
  </r>
  <r>
    <s v="ORD-2025-0753"/>
    <x v="212"/>
    <x v="2"/>
    <s v="Hyderabad"/>
    <x v="1"/>
    <x v="2"/>
    <x v="6"/>
    <n v="8"/>
    <n v="134904.41"/>
    <n v="0.1"/>
    <n v="971311.75"/>
    <n v="826690.27"/>
    <n v="144621.48000000001"/>
    <s v="Bank Transfer"/>
    <n v="0.14889295841422695"/>
  </r>
  <r>
    <s v="ORD-2025-0754"/>
    <x v="118"/>
    <x v="2"/>
    <s v="Quetta"/>
    <x v="3"/>
    <x v="8"/>
    <x v="6"/>
    <n v="1"/>
    <n v="11301.02"/>
    <n v="0.05"/>
    <n v="10735.97"/>
    <n v="6342.22"/>
    <n v="4393.75"/>
    <s v="Credit Card"/>
    <n v="0.40925505566800208"/>
  </r>
  <r>
    <s v="ORD-2025-0755"/>
    <x v="255"/>
    <x v="0"/>
    <s v="Faisalabad"/>
    <x v="0"/>
    <x v="1"/>
    <x v="0"/>
    <n v="4"/>
    <n v="87061.17"/>
    <n v="-0.05"/>
    <n v="330832.45"/>
    <n v="265036.55"/>
    <n v="65795.899999999994"/>
    <s v="Cash"/>
    <n v="0.19887982572447169"/>
  </r>
  <r>
    <s v="ORD-2025-0756"/>
    <x v="223"/>
    <x v="2"/>
    <s v="Hyderabad"/>
    <x v="0"/>
    <x v="0"/>
    <x v="6"/>
    <n v="5"/>
    <n v="13913.4"/>
    <n v="0.05"/>
    <n v="66088.649999999994"/>
    <n v="40454.089999999997"/>
    <n v="25634.560000000001"/>
    <s v="Bank Transfer"/>
    <n v="0.38788142895943561"/>
  </r>
  <r>
    <s v="ORD-2025-0758"/>
    <x v="83"/>
    <x v="2"/>
    <s v="Quetta"/>
    <x v="0"/>
    <x v="1"/>
    <x v="1"/>
    <n v="1"/>
    <n v="98169.38"/>
    <n v="0.05"/>
    <n v="93260.91"/>
    <n v="66220.789999999994"/>
    <n v="27040.12"/>
    <s v="Cash"/>
    <n v="0.2899405549441883"/>
  </r>
  <r>
    <s v="ORD-2025-0759"/>
    <x v="16"/>
    <x v="1"/>
    <s v="Peshawar"/>
    <x v="0"/>
    <x v="10"/>
    <x v="3"/>
    <n v="5"/>
    <n v="195357.91"/>
    <n v="0.05"/>
    <n v="927950.07"/>
    <n v="693462.76"/>
    <n v="234487.31"/>
    <s v="Cash"/>
    <n v="0.25269388685966693"/>
  </r>
  <r>
    <s v="ORD-2025-0760"/>
    <x v="234"/>
    <x v="2"/>
    <s v="Hyderabad"/>
    <x v="3"/>
    <x v="14"/>
    <x v="2"/>
    <n v="2"/>
    <n v="5066.5600000000004"/>
    <n v="0.15"/>
    <n v="8613.15"/>
    <n v="5533.95"/>
    <n v="3079.2"/>
    <s v="Credit Card"/>
    <n v="0.35749986938576478"/>
  </r>
  <r>
    <s v="ORD-2025-0761"/>
    <x v="246"/>
    <x v="1"/>
    <s v="Islamabad"/>
    <x v="0"/>
    <x v="10"/>
    <x v="2"/>
    <n v="4"/>
    <n v="196969.35"/>
    <n v="0"/>
    <n v="787877.4"/>
    <n v="576301.57999999996"/>
    <n v="211575.82"/>
    <s v="Digital Wallet"/>
    <n v="0.26853901381103201"/>
  </r>
  <r>
    <s v="ORD-2025-0762"/>
    <x v="193"/>
    <x v="2"/>
    <s v="Quetta"/>
    <x v="3"/>
    <x v="6"/>
    <x v="1"/>
    <n v="4"/>
    <n v="3956.52"/>
    <n v="0"/>
    <n v="15826.08"/>
    <n v="8183.57"/>
    <n v="7642.51"/>
    <s v="Bank Transfer"/>
    <n v="0.48290606391475338"/>
  </r>
  <r>
    <s v="ORD-2025-0763"/>
    <x v="309"/>
    <x v="2"/>
    <s v="Quetta"/>
    <x v="2"/>
    <x v="5"/>
    <x v="5"/>
    <n v="8"/>
    <n v="27627.56"/>
    <n v="0.05"/>
    <n v="209969.46"/>
    <n v="150536.92000000001"/>
    <n v="59432.54"/>
    <s v="Cash"/>
    <n v="0.28305325926922897"/>
  </r>
  <r>
    <s v="ORD-2025-0764"/>
    <x v="149"/>
    <x v="1"/>
    <s v="Peshawar"/>
    <x v="0"/>
    <x v="15"/>
    <x v="0"/>
    <n v="6"/>
    <n v="49465.79"/>
    <n v="0"/>
    <n v="296794.74"/>
    <n v="222249.7"/>
    <n v="74545.039999999994"/>
    <s v="Bank Transfer"/>
    <n v="0.25116698496745593"/>
  </r>
  <r>
    <s v="ORD-2025-0765"/>
    <x v="136"/>
    <x v="1"/>
    <s v="Peshawar"/>
    <x v="3"/>
    <x v="14"/>
    <x v="4"/>
    <n v="6"/>
    <n v="5492.87"/>
    <n v="0.1"/>
    <n v="29661.5"/>
    <n v="16806.12"/>
    <n v="12855.38"/>
    <s v="Digital Wallet"/>
    <n v="0.43340289600997922"/>
  </r>
  <r>
    <s v="ORD-2025-0766"/>
    <x v="143"/>
    <x v="2"/>
    <s v="Karachi"/>
    <x v="0"/>
    <x v="15"/>
    <x v="3"/>
    <n v="1"/>
    <n v="51966.14"/>
    <n v="0"/>
    <n v="51966.14"/>
    <n v="37037.050000000003"/>
    <n v="14929.09"/>
    <s v="Digital Wallet"/>
    <n v="0.28728495131637638"/>
  </r>
  <r>
    <s v="ORD-2025-0767"/>
    <x v="231"/>
    <x v="0"/>
    <s v="Lahore"/>
    <x v="2"/>
    <x v="7"/>
    <x v="6"/>
    <n v="6"/>
    <n v="8917.89"/>
    <n v="0.05"/>
    <n v="50831.97"/>
    <n v="28940.54"/>
    <n v="21891.43"/>
    <s v="Bank Transfer"/>
    <n v="0.43066263219780782"/>
  </r>
  <r>
    <s v="ORD-2025-0768"/>
    <x v="316"/>
    <x v="1"/>
    <s v="Islamabad"/>
    <x v="1"/>
    <x v="2"/>
    <x v="2"/>
    <n v="2"/>
    <n v="127275.88"/>
    <n v="0.05"/>
    <n v="241824.17"/>
    <n v="198688.86"/>
    <n v="43135.31"/>
    <s v="Cash"/>
    <n v="0.17837468438328558"/>
  </r>
  <r>
    <s v="ORD-2025-0770"/>
    <x v="91"/>
    <x v="1"/>
    <s v="Islamabad"/>
    <x v="2"/>
    <x v="9"/>
    <x v="0"/>
    <n v="2"/>
    <n v="35087.64"/>
    <n v="0.15"/>
    <n v="59648.99"/>
    <n v="50939.57"/>
    <n v="8709.42"/>
    <s v="Bank Transfer"/>
    <n v="0.14601118979550198"/>
  </r>
  <r>
    <s v="ORD-2025-0771"/>
    <x v="296"/>
    <x v="1"/>
    <s v="Rawalpindi"/>
    <x v="3"/>
    <x v="6"/>
    <x v="1"/>
    <n v="6"/>
    <n v="4407.9799999999996"/>
    <n v="0.15"/>
    <n v="22480.7"/>
    <n v="12373.14"/>
    <n v="10107.56"/>
    <s v="Cash"/>
    <n v="0.4496105548314776"/>
  </r>
  <r>
    <s v="ORD-2025-0772"/>
    <x v="64"/>
    <x v="1"/>
    <s v="Islamabad"/>
    <x v="2"/>
    <x v="5"/>
    <x v="1"/>
    <n v="4"/>
    <n v="28648.45"/>
    <n v="0.15"/>
    <n v="97404.73"/>
    <n v="75711.039999999994"/>
    <n v="21693.69"/>
    <s v="Credit Card"/>
    <n v="0.22271700768535574"/>
  </r>
  <r>
    <s v="ORD-2025-0773"/>
    <x v="236"/>
    <x v="1"/>
    <s v="Peshawar"/>
    <x v="2"/>
    <x v="9"/>
    <x v="5"/>
    <n v="3"/>
    <n v="36952.300000000003"/>
    <n v="0"/>
    <n v="110856.9"/>
    <n v="79096.850000000006"/>
    <n v="31760.05"/>
    <s v="Digital Wallet"/>
    <n v="0.28649592402457585"/>
  </r>
  <r>
    <s v="ORD-2025-0774"/>
    <x v="102"/>
    <x v="1"/>
    <s v="Peshawar"/>
    <x v="0"/>
    <x v="15"/>
    <x v="2"/>
    <n v="2"/>
    <n v="49233.05"/>
    <n v="0.05"/>
    <n v="93542.79"/>
    <n v="74649.179999999993"/>
    <n v="18893.61"/>
    <s v="Digital Wallet"/>
    <n v="0.20197826043033357"/>
  </r>
  <r>
    <s v="ORD-2025-0775"/>
    <x v="137"/>
    <x v="0"/>
    <s v="Faisalabad"/>
    <x v="2"/>
    <x v="9"/>
    <x v="7"/>
    <n v="6"/>
    <n v="38154.89"/>
    <n v="0.05"/>
    <n v="217482.87"/>
    <n v="159134.9"/>
    <n v="58347.97"/>
    <s v="Bank Transfer"/>
    <n v="0.26828765870157961"/>
  </r>
  <r>
    <s v="ORD-2025-0776"/>
    <x v="144"/>
    <x v="0"/>
    <s v="Faisalabad"/>
    <x v="0"/>
    <x v="1"/>
    <x v="3"/>
    <n v="4"/>
    <n v="97812.7"/>
    <n v="0.05"/>
    <n v="371688.26"/>
    <n v="280274.71999999997"/>
    <n v="91413.54"/>
    <s v="Bank Transfer"/>
    <n v="0.24594142413860473"/>
  </r>
  <r>
    <s v="ORD-2025-0777"/>
    <x v="110"/>
    <x v="2"/>
    <s v="Hyderabad"/>
    <x v="2"/>
    <x v="9"/>
    <x v="7"/>
    <n v="5"/>
    <n v="38307.360000000001"/>
    <n v="0"/>
    <n v="191536.8"/>
    <n v="132939.76999999999"/>
    <n v="58597.03"/>
    <s v="Bank Transfer"/>
    <n v="0.30593092293491381"/>
  </r>
  <r>
    <s v="ORD-2025-0778"/>
    <x v="317"/>
    <x v="1"/>
    <s v="Peshawar"/>
    <x v="0"/>
    <x v="15"/>
    <x v="7"/>
    <n v="6"/>
    <n v="51385.17"/>
    <n v="0.05"/>
    <n v="292895.46999999997"/>
    <n v="219060.31"/>
    <n v="73835.16"/>
    <s v="Bank Transfer"/>
    <n v="0.2520870671028132"/>
  </r>
  <r>
    <s v="ORD-2025-0779"/>
    <x v="239"/>
    <x v="2"/>
    <s v="Hyderabad"/>
    <x v="0"/>
    <x v="1"/>
    <x v="4"/>
    <n v="8"/>
    <n v="88081.39"/>
    <n v="0.15"/>
    <n v="598953.44999999995"/>
    <n v="530569.82999999996"/>
    <n v="68383.62"/>
    <s v="Cash"/>
    <n v="0.11417184423931442"/>
  </r>
  <r>
    <s v="ORD-2025-0780"/>
    <x v="168"/>
    <x v="2"/>
    <s v="Karachi"/>
    <x v="0"/>
    <x v="10"/>
    <x v="2"/>
    <n v="2"/>
    <n v="180863.01"/>
    <n v="0.1"/>
    <n v="325553.42"/>
    <n v="279462.09999999998"/>
    <n v="46091.32"/>
    <s v="Bank Transfer"/>
    <n v="0.14157836216249856"/>
  </r>
  <r>
    <s v="ORD-2025-0781"/>
    <x v="310"/>
    <x v="2"/>
    <s v="Quetta"/>
    <x v="1"/>
    <x v="12"/>
    <x v="6"/>
    <n v="3"/>
    <n v="35631.58"/>
    <n v="0.15"/>
    <n v="90860.53"/>
    <n v="68970.649999999994"/>
    <n v="21889.88"/>
    <s v="Bank Transfer"/>
    <n v="0.24091737083197734"/>
  </r>
  <r>
    <s v="ORD-2025-0782"/>
    <x v="286"/>
    <x v="2"/>
    <s v="Hyderabad"/>
    <x v="3"/>
    <x v="14"/>
    <x v="1"/>
    <n v="1"/>
    <n v="5176.71"/>
    <n v="0.1"/>
    <n v="4659.04"/>
    <n v="2805.97"/>
    <n v="1853.07"/>
    <s v="Credit Card"/>
    <n v="0.39773644355918814"/>
  </r>
  <r>
    <s v="ORD-2025-0783"/>
    <x v="45"/>
    <x v="1"/>
    <s v="Peshawar"/>
    <x v="2"/>
    <x v="7"/>
    <x v="2"/>
    <n v="4"/>
    <n v="8521.52"/>
    <n v="0.1"/>
    <n v="30677.47"/>
    <n v="20051.46"/>
    <n v="10626.01"/>
    <s v="Cash"/>
    <n v="0.34637830303476785"/>
  </r>
  <r>
    <s v="ORD-2025-0784"/>
    <x v="163"/>
    <x v="2"/>
    <s v="Karachi"/>
    <x v="3"/>
    <x v="14"/>
    <x v="5"/>
    <n v="4"/>
    <n v="5148.9799999999996"/>
    <n v="0.1"/>
    <n v="18536.330000000002"/>
    <n v="10498.76"/>
    <n v="8037.57"/>
    <s v="Bank Transfer"/>
    <n v="0.43361172357203387"/>
  </r>
  <r>
    <s v="ORD-2025-0785"/>
    <x v="67"/>
    <x v="0"/>
    <s v="Lahore"/>
    <x v="3"/>
    <x v="8"/>
    <x v="4"/>
    <n v="6"/>
    <n v="10994.9"/>
    <n v="0.05"/>
    <n v="62670.93"/>
    <n v="39702.129999999997"/>
    <n v="22968.799999999999"/>
    <s v="Bank Transfer"/>
    <n v="0.36649847066255437"/>
  </r>
  <r>
    <s v="ORD-2025-0786"/>
    <x v="108"/>
    <x v="0"/>
    <s v="Lahore"/>
    <x v="0"/>
    <x v="1"/>
    <x v="1"/>
    <n v="3"/>
    <n v="99025.02"/>
    <n v="0.05"/>
    <n v="282221.31"/>
    <n v="205993.77"/>
    <n v="76227.539999999994"/>
    <s v="Digital Wallet"/>
    <n v="0.27009845571193752"/>
  </r>
  <r>
    <s v="ORD-2025-0787"/>
    <x v="226"/>
    <x v="1"/>
    <s v="Rawalpindi"/>
    <x v="0"/>
    <x v="15"/>
    <x v="4"/>
    <n v="4"/>
    <n v="51790.15"/>
    <n v="0.05"/>
    <n v="196802.57"/>
    <n v="147440.44"/>
    <n v="49362.13"/>
    <s v="Cash"/>
    <n v="0.25082055584944851"/>
  </r>
  <r>
    <s v="ORD-2025-0788"/>
    <x v="318"/>
    <x v="1"/>
    <s v="Islamabad"/>
    <x v="2"/>
    <x v="11"/>
    <x v="4"/>
    <n v="8"/>
    <n v="39744.65"/>
    <n v="0"/>
    <n v="317957.2"/>
    <n v="241766.36"/>
    <n v="76190.84"/>
    <s v="Credit Card"/>
    <n v="0.23962608803952229"/>
  </r>
  <r>
    <s v="ORD-2025-0789"/>
    <x v="16"/>
    <x v="1"/>
    <s v="Rawalpindi"/>
    <x v="0"/>
    <x v="15"/>
    <x v="1"/>
    <n v="1"/>
    <n v="50907.19"/>
    <n v="0"/>
    <n v="50907.19"/>
    <n v="35844.01"/>
    <n v="15063.18"/>
    <s v="Credit Card"/>
    <n v="0.29589494136289979"/>
  </r>
  <r>
    <s v="ORD-2025-0790"/>
    <x v="211"/>
    <x v="1"/>
    <s v="Islamabad"/>
    <x v="3"/>
    <x v="14"/>
    <x v="4"/>
    <n v="2"/>
    <n v="5107.6400000000003"/>
    <n v="0"/>
    <n v="10215.280000000001"/>
    <n v="5287.11"/>
    <n v="4928.17"/>
    <s v="Digital Wallet"/>
    <n v="0.48243122068117561"/>
  </r>
  <r>
    <s v="ORD-2025-0791"/>
    <x v="182"/>
    <x v="0"/>
    <s v="Multan"/>
    <x v="3"/>
    <x v="6"/>
    <x v="4"/>
    <n v="5"/>
    <n v="4258.79"/>
    <n v="0.1"/>
    <n v="19164.560000000001"/>
    <n v="10711.83"/>
    <n v="8452.73"/>
    <s v="Credit Card"/>
    <n v="0.44106047829952783"/>
  </r>
  <r>
    <s v="ORD-2025-0792"/>
    <x v="22"/>
    <x v="1"/>
    <s v="Islamabad"/>
    <x v="3"/>
    <x v="13"/>
    <x v="7"/>
    <n v="7"/>
    <n v="6609.04"/>
    <n v="0"/>
    <n v="46263.28"/>
    <n v="25371.61"/>
    <n v="20891.669999999998"/>
    <s v="Digital Wallet"/>
    <n v="0.45158211869110876"/>
  </r>
  <r>
    <s v="ORD-2025-0793"/>
    <x v="197"/>
    <x v="2"/>
    <s v="Quetta"/>
    <x v="0"/>
    <x v="10"/>
    <x v="4"/>
    <n v="5"/>
    <n v="189330.45"/>
    <n v="0.05"/>
    <n v="899319.64"/>
    <n v="705935.06"/>
    <n v="193384.58"/>
    <s v="Digital Wallet"/>
    <n v="0.21503431193830036"/>
  </r>
  <r>
    <s v="ORD-2025-0794"/>
    <x v="185"/>
    <x v="0"/>
    <s v="Lahore"/>
    <x v="3"/>
    <x v="6"/>
    <x v="5"/>
    <n v="3"/>
    <n v="4468.78"/>
    <n v="0.15"/>
    <n v="11395.39"/>
    <n v="6301.55"/>
    <n v="5093.84"/>
    <s v="Cash"/>
    <n v="0.4470088342742109"/>
  </r>
  <r>
    <s v="ORD-2025-0795"/>
    <x v="34"/>
    <x v="2"/>
    <s v="Quetta"/>
    <x v="0"/>
    <x v="1"/>
    <x v="0"/>
    <n v="3"/>
    <n v="88669.99"/>
    <n v="0.15"/>
    <n v="226108.47"/>
    <n v="205558.89"/>
    <n v="20549.580000000002"/>
    <s v="Credit Card"/>
    <n v="9.0883724966163371E-2"/>
  </r>
  <r>
    <s v="ORD-2025-0796"/>
    <x v="177"/>
    <x v="2"/>
    <s v="Hyderabad"/>
    <x v="0"/>
    <x v="0"/>
    <x v="1"/>
    <n v="2"/>
    <n v="15092.52"/>
    <n v="0.1"/>
    <n v="27166.54"/>
    <n v="16787.990000000002"/>
    <n v="10378.549999999999"/>
    <s v="Digital Wallet"/>
    <n v="0.3820342966016283"/>
  </r>
  <r>
    <s v="ORD-2025-0797"/>
    <x v="45"/>
    <x v="1"/>
    <s v="Rawalpindi"/>
    <x v="2"/>
    <x v="11"/>
    <x v="1"/>
    <n v="8"/>
    <n v="39743.82"/>
    <n v="0.15"/>
    <n v="270257.98"/>
    <n v="252616.27"/>
    <n v="17641.71"/>
    <s v="Bank Transfer"/>
    <n v="6.5277295419731915E-2"/>
  </r>
  <r>
    <s v="ORD-2025-0798"/>
    <x v="319"/>
    <x v="0"/>
    <s v="Faisalabad"/>
    <x v="2"/>
    <x v="7"/>
    <x v="2"/>
    <n v="1"/>
    <n v="7834.6"/>
    <n v="0"/>
    <n v="7834.6"/>
    <n v="4996.22"/>
    <n v="2838.38"/>
    <s v="Digital Wallet"/>
    <n v="0.36228780027059454"/>
  </r>
  <r>
    <s v="ORD-2025-0799"/>
    <x v="297"/>
    <x v="2"/>
    <s v="Hyderabad"/>
    <x v="0"/>
    <x v="10"/>
    <x v="5"/>
    <n v="4"/>
    <n v="191322.01"/>
    <n v="0.05"/>
    <n v="727023.64"/>
    <n v="556536.56999999995"/>
    <n v="170487.07"/>
    <s v="Credit Card"/>
    <n v="0.23450003633994626"/>
  </r>
  <r>
    <s v="ORD-2025-0800"/>
    <x v="320"/>
    <x v="1"/>
    <s v="Peshawar"/>
    <x v="0"/>
    <x v="1"/>
    <x v="6"/>
    <n v="5"/>
    <n v="86467.51"/>
    <n v="0.15"/>
    <n v="367486.92"/>
    <n v="339102.22"/>
    <n v="28384.7"/>
    <s v="Bank Transfer"/>
    <n v="7.7240028026031513E-2"/>
  </r>
  <r>
    <s v="ORD-2025-0801"/>
    <x v="249"/>
    <x v="1"/>
    <s v="Rawalpindi"/>
    <x v="1"/>
    <x v="12"/>
    <x v="6"/>
    <n v="4"/>
    <n v="34132.1"/>
    <n v="0.15"/>
    <n v="116049.14"/>
    <n v="90653.48"/>
    <n v="25395.66"/>
    <s v="Cash"/>
    <n v="0.21883540024510306"/>
  </r>
  <r>
    <s v="ORD-2025-0802"/>
    <x v="149"/>
    <x v="2"/>
    <s v="Quetta"/>
    <x v="1"/>
    <x v="4"/>
    <x v="3"/>
    <n v="1"/>
    <n v="24884.959999999999"/>
    <n v="0"/>
    <n v="24884.959999999999"/>
    <n v="16180.29"/>
    <n v="8704.67"/>
    <s v="Bank Transfer"/>
    <n v="0.34979642322109422"/>
  </r>
  <r>
    <s v="ORD-2025-0803"/>
    <x v="280"/>
    <x v="1"/>
    <s v="Islamabad"/>
    <x v="0"/>
    <x v="10"/>
    <x v="0"/>
    <n v="7"/>
    <n v="171027.15"/>
    <n v="0"/>
    <n v="1197190.05"/>
    <n v="987636.58"/>
    <n v="209553.47"/>
    <s v="Credit Card"/>
    <n v="0.17503776447189817"/>
  </r>
  <r>
    <s v="ORD-2025-0804"/>
    <x v="321"/>
    <x v="1"/>
    <s v="Peshawar"/>
    <x v="2"/>
    <x v="5"/>
    <x v="3"/>
    <n v="1"/>
    <n v="28115.5"/>
    <n v="0"/>
    <n v="28115.5"/>
    <n v="19514.78"/>
    <n v="8600.7199999999993"/>
    <s v="Credit Card"/>
    <n v="0.30590670626522737"/>
  </r>
  <r>
    <s v="ORD-2025-0805"/>
    <x v="268"/>
    <x v="0"/>
    <s v="Faisalabad"/>
    <x v="3"/>
    <x v="13"/>
    <x v="1"/>
    <n v="4"/>
    <n v="6202.33"/>
    <n v="0.05"/>
    <n v="23568.85"/>
    <n v="14293.95"/>
    <n v="9274.9"/>
    <s v="Bank Transfer"/>
    <n v="0.39352365516348908"/>
  </r>
  <r>
    <s v="ORD-2025-0806"/>
    <x v="317"/>
    <x v="1"/>
    <s v="Rawalpindi"/>
    <x v="2"/>
    <x v="7"/>
    <x v="6"/>
    <n v="4"/>
    <n v="7909.78"/>
    <n v="0.05"/>
    <n v="30057.16"/>
    <n v="19903.72"/>
    <n v="10153.44"/>
    <s v="Cash"/>
    <n v="0.33780437007355318"/>
  </r>
  <r>
    <s v="ORD-2025-0807"/>
    <x v="195"/>
    <x v="1"/>
    <s v="Rawalpindi"/>
    <x v="1"/>
    <x v="4"/>
    <x v="2"/>
    <n v="2"/>
    <n v="25333.119999999999"/>
    <n v="0.1"/>
    <n v="45599.62"/>
    <n v="31031.27"/>
    <n v="14568.35"/>
    <s v="Digital Wallet"/>
    <n v="0.31948402201597292"/>
  </r>
  <r>
    <s v="ORD-2025-0808"/>
    <x v="34"/>
    <x v="0"/>
    <s v="Multan"/>
    <x v="2"/>
    <x v="9"/>
    <x v="7"/>
    <n v="3"/>
    <n v="38822.949999999997"/>
    <n v="0.15"/>
    <n v="98998.52"/>
    <n v="77396.100000000006"/>
    <n v="21602.42"/>
    <s v="Cash"/>
    <n v="0.21820952474845076"/>
  </r>
  <r>
    <s v="ORD-2025-0809"/>
    <x v="62"/>
    <x v="2"/>
    <s v="Karachi"/>
    <x v="3"/>
    <x v="14"/>
    <x v="6"/>
    <n v="4"/>
    <n v="5202.8500000000004"/>
    <n v="0.15"/>
    <n v="17689.689999999999"/>
    <n v="11223.22"/>
    <n v="6466.47"/>
    <s v="Cash"/>
    <n v="0.36555021597325904"/>
  </r>
  <r>
    <s v="ORD-2025-0810"/>
    <x v="149"/>
    <x v="2"/>
    <s v="Karachi"/>
    <x v="3"/>
    <x v="6"/>
    <x v="5"/>
    <n v="2"/>
    <n v="3904.27"/>
    <n v="0.05"/>
    <n v="7418.11"/>
    <n v="4220.63"/>
    <n v="3197.48"/>
    <s v="Digital Wallet"/>
    <n v="0.43103701616719087"/>
  </r>
  <r>
    <s v="ORD-2025-0811"/>
    <x v="132"/>
    <x v="1"/>
    <s v="Peshawar"/>
    <x v="0"/>
    <x v="1"/>
    <x v="6"/>
    <n v="8"/>
    <n v="95521.84"/>
    <n v="0.05"/>
    <n v="725965.98"/>
    <n v="532792.89"/>
    <n v="193173.09"/>
    <s v="Digital Wallet"/>
    <n v="0.26609110526088287"/>
  </r>
  <r>
    <s v="ORD-2025-0812"/>
    <x v="322"/>
    <x v="0"/>
    <s v="Faisalabad"/>
    <x v="0"/>
    <x v="1"/>
    <x v="3"/>
    <n v="6"/>
    <n v="89684.96"/>
    <n v="0"/>
    <n v="538109.76"/>
    <n v="411162.74"/>
    <n v="126947.02"/>
    <s v="Credit Card"/>
    <n v="0.23591287398318142"/>
  </r>
  <r>
    <s v="ORD-2025-0813"/>
    <x v="171"/>
    <x v="0"/>
    <s v="Faisalabad"/>
    <x v="1"/>
    <x v="12"/>
    <x v="3"/>
    <n v="8"/>
    <n v="33685.25"/>
    <n v="0"/>
    <n v="269482"/>
    <n v="185560.32000000001"/>
    <n v="83921.68"/>
    <s v="Cash"/>
    <n v="0.3114184991947514"/>
  </r>
  <r>
    <s v="ORD-2025-0814"/>
    <x v="97"/>
    <x v="0"/>
    <s v="Lahore"/>
    <x v="2"/>
    <x v="5"/>
    <x v="3"/>
    <n v="2"/>
    <n v="27011.96"/>
    <n v="0.1"/>
    <n v="48621.53"/>
    <n v="39071.050000000003"/>
    <n v="9550.48"/>
    <s v="Cash"/>
    <n v="0.19642491710976598"/>
  </r>
  <r>
    <s v="ORD-2025-0815"/>
    <x v="12"/>
    <x v="2"/>
    <s v="Quetta"/>
    <x v="3"/>
    <x v="8"/>
    <x v="3"/>
    <n v="3"/>
    <n v="11907.88"/>
    <n v="0"/>
    <n v="35723.64"/>
    <n v="19493.78"/>
    <n v="16229.86"/>
    <s v="Bank Transfer"/>
    <n v="0.45431708526902637"/>
  </r>
  <r>
    <s v="ORD-2025-0816"/>
    <x v="184"/>
    <x v="2"/>
    <s v="Quetta"/>
    <x v="3"/>
    <x v="6"/>
    <x v="1"/>
    <n v="5"/>
    <n v="4443.55"/>
    <n v="0.05"/>
    <n v="21106.86"/>
    <n v="10243.81"/>
    <n v="10863.05"/>
    <s v="Digital Wallet"/>
    <n v="0.51466916443279576"/>
  </r>
  <r>
    <s v="ORD-2025-0817"/>
    <x v="282"/>
    <x v="1"/>
    <s v="Rawalpindi"/>
    <x v="3"/>
    <x v="14"/>
    <x v="1"/>
    <n v="7"/>
    <n v="5416.59"/>
    <n v="0.05"/>
    <n v="36020.32"/>
    <n v="18359.21"/>
    <n v="17661.11"/>
    <s v="Cash"/>
    <n v="0.49030963633860003"/>
  </r>
  <r>
    <s v="ORD-2025-0818"/>
    <x v="323"/>
    <x v="2"/>
    <s v="Quetta"/>
    <x v="2"/>
    <x v="5"/>
    <x v="7"/>
    <n v="5"/>
    <n v="27954.85"/>
    <n v="0.05"/>
    <n v="132785.54"/>
    <n v="95166.46"/>
    <n v="37619.08"/>
    <s v="Cash"/>
    <n v="0.28330705286132812"/>
  </r>
  <r>
    <s v="ORD-2025-0819"/>
    <x v="324"/>
    <x v="2"/>
    <s v="Karachi"/>
    <x v="3"/>
    <x v="6"/>
    <x v="2"/>
    <n v="3"/>
    <n v="4479.6400000000003"/>
    <n v="0"/>
    <n v="13438.92"/>
    <n v="6116.66"/>
    <n v="7322.26"/>
    <s v="Digital Wallet"/>
    <n v="0.5448547948793504"/>
  </r>
  <r>
    <s v="ORD-2025-0820"/>
    <x v="287"/>
    <x v="2"/>
    <s v="Hyderabad"/>
    <x v="3"/>
    <x v="8"/>
    <x v="1"/>
    <n v="7"/>
    <n v="11480.77"/>
    <n v="0.15"/>
    <n v="68310.58"/>
    <n v="47280.26"/>
    <n v="21030.32"/>
    <s v="Cash"/>
    <n v="0.30786329145499863"/>
  </r>
  <r>
    <s v="ORD-2025-0821"/>
    <x v="68"/>
    <x v="1"/>
    <s v="Rawalpindi"/>
    <x v="2"/>
    <x v="5"/>
    <x v="7"/>
    <n v="7"/>
    <n v="30584.36"/>
    <n v="0.15"/>
    <n v="181976.94"/>
    <n v="132255.26999999999"/>
    <n v="49721.67"/>
    <s v="Bank Transfer"/>
    <n v="0.27323060822981199"/>
  </r>
  <r>
    <s v="ORD-2025-0822"/>
    <x v="131"/>
    <x v="0"/>
    <s v="Lahore"/>
    <x v="3"/>
    <x v="14"/>
    <x v="6"/>
    <n v="4"/>
    <n v="4985.6400000000003"/>
    <n v="0"/>
    <n v="19942.560000000001"/>
    <n v="11172.63"/>
    <n v="8769.93"/>
    <s v="Credit Card"/>
    <n v="0.43975948925313502"/>
  </r>
  <r>
    <s v="ORD-2025-0823"/>
    <x v="113"/>
    <x v="2"/>
    <s v="Quetta"/>
    <x v="3"/>
    <x v="6"/>
    <x v="6"/>
    <n v="5"/>
    <n v="4030.26"/>
    <n v="0.1"/>
    <n v="18136.169999999998"/>
    <n v="10884.56"/>
    <n v="7251.61"/>
    <s v="Cash"/>
    <n v="0.39984241435760692"/>
  </r>
  <r>
    <s v="ORD-2025-0824"/>
    <x v="111"/>
    <x v="1"/>
    <s v="Peshawar"/>
    <x v="3"/>
    <x v="14"/>
    <x v="1"/>
    <n v="2"/>
    <n v="5215.42"/>
    <n v="0"/>
    <n v="10430.84"/>
    <n v="5569.13"/>
    <n v="4861.71"/>
    <s v="Bank Transfer"/>
    <n v="0.46608997933052371"/>
  </r>
  <r>
    <s v="ORD-2025-0825"/>
    <x v="89"/>
    <x v="0"/>
    <s v="Faisalabad"/>
    <x v="3"/>
    <x v="8"/>
    <x v="2"/>
    <n v="7"/>
    <n v="11964.53"/>
    <n v="0.15"/>
    <n v="71188.95"/>
    <n v="46904.1"/>
    <n v="24284.85"/>
    <s v="Credit Card"/>
    <n v="0.34113229651511928"/>
  </r>
  <r>
    <s v="ORD-2025-0826"/>
    <x v="283"/>
    <x v="2"/>
    <s v="Quetta"/>
    <x v="2"/>
    <x v="7"/>
    <x v="0"/>
    <n v="5"/>
    <n v="7828.73"/>
    <n v="0"/>
    <n v="39143.65"/>
    <n v="25165.11"/>
    <n v="13978.54"/>
    <s v="Cash"/>
    <n v="0.35710875199425707"/>
  </r>
  <r>
    <s v="ORD-2025-0827"/>
    <x v="148"/>
    <x v="0"/>
    <s v="Faisalabad"/>
    <x v="3"/>
    <x v="8"/>
    <x v="3"/>
    <n v="7"/>
    <n v="10893.97"/>
    <n v="0.05"/>
    <n v="72444.899999999994"/>
    <n v="44728.68"/>
    <n v="27716.22"/>
    <s v="Digital Wallet"/>
    <n v="0.38258345307951291"/>
  </r>
  <r>
    <s v="ORD-2025-0828"/>
    <x v="280"/>
    <x v="1"/>
    <s v="Peshawar"/>
    <x v="0"/>
    <x v="15"/>
    <x v="4"/>
    <n v="4"/>
    <n v="49384.51"/>
    <n v="0"/>
    <n v="197538.04"/>
    <n v="149284.14000000001"/>
    <n v="48253.9"/>
    <s v="Digital Wallet"/>
    <n v="0.24427649479563532"/>
  </r>
  <r>
    <s v="ORD-2025-0829"/>
    <x v="288"/>
    <x v="2"/>
    <s v="Quetta"/>
    <x v="0"/>
    <x v="1"/>
    <x v="2"/>
    <n v="2"/>
    <n v="88954.81"/>
    <n v="0.05"/>
    <n v="169014.14"/>
    <n v="133106.97"/>
    <n v="35907.17"/>
    <s v="Cash"/>
    <n v="0.21245068607869139"/>
  </r>
  <r>
    <s v="ORD-2025-0830"/>
    <x v="14"/>
    <x v="0"/>
    <s v="Lahore"/>
    <x v="3"/>
    <x v="14"/>
    <x v="6"/>
    <n v="2"/>
    <n v="4791.91"/>
    <n v="0.05"/>
    <n v="9104.6299999999992"/>
    <n v="5522.18"/>
    <n v="3582.45"/>
    <s v="Cash"/>
    <n v="0.39347562723581297"/>
  </r>
  <r>
    <s v="ORD-2025-0831"/>
    <x v="281"/>
    <x v="1"/>
    <s v="Peshawar"/>
    <x v="0"/>
    <x v="15"/>
    <x v="1"/>
    <n v="5"/>
    <n v="55595.31"/>
    <n v="0.05"/>
    <n v="264077.71999999997"/>
    <n v="186694.55"/>
    <n v="77383.17"/>
    <s v="Bank Transfer"/>
    <n v="0.29303180139543772"/>
  </r>
  <r>
    <s v="ORD-2025-0832"/>
    <x v="83"/>
    <x v="2"/>
    <s v="Quetta"/>
    <x v="1"/>
    <x v="3"/>
    <x v="6"/>
    <n v="4"/>
    <n v="28905.08"/>
    <n v="0.15"/>
    <n v="98277.27"/>
    <n v="71848.3"/>
    <n v="26428.97"/>
    <s v="Bank Transfer"/>
    <n v="0.26892250873472573"/>
  </r>
  <r>
    <s v="ORD-2025-0834"/>
    <x v="36"/>
    <x v="2"/>
    <s v="Hyderabad"/>
    <x v="3"/>
    <x v="14"/>
    <x v="6"/>
    <n v="4"/>
    <n v="4786.6000000000004"/>
    <n v="0.15"/>
    <n v="16274.44"/>
    <n v="11199.91"/>
    <n v="5074.53"/>
    <s v="Bank Transfer"/>
    <n v="0.31180980728061913"/>
  </r>
  <r>
    <s v="ORD-2025-0836"/>
    <x v="289"/>
    <x v="2"/>
    <s v="Quetta"/>
    <x v="0"/>
    <x v="15"/>
    <x v="6"/>
    <n v="5"/>
    <n v="52891.69"/>
    <n v="0.15"/>
    <n v="224789.68"/>
    <n v="178853.89"/>
    <n v="45935.79"/>
    <s v="Credit Card"/>
    <n v="0.20435008404300412"/>
  </r>
  <r>
    <s v="ORD-2025-0837"/>
    <x v="84"/>
    <x v="2"/>
    <s v="Karachi"/>
    <x v="1"/>
    <x v="4"/>
    <x v="3"/>
    <n v="3"/>
    <n v="26053.919999999998"/>
    <n v="0"/>
    <n v="78161.759999999995"/>
    <n v="47577.84"/>
    <n v="30583.919999999998"/>
    <s v="Credit Card"/>
    <n v="0.39129006306920416"/>
  </r>
  <r>
    <s v="ORD-2025-0838"/>
    <x v="325"/>
    <x v="1"/>
    <s v="Islamabad"/>
    <x v="0"/>
    <x v="10"/>
    <x v="1"/>
    <n v="7"/>
    <n v="199603.5"/>
    <n v="0"/>
    <n v="1397224.5"/>
    <n v="975329.17"/>
    <n v="421895.33"/>
    <s v="Bank Transfer"/>
    <n v="0.30195242783103216"/>
  </r>
  <r>
    <s v="ORD-2025-0839"/>
    <x v="326"/>
    <x v="1"/>
    <s v="Peshawar"/>
    <x v="1"/>
    <x v="4"/>
    <x v="0"/>
    <n v="2"/>
    <n v="25148.67"/>
    <n v="0.1"/>
    <n v="45267.61"/>
    <n v="32053.41"/>
    <n v="13214.2"/>
    <s v="Bank Transfer"/>
    <n v="0.29191291521686258"/>
  </r>
  <r>
    <s v="ORD-2025-0840"/>
    <x v="282"/>
    <x v="1"/>
    <s v="Peshawar"/>
    <x v="0"/>
    <x v="0"/>
    <x v="1"/>
    <n v="7"/>
    <n v="15451.59"/>
    <n v="0.15"/>
    <n v="91936.960000000006"/>
    <n v="58635.26"/>
    <n v="33301.699999999997"/>
    <s v="Credit Card"/>
    <n v="0.36222320163729577"/>
  </r>
  <r>
    <s v="ORD-2025-0842"/>
    <x v="227"/>
    <x v="1"/>
    <s v="Rawalpindi"/>
    <x v="3"/>
    <x v="13"/>
    <x v="1"/>
    <n v="5"/>
    <n v="6044.36"/>
    <n v="0.1"/>
    <n v="27199.62"/>
    <n v="17699.22"/>
    <n v="9500.4"/>
    <s v="Bank Transfer"/>
    <n v="0.34928429147171908"/>
  </r>
  <r>
    <s v="ORD-2025-0843"/>
    <x v="7"/>
    <x v="2"/>
    <s v="Quetta"/>
    <x v="2"/>
    <x v="5"/>
    <x v="5"/>
    <n v="2"/>
    <n v="28022.62"/>
    <n v="0.1"/>
    <n v="50440.72"/>
    <n v="39127.279999999999"/>
    <n v="11313.44"/>
    <s v="Bank Transfer"/>
    <n v="0.22429180233747656"/>
  </r>
  <r>
    <s v="ORD-2025-0844"/>
    <x v="308"/>
    <x v="1"/>
    <s v="Rawalpindi"/>
    <x v="3"/>
    <x v="6"/>
    <x v="6"/>
    <n v="5"/>
    <n v="3962.03"/>
    <n v="0.15"/>
    <n v="16838.63"/>
    <n v="10809.11"/>
    <n v="6029.52"/>
    <s v="Bank Transfer"/>
    <n v="0.35807663687604041"/>
  </r>
  <r>
    <s v="ORD-2025-0845"/>
    <x v="74"/>
    <x v="2"/>
    <s v="Quetta"/>
    <x v="0"/>
    <x v="0"/>
    <x v="1"/>
    <n v="8"/>
    <n v="14804.1"/>
    <n v="0"/>
    <n v="118432.8"/>
    <n v="65905.16"/>
    <n v="52527.64"/>
    <s v="Cash"/>
    <n v="0.44352274032193784"/>
  </r>
  <r>
    <s v="ORD-2025-0846"/>
    <x v="254"/>
    <x v="2"/>
    <s v="Karachi"/>
    <x v="2"/>
    <x v="5"/>
    <x v="4"/>
    <n v="1"/>
    <n v="30429.599999999999"/>
    <n v="0"/>
    <n v="30429.599999999999"/>
    <n v="19569.52"/>
    <n v="10860.08"/>
    <s v="Credit Card"/>
    <n v="0.35689197360464814"/>
  </r>
  <r>
    <s v="ORD-2025-0847"/>
    <x v="254"/>
    <x v="1"/>
    <s v="Peshawar"/>
    <x v="3"/>
    <x v="8"/>
    <x v="0"/>
    <n v="7"/>
    <n v="11827.33"/>
    <n v="0.05"/>
    <n v="78651.740000000005"/>
    <n v="46548.32"/>
    <n v="32103.42"/>
    <s v="Bank Transfer"/>
    <n v="0.4081717708978847"/>
  </r>
  <r>
    <s v="ORD-2025-0848"/>
    <x v="269"/>
    <x v="2"/>
    <s v="Quetta"/>
    <x v="2"/>
    <x v="7"/>
    <x v="4"/>
    <n v="2"/>
    <n v="7998.02"/>
    <n v="0.1"/>
    <n v="14396.44"/>
    <n v="10099.98"/>
    <n v="4296.46"/>
    <s v="Digital Wallet"/>
    <n v="0.29843905854502917"/>
  </r>
  <r>
    <s v="ORD-2025-0849"/>
    <x v="168"/>
    <x v="0"/>
    <s v="Lahore"/>
    <x v="2"/>
    <x v="7"/>
    <x v="6"/>
    <n v="8"/>
    <n v="8215.8700000000008"/>
    <n v="0"/>
    <n v="65726.960000000006"/>
    <n v="38599.599999999999"/>
    <n v="27127.360000000001"/>
    <s v="Bank Transfer"/>
    <n v="0.41272804949445402"/>
  </r>
  <r>
    <s v="ORD-2025-0850"/>
    <x v="134"/>
    <x v="0"/>
    <s v="Multan"/>
    <x v="0"/>
    <x v="1"/>
    <x v="6"/>
    <n v="7"/>
    <n v="98629.86"/>
    <n v="0.05"/>
    <n v="655888.56999999995"/>
    <n v="484359.12"/>
    <n v="171529.45"/>
    <s v="Cash"/>
    <n v="0.26152224302368926"/>
  </r>
  <r>
    <s v="ORD-2025-0851"/>
    <x v="259"/>
    <x v="2"/>
    <s v="Hyderabad"/>
    <x v="2"/>
    <x v="11"/>
    <x v="5"/>
    <n v="2"/>
    <n v="46304.3"/>
    <n v="0.15"/>
    <n v="78717.31"/>
    <n v="61609.03"/>
    <n v="17108.28"/>
    <s v="Digital Wallet"/>
    <n v="0.2173382195097876"/>
  </r>
  <r>
    <s v="ORD-2025-0852"/>
    <x v="304"/>
    <x v="1"/>
    <s v="Islamabad"/>
    <x v="0"/>
    <x v="1"/>
    <x v="1"/>
    <n v="7"/>
    <n v="91832.57"/>
    <n v="0.15"/>
    <n v="546403.79"/>
    <n v="481583.9"/>
    <n v="64819.89"/>
    <s v="Cash"/>
    <n v="0.11863001535915407"/>
  </r>
  <r>
    <s v="ORD-2025-0853"/>
    <x v="327"/>
    <x v="2"/>
    <s v="Quetta"/>
    <x v="3"/>
    <x v="8"/>
    <x v="7"/>
    <n v="8"/>
    <n v="11255.87"/>
    <n v="0"/>
    <n v="90046.96"/>
    <n v="50864.52"/>
    <n v="39182.44"/>
    <s v="Credit Card"/>
    <n v="0.43513340150517016"/>
  </r>
  <r>
    <s v="ORD-2025-0854"/>
    <x v="102"/>
    <x v="1"/>
    <s v="Peshawar"/>
    <x v="3"/>
    <x v="8"/>
    <x v="1"/>
    <n v="2"/>
    <n v="12041.59"/>
    <n v="0"/>
    <n v="24083.18"/>
    <n v="12959.4"/>
    <n v="11123.78"/>
    <s v="Bank Transfer"/>
    <n v="0.46188999957646792"/>
  </r>
  <r>
    <s v="ORD-2025-0855"/>
    <x v="328"/>
    <x v="0"/>
    <s v="Lahore"/>
    <x v="0"/>
    <x v="0"/>
    <x v="6"/>
    <n v="2"/>
    <n v="14995.94"/>
    <n v="0.1"/>
    <n v="26992.69"/>
    <n v="16120.25"/>
    <n v="10872.44"/>
    <s v="Digital Wallet"/>
    <n v="0.40279201517151497"/>
  </r>
  <r>
    <s v="ORD-2025-0856"/>
    <x v="157"/>
    <x v="0"/>
    <s v="Multan"/>
    <x v="3"/>
    <x v="13"/>
    <x v="5"/>
    <n v="2"/>
    <n v="6763.65"/>
    <n v="0"/>
    <n v="13527.3"/>
    <n v="7470.7"/>
    <n v="6056.6"/>
    <s v="Credit Card"/>
    <n v="0.4477316241969943"/>
  </r>
  <r>
    <s v="ORD-2025-0857"/>
    <x v="113"/>
    <x v="1"/>
    <s v="Peshawar"/>
    <x v="3"/>
    <x v="8"/>
    <x v="0"/>
    <n v="2"/>
    <n v="10652.02"/>
    <n v="0.1"/>
    <n v="19173.64"/>
    <n v="12797.67"/>
    <n v="6375.97"/>
    <s v="Bank Transfer"/>
    <n v="0.33253831823274038"/>
  </r>
  <r>
    <s v="ORD-2025-0858"/>
    <x v="224"/>
    <x v="1"/>
    <s v="Islamabad"/>
    <x v="0"/>
    <x v="0"/>
    <x v="6"/>
    <n v="6"/>
    <n v="15581.76"/>
    <n v="0"/>
    <n v="93490.559999999998"/>
    <n v="49180.99"/>
    <n v="44309.57"/>
    <s v="Credit Card"/>
    <n v="0.47394699529021966"/>
  </r>
  <r>
    <s v="ORD-2025-0859"/>
    <x v="79"/>
    <x v="2"/>
    <s v="Karachi"/>
    <x v="1"/>
    <x v="4"/>
    <x v="3"/>
    <n v="3"/>
    <n v="24802.12"/>
    <n v="0.15"/>
    <n v="63245.41"/>
    <n v="47016.32"/>
    <n v="16229.09"/>
    <s v="Cash"/>
    <n v="0.25660502477571101"/>
  </r>
  <r>
    <s v="ORD-2025-0861"/>
    <x v="173"/>
    <x v="2"/>
    <s v="Karachi"/>
    <x v="3"/>
    <x v="13"/>
    <x v="7"/>
    <n v="5"/>
    <n v="6251.1"/>
    <n v="0.15"/>
    <n v="26567.17"/>
    <n v="18598.61"/>
    <n v="7968.56"/>
    <s v="Cash"/>
    <n v="0.29994011405806492"/>
  </r>
  <r>
    <s v="ORD-2025-0862"/>
    <x v="165"/>
    <x v="2"/>
    <s v="Quetta"/>
    <x v="3"/>
    <x v="6"/>
    <x v="3"/>
    <n v="4"/>
    <n v="3911.42"/>
    <n v="0.15"/>
    <n v="13298.83"/>
    <n v="8306.41"/>
    <n v="4992.42"/>
    <s v="Bank Transfer"/>
    <n v="0.37540294898122617"/>
  </r>
  <r>
    <s v="ORD-2025-0863"/>
    <x v="281"/>
    <x v="0"/>
    <s v="Multan"/>
    <x v="2"/>
    <x v="7"/>
    <x v="3"/>
    <n v="3"/>
    <n v="8250.25"/>
    <n v="0.05"/>
    <n v="23513.21"/>
    <n v="14648.93"/>
    <n v="8864.2800000000007"/>
    <s v="Cash"/>
    <n v="0.37699148691310125"/>
  </r>
  <r>
    <s v="ORD-2025-0864"/>
    <x v="329"/>
    <x v="2"/>
    <s v="Karachi"/>
    <x v="0"/>
    <x v="15"/>
    <x v="4"/>
    <n v="2"/>
    <n v="50580.25"/>
    <n v="0"/>
    <n v="101160.5"/>
    <n v="72664.009999999995"/>
    <n v="28496.49"/>
    <s v="Credit Card"/>
    <n v="0.28169582000879789"/>
  </r>
  <r>
    <s v="ORD-2025-0865"/>
    <x v="330"/>
    <x v="1"/>
    <s v="Rawalpindi"/>
    <x v="0"/>
    <x v="10"/>
    <x v="0"/>
    <n v="7"/>
    <n v="199192.76"/>
    <n v="0"/>
    <n v="1394349.32"/>
    <n v="990525.24"/>
    <n v="403824.08"/>
    <s v="Credit Card"/>
    <n v="0.28961471433858482"/>
  </r>
  <r>
    <s v="ORD-2025-0866"/>
    <x v="278"/>
    <x v="0"/>
    <s v="Multan"/>
    <x v="1"/>
    <x v="4"/>
    <x v="4"/>
    <n v="2"/>
    <n v="24613.52"/>
    <n v="0.15"/>
    <n v="41842.980000000003"/>
    <n v="31917.61"/>
    <n v="9925.3700000000008"/>
    <s v="Cash"/>
    <n v="0.23720514169879869"/>
  </r>
  <r>
    <s v="ORD-2025-0867"/>
    <x v="139"/>
    <x v="1"/>
    <s v="Islamabad"/>
    <x v="1"/>
    <x v="4"/>
    <x v="1"/>
    <n v="3"/>
    <n v="23893.08"/>
    <n v="0.15"/>
    <n v="60927.35"/>
    <n v="48226.98"/>
    <n v="12700.37"/>
    <s v="Digital Wallet"/>
    <n v="0.20845104866697797"/>
  </r>
  <r>
    <s v="ORD-2025-0868"/>
    <x v="5"/>
    <x v="0"/>
    <s v="Lahore"/>
    <x v="1"/>
    <x v="2"/>
    <x v="6"/>
    <n v="3"/>
    <n v="138403.35999999999"/>
    <n v="0"/>
    <n v="415210.08"/>
    <n v="301944.36"/>
    <n v="113265.72"/>
    <s v="Bank Transfer"/>
    <n v="0.27279135419833739"/>
  </r>
  <r>
    <s v="ORD-2025-0869"/>
    <x v="192"/>
    <x v="0"/>
    <s v="Lahore"/>
    <x v="3"/>
    <x v="14"/>
    <x v="4"/>
    <n v="3"/>
    <n v="5149.21"/>
    <n v="0.05"/>
    <n v="14675.25"/>
    <n v="8309.73"/>
    <n v="6365.52"/>
    <s v="Bank Transfer"/>
    <n v="0.433758879746512"/>
  </r>
  <r>
    <s v="ORD-2025-0870"/>
    <x v="240"/>
    <x v="2"/>
    <s v="Quetta"/>
    <x v="2"/>
    <x v="9"/>
    <x v="0"/>
    <n v="2"/>
    <n v="40720.519999999997"/>
    <n v="0.05"/>
    <n v="77368.990000000005"/>
    <n v="53244.91"/>
    <n v="24124.080000000002"/>
    <s v="Cash"/>
    <n v="0.31180554379732761"/>
  </r>
  <r>
    <s v="ORD-2025-0871"/>
    <x v="147"/>
    <x v="0"/>
    <s v="Lahore"/>
    <x v="0"/>
    <x v="1"/>
    <x v="6"/>
    <n v="1"/>
    <n v="85885.09"/>
    <n v="0.05"/>
    <n v="81590.84"/>
    <n v="68597.8"/>
    <n v="12993.04"/>
    <s v="Digital Wallet"/>
    <n v="0.15924630755119082"/>
  </r>
  <r>
    <s v="ORD-2025-0872"/>
    <x v="200"/>
    <x v="0"/>
    <s v="Multan"/>
    <x v="2"/>
    <x v="7"/>
    <x v="0"/>
    <n v="8"/>
    <n v="8520.42"/>
    <n v="0.15"/>
    <n v="57938.86"/>
    <n v="40460.89"/>
    <n v="17477.97"/>
    <s v="Digital Wallet"/>
    <n v="0.30166230402186028"/>
  </r>
  <r>
    <s v="ORD-2025-0873"/>
    <x v="230"/>
    <x v="1"/>
    <s v="Peshawar"/>
    <x v="2"/>
    <x v="11"/>
    <x v="6"/>
    <n v="7"/>
    <n v="44393.83"/>
    <n v="0.15"/>
    <n v="264143.28999999998"/>
    <n v="215731.47"/>
    <n v="48411.82"/>
    <s v="Digital Wallet"/>
    <n v="0.18327862880787169"/>
  </r>
  <r>
    <s v="ORD-2025-0874"/>
    <x v="331"/>
    <x v="1"/>
    <s v="Peshawar"/>
    <x v="2"/>
    <x v="5"/>
    <x v="1"/>
    <n v="2"/>
    <n v="27893.75"/>
    <n v="0"/>
    <n v="55787.5"/>
    <n v="38226.400000000001"/>
    <n v="17561.099999999999"/>
    <s v="Digital Wallet"/>
    <n v="0.31478557024423032"/>
  </r>
  <r>
    <s v="ORD-2025-0875"/>
    <x v="157"/>
    <x v="2"/>
    <s v="Karachi"/>
    <x v="1"/>
    <x v="2"/>
    <x v="4"/>
    <n v="6"/>
    <n v="143943.38"/>
    <n v="0"/>
    <n v="863660.28"/>
    <n v="623101.82999999996"/>
    <n v="240558.45"/>
    <s v="Bank Transfer"/>
    <n v="0.27853364982814771"/>
  </r>
  <r>
    <s v="ORD-2025-0876"/>
    <x v="290"/>
    <x v="2"/>
    <s v="Hyderabad"/>
    <x v="1"/>
    <x v="12"/>
    <x v="6"/>
    <n v="1"/>
    <n v="34256.78"/>
    <n v="0.1"/>
    <n v="30831.1"/>
    <n v="22444.95"/>
    <n v="8386.15"/>
    <s v="Digital Wallet"/>
    <n v="0.27200294507818407"/>
  </r>
  <r>
    <s v="ORD-2025-0877"/>
    <x v="26"/>
    <x v="0"/>
    <s v="Faisalabad"/>
    <x v="0"/>
    <x v="0"/>
    <x v="6"/>
    <n v="1"/>
    <n v="14768.03"/>
    <n v="0.05"/>
    <n v="14029.63"/>
    <n v="8125.25"/>
    <n v="5904.38"/>
    <s v="Bank Transfer"/>
    <n v="0.42085072806624269"/>
  </r>
  <r>
    <s v="ORD-2025-0878"/>
    <x v="315"/>
    <x v="0"/>
    <s v="Lahore"/>
    <x v="3"/>
    <x v="8"/>
    <x v="5"/>
    <n v="1"/>
    <n v="10766.46"/>
    <n v="0.05"/>
    <n v="10228.14"/>
    <n v="6394.88"/>
    <n v="3833.26"/>
    <s v="Digital Wallet"/>
    <n v="0.37477586345122382"/>
  </r>
  <r>
    <s v="ORD-2025-0879"/>
    <x v="80"/>
    <x v="1"/>
    <s v="Rawalpindi"/>
    <x v="0"/>
    <x v="1"/>
    <x v="1"/>
    <n v="5"/>
    <n v="87968.12"/>
    <n v="0.05"/>
    <n v="417848.57"/>
    <n v="338708.57"/>
    <n v="79140"/>
    <s v="Credit Card"/>
    <n v="0.18939875754510779"/>
  </r>
  <r>
    <s v="ORD-2025-0880"/>
    <x v="38"/>
    <x v="0"/>
    <s v="Faisalabad"/>
    <x v="0"/>
    <x v="15"/>
    <x v="2"/>
    <n v="8"/>
    <n v="49186.46"/>
    <n v="0.05"/>
    <n v="373817.1"/>
    <n v="298510.53999999998"/>
    <n v="75306.559999999998"/>
    <s v="Credit Card"/>
    <n v="0.20145295653944134"/>
  </r>
  <r>
    <s v="ORD-2025-0881"/>
    <x v="153"/>
    <x v="1"/>
    <s v="Islamabad"/>
    <x v="1"/>
    <x v="2"/>
    <x v="5"/>
    <n v="3"/>
    <n v="132722.19"/>
    <n v="0.15"/>
    <n v="338441.58"/>
    <n v="300935.03999999998"/>
    <n v="37506.54"/>
    <s v="Credit Card"/>
    <n v="0.11082131220401464"/>
  </r>
  <r>
    <s v="ORD-2025-0882"/>
    <x v="203"/>
    <x v="2"/>
    <s v="Quetta"/>
    <x v="1"/>
    <x v="2"/>
    <x v="2"/>
    <n v="7"/>
    <n v="134763.87"/>
    <n v="0.05"/>
    <n v="896179.74"/>
    <n v="725373.1"/>
    <n v="170806.64"/>
    <s v="Digital Wallet"/>
    <n v="0.19059417701185705"/>
  </r>
  <r>
    <s v="ORD-2025-0883"/>
    <x v="119"/>
    <x v="0"/>
    <s v="Multan"/>
    <x v="3"/>
    <x v="6"/>
    <x v="6"/>
    <n v="2"/>
    <n v="4507.5600000000004"/>
    <n v="-0.05"/>
    <n v="9015.1200000000008"/>
    <n v="4111.08"/>
    <n v="4904.04"/>
    <s v="Credit Card"/>
    <n v="0.54397944786092689"/>
  </r>
  <r>
    <s v="ORD-2025-0884"/>
    <x v="239"/>
    <x v="1"/>
    <s v="Peshawar"/>
    <x v="1"/>
    <x v="4"/>
    <x v="1"/>
    <n v="1"/>
    <n v="24242.57"/>
    <n v="0.05"/>
    <n v="23030.44"/>
    <n v="15638.14"/>
    <n v="7392.3"/>
    <s v="Credit Card"/>
    <n v="0.32097953838485066"/>
  </r>
  <r>
    <s v="ORD-2025-0885"/>
    <x v="40"/>
    <x v="0"/>
    <s v="Lahore"/>
    <x v="2"/>
    <x v="5"/>
    <x v="1"/>
    <n v="5"/>
    <n v="29716.28"/>
    <n v="0.05"/>
    <n v="141152.32999999999"/>
    <n v="98761.81"/>
    <n v="42390.52"/>
    <s v="Credit Card"/>
    <n v="0.30031753638073139"/>
  </r>
  <r>
    <s v="ORD-2025-0886"/>
    <x v="286"/>
    <x v="2"/>
    <s v="Quetta"/>
    <x v="0"/>
    <x v="1"/>
    <x v="3"/>
    <n v="4"/>
    <n v="99250.36"/>
    <n v="0.1"/>
    <n v="357301.3"/>
    <n v="275814.40999999997"/>
    <n v="81486.89"/>
    <s v="Cash"/>
    <n v="0.2280621145235128"/>
  </r>
  <r>
    <s v="ORD-2025-0887"/>
    <x v="120"/>
    <x v="1"/>
    <s v="Rawalpindi"/>
    <x v="0"/>
    <x v="0"/>
    <x v="0"/>
    <n v="4"/>
    <n v="15495.51"/>
    <n v="0.05"/>
    <n v="58882.94"/>
    <n v="31856.55"/>
    <n v="27026.39"/>
    <s v="Cash"/>
    <n v="0.4589850642647938"/>
  </r>
  <r>
    <s v="ORD-2025-0888"/>
    <x v="92"/>
    <x v="2"/>
    <s v="Hyderabad"/>
    <x v="1"/>
    <x v="12"/>
    <x v="6"/>
    <n v="4"/>
    <n v="32135.02"/>
    <n v="0.05"/>
    <n v="122113.08"/>
    <n v="87686.5"/>
    <n v="34426.58"/>
    <s v="Bank Transfer"/>
    <n v="0.28192377098341964"/>
  </r>
  <r>
    <s v="ORD-2025-0889"/>
    <x v="154"/>
    <x v="1"/>
    <s v="Rawalpindi"/>
    <x v="1"/>
    <x v="3"/>
    <x v="5"/>
    <n v="6"/>
    <n v="27914.05"/>
    <n v="0"/>
    <n v="167484.29999999999"/>
    <n v="107178"/>
    <n v="60306.3"/>
    <s v="Cash"/>
    <n v="0.36007136191272859"/>
  </r>
  <r>
    <s v="ORD-2025-0890"/>
    <x v="231"/>
    <x v="1"/>
    <s v="Islamabad"/>
    <x v="1"/>
    <x v="12"/>
    <x v="4"/>
    <n v="5"/>
    <n v="32852.47"/>
    <n v="0.1"/>
    <n v="147836.12"/>
    <n v="109918.5"/>
    <n v="37917.620000000003"/>
    <s v="Digital Wallet"/>
    <n v="0.25648413932941422"/>
  </r>
  <r>
    <s v="ORD-2025-0891"/>
    <x v="98"/>
    <x v="2"/>
    <s v="Hyderabad"/>
    <x v="1"/>
    <x v="2"/>
    <x v="2"/>
    <n v="2"/>
    <n v="138649.26999999999"/>
    <n v="0.15"/>
    <n v="235703.76"/>
    <n v="203742"/>
    <n v="31961.759999999998"/>
    <s v="Bank Transfer"/>
    <n v="0.13560140067345552"/>
  </r>
  <r>
    <s v="ORD-2025-0892"/>
    <x v="26"/>
    <x v="0"/>
    <s v="Faisalabad"/>
    <x v="1"/>
    <x v="12"/>
    <x v="5"/>
    <n v="5"/>
    <n v="31468.98"/>
    <n v="0.05"/>
    <n v="149477.65"/>
    <n v="109811.95"/>
    <n v="39665.699999999997"/>
    <s v="Cash"/>
    <n v="0.26536207921384902"/>
  </r>
  <r>
    <s v="ORD-2025-0893"/>
    <x v="59"/>
    <x v="1"/>
    <s v="Peshawar"/>
    <x v="2"/>
    <x v="5"/>
    <x v="2"/>
    <n v="8"/>
    <n v="30440.28"/>
    <n v="0"/>
    <n v="243522.24"/>
    <n v="157460.94"/>
    <n v="86061.3"/>
    <s v="Bank Transfer"/>
    <n v="0.35340221903346491"/>
  </r>
  <r>
    <s v="ORD-2025-0894"/>
    <x v="332"/>
    <x v="0"/>
    <s v="Faisalabad"/>
    <x v="2"/>
    <x v="5"/>
    <x v="2"/>
    <n v="1"/>
    <n v="26802.91"/>
    <n v="0.05"/>
    <n v="25462.76"/>
    <n v="19162.16"/>
    <n v="6300.6"/>
    <s v="Bank Transfer"/>
    <n v="0.24744371780592522"/>
  </r>
  <r>
    <s v="ORD-2025-0895"/>
    <x v="192"/>
    <x v="2"/>
    <s v="Quetta"/>
    <x v="0"/>
    <x v="15"/>
    <x v="6"/>
    <n v="2"/>
    <n v="51857.07"/>
    <n v="0.1"/>
    <n v="93342.73"/>
    <n v="75569.11"/>
    <n v="17773.62"/>
    <s v="Credit Card"/>
    <n v="0.1904124724014393"/>
  </r>
  <r>
    <s v="ORD-2025-0896"/>
    <x v="66"/>
    <x v="0"/>
    <s v="Faisalabad"/>
    <x v="2"/>
    <x v="9"/>
    <x v="3"/>
    <n v="1"/>
    <n v="40771.279999999999"/>
    <n v="0"/>
    <n v="40771.279999999999"/>
    <n v="26665.79"/>
    <n v="14105.49"/>
    <s v="Digital Wallet"/>
    <n v="0.34596632727743648"/>
  </r>
  <r>
    <s v="ORD-2025-0897"/>
    <x v="43"/>
    <x v="2"/>
    <s v="Quetta"/>
    <x v="0"/>
    <x v="1"/>
    <x v="1"/>
    <n v="8"/>
    <n v="95690.71"/>
    <n v="0.05"/>
    <n v="727249.4"/>
    <n v="549099.94999999995"/>
    <n v="178149.45"/>
    <s v="Bank Transfer"/>
    <n v="0.24496335094948171"/>
  </r>
  <r>
    <s v="ORD-2025-0898"/>
    <x v="333"/>
    <x v="1"/>
    <s v="Islamabad"/>
    <x v="0"/>
    <x v="1"/>
    <x v="7"/>
    <n v="4"/>
    <n v="93355.9"/>
    <n v="0"/>
    <n v="373423.6"/>
    <n v="280579.11"/>
    <n v="92844.49"/>
    <s v="Bank Transfer"/>
    <n v="0.24863048291538084"/>
  </r>
  <r>
    <s v="ORD-2025-0899"/>
    <x v="295"/>
    <x v="2"/>
    <s v="Karachi"/>
    <x v="1"/>
    <x v="3"/>
    <x v="6"/>
    <n v="2"/>
    <n v="25579.19"/>
    <n v="0"/>
    <n v="51158.38"/>
    <n v="36264.589999999997"/>
    <n v="14893.79"/>
    <s v="Credit Card"/>
    <n v="0.29113099359283856"/>
  </r>
  <r>
    <s v="ORD-2025-0900"/>
    <x v="283"/>
    <x v="2"/>
    <s v="Karachi"/>
    <x v="1"/>
    <x v="2"/>
    <x v="2"/>
    <n v="4"/>
    <n v="145573.98000000001"/>
    <n v="0"/>
    <n v="582295.92000000004"/>
    <n v="406998.34"/>
    <n v="175297.58"/>
    <s v="Bank Transfer"/>
    <n v="0.30104552338268137"/>
  </r>
  <r>
    <s v="ORD-2025-0901"/>
    <x v="334"/>
    <x v="2"/>
    <s v="Karachi"/>
    <x v="1"/>
    <x v="12"/>
    <x v="6"/>
    <n v="7"/>
    <n v="35103.21"/>
    <n v="0.05"/>
    <n v="233436.35"/>
    <n v="156354.1"/>
    <n v="77082.25"/>
    <s v="Bank Transfer"/>
    <n v="0.33020671373588562"/>
  </r>
  <r>
    <s v="ORD-2025-0902"/>
    <x v="238"/>
    <x v="1"/>
    <s v="Peshawar"/>
    <x v="1"/>
    <x v="12"/>
    <x v="0"/>
    <n v="5"/>
    <n v="35490.07"/>
    <n v="0.1"/>
    <n v="159705.32"/>
    <n v="114301.38"/>
    <n v="45403.94"/>
    <s v="Digital Wallet"/>
    <n v="0.28429823126743681"/>
  </r>
  <r>
    <s v="ORD-2025-0903"/>
    <x v="144"/>
    <x v="0"/>
    <s v="Faisalabad"/>
    <x v="2"/>
    <x v="7"/>
    <x v="5"/>
    <n v="4"/>
    <n v="8261"/>
    <n v="0"/>
    <n v="33044"/>
    <n v="19810.04"/>
    <n v="13233.96"/>
    <s v="Digital Wallet"/>
    <n v="0.40049509744582978"/>
  </r>
  <r>
    <s v="ORD-2025-0904"/>
    <x v="99"/>
    <x v="1"/>
    <s v="Peshawar"/>
    <x v="3"/>
    <x v="8"/>
    <x v="5"/>
    <n v="3"/>
    <n v="12239.99"/>
    <n v="0"/>
    <n v="36719.97"/>
    <n v="19591.990000000002"/>
    <n v="17127.98"/>
    <s v="Credit Card"/>
    <n v="0.46644863816609872"/>
  </r>
  <r>
    <s v="ORD-2025-0905"/>
    <x v="196"/>
    <x v="1"/>
    <s v="Peshawar"/>
    <x v="3"/>
    <x v="6"/>
    <x v="3"/>
    <n v="5"/>
    <n v="3878.14"/>
    <n v="0"/>
    <n v="19390.7"/>
    <n v="10835.66"/>
    <n v="8555.0400000000009"/>
    <s v="Cash"/>
    <n v="0.44119294300876194"/>
  </r>
  <r>
    <s v="ORD-2025-0906"/>
    <x v="296"/>
    <x v="1"/>
    <s v="Islamabad"/>
    <x v="3"/>
    <x v="6"/>
    <x v="5"/>
    <n v="8"/>
    <n v="4474.9399999999996"/>
    <n v="0.05"/>
    <n v="34009.54"/>
    <n v="16413.87"/>
    <n v="17595.669999999998"/>
    <s v="Cash"/>
    <n v="0.51737453667412137"/>
  </r>
  <r>
    <s v="ORD-2025-0907"/>
    <x v="335"/>
    <x v="0"/>
    <s v="Lahore"/>
    <x v="3"/>
    <x v="14"/>
    <x v="6"/>
    <n v="1"/>
    <n v="4875.55"/>
    <n v="0"/>
    <n v="4875.55"/>
    <n v="2763.29"/>
    <n v="2112.2600000000002"/>
    <s v="Credit Card"/>
    <n v="0.4332352247438751"/>
  </r>
  <r>
    <s v="ORD-2025-0908"/>
    <x v="26"/>
    <x v="1"/>
    <s v="Islamabad"/>
    <x v="1"/>
    <x v="12"/>
    <x v="2"/>
    <n v="1"/>
    <n v="34543.870000000003"/>
    <n v="0"/>
    <n v="34543.870000000003"/>
    <n v="23333.25"/>
    <n v="11210.62"/>
    <s v="Cash"/>
    <n v="0.32453283317705861"/>
  </r>
  <r>
    <s v="ORD-2025-0909"/>
    <x v="133"/>
    <x v="1"/>
    <s v="Islamabad"/>
    <x v="3"/>
    <x v="14"/>
    <x v="4"/>
    <n v="3"/>
    <n v="5039.74"/>
    <n v="0.05"/>
    <n v="14363.26"/>
    <n v="7944.61"/>
    <n v="6418.65"/>
    <s v="Cash"/>
    <n v="0.44687974735540537"/>
  </r>
  <r>
    <s v="ORD-2025-0910"/>
    <x v="212"/>
    <x v="1"/>
    <s v="Islamabad"/>
    <x v="0"/>
    <x v="0"/>
    <x v="6"/>
    <n v="2"/>
    <n v="14526.78"/>
    <n v="0.05"/>
    <n v="27600.880000000001"/>
    <n v="16070.83"/>
    <n v="11530.05"/>
    <s v="Credit Card"/>
    <n v="0.41774211546878209"/>
  </r>
  <r>
    <s v="ORD-2025-0911"/>
    <x v="188"/>
    <x v="2"/>
    <s v="Hyderabad"/>
    <x v="2"/>
    <x v="9"/>
    <x v="7"/>
    <n v="5"/>
    <n v="36333.379999999997"/>
    <n v="0.15"/>
    <n v="154416.85999999999"/>
    <n v="129601.17"/>
    <n v="24815.69"/>
    <s v="Credit Card"/>
    <n v="0.16070583225173729"/>
  </r>
  <r>
    <s v="ORD-2025-0912"/>
    <x v="263"/>
    <x v="1"/>
    <s v="Islamabad"/>
    <x v="0"/>
    <x v="0"/>
    <x v="6"/>
    <n v="6"/>
    <n v="13516.99"/>
    <n v="0.05"/>
    <n v="77046.84"/>
    <n v="48131.6"/>
    <n v="28915.24"/>
    <s v="Credit Card"/>
    <n v="0.37529430149244281"/>
  </r>
  <r>
    <s v="ORD-2025-0913"/>
    <x v="90"/>
    <x v="1"/>
    <s v="Rawalpindi"/>
    <x v="1"/>
    <x v="12"/>
    <x v="4"/>
    <n v="7"/>
    <n v="31153.16"/>
    <n v="0.15"/>
    <n v="185361.3"/>
    <n v="160350.95000000001"/>
    <n v="25010.35"/>
    <s v="Bank Transfer"/>
    <n v="0.1349275711812552"/>
  </r>
  <r>
    <s v="ORD-2025-0914"/>
    <x v="336"/>
    <x v="1"/>
    <s v="Rawalpindi"/>
    <x v="3"/>
    <x v="8"/>
    <x v="5"/>
    <n v="5"/>
    <n v="12071.72"/>
    <n v="0.15"/>
    <n v="51304.81"/>
    <n v="33342.01"/>
    <n v="17962.8"/>
    <s v="Credit Card"/>
    <n v="0.35011921884127434"/>
  </r>
  <r>
    <s v="ORD-2025-0915"/>
    <x v="297"/>
    <x v="2"/>
    <s v="Karachi"/>
    <x v="3"/>
    <x v="14"/>
    <x v="5"/>
    <n v="8"/>
    <n v="5461.79"/>
    <n v="0"/>
    <n v="43694.32"/>
    <n v="21825.7"/>
    <n v="21868.62"/>
    <s v="Cash"/>
    <n v="0.50049113935175094"/>
  </r>
  <r>
    <s v="ORD-2025-0916"/>
    <x v="241"/>
    <x v="2"/>
    <s v="Karachi"/>
    <x v="2"/>
    <x v="7"/>
    <x v="2"/>
    <n v="6"/>
    <n v="8254.27"/>
    <n v="0.05"/>
    <n v="47049.34"/>
    <n v="29508.49"/>
    <n v="17540.849999999999"/>
    <s v="Credit Card"/>
    <n v="0.37281819468668426"/>
  </r>
  <r>
    <s v="ORD-2025-0917"/>
    <x v="337"/>
    <x v="0"/>
    <s v="Lahore"/>
    <x v="3"/>
    <x v="14"/>
    <x v="1"/>
    <n v="8"/>
    <n v="5232.24"/>
    <n v="0.05"/>
    <n v="39765.019999999997"/>
    <n v="21757.1"/>
    <n v="18007.919999999998"/>
    <s v="Cash"/>
    <n v="0.45285831617838995"/>
  </r>
  <r>
    <s v="ORD-2025-0918"/>
    <x v="88"/>
    <x v="0"/>
    <s v="Multan"/>
    <x v="3"/>
    <x v="6"/>
    <x v="2"/>
    <n v="2"/>
    <n v="4022.05"/>
    <n v="0"/>
    <n v="8044.1"/>
    <n v="4133.76"/>
    <n v="3910.34"/>
    <s v="Digital Wallet"/>
    <n v="0.48611280317251154"/>
  </r>
  <r>
    <s v="ORD-2025-0919"/>
    <x v="338"/>
    <x v="1"/>
    <s v="Islamabad"/>
    <x v="0"/>
    <x v="0"/>
    <x v="1"/>
    <n v="6"/>
    <n v="15309.1"/>
    <n v="0"/>
    <n v="91854.6"/>
    <n v="48738.94"/>
    <n v="43115.66"/>
    <s v="Credit Card"/>
    <n v="0.46939031904771239"/>
  </r>
  <r>
    <s v="ORD-2025-0920"/>
    <x v="248"/>
    <x v="1"/>
    <s v="Islamabad"/>
    <x v="0"/>
    <x v="1"/>
    <x v="1"/>
    <n v="2"/>
    <n v="98801.41"/>
    <n v="0.15"/>
    <n v="167962.4"/>
    <n v="133282.09"/>
    <n v="34680.31"/>
    <s v="Bank Transfer"/>
    <n v="0.20647662810248008"/>
  </r>
  <r>
    <s v="ORD-2025-0921"/>
    <x v="81"/>
    <x v="1"/>
    <s v="Peshawar"/>
    <x v="0"/>
    <x v="10"/>
    <x v="5"/>
    <n v="8"/>
    <n v="194988.14"/>
    <n v="0"/>
    <n v="1559905.12"/>
    <n v="1104320.3700000001"/>
    <n v="455584.75"/>
    <s v="Cash"/>
    <n v="0.29205926960480771"/>
  </r>
  <r>
    <s v="ORD-2025-0922"/>
    <x v="315"/>
    <x v="1"/>
    <s v="Islamabad"/>
    <x v="0"/>
    <x v="15"/>
    <x v="4"/>
    <n v="3"/>
    <n v="54208.28"/>
    <n v="0.05"/>
    <n v="154493.6"/>
    <n v="111914.37"/>
    <n v="42579.23"/>
    <s v="Digital Wallet"/>
    <n v="0.2756051383358275"/>
  </r>
  <r>
    <s v="ORD-2025-0923"/>
    <x v="292"/>
    <x v="2"/>
    <s v="Quetta"/>
    <x v="1"/>
    <x v="4"/>
    <x v="6"/>
    <n v="1"/>
    <n v="23664.13"/>
    <n v="0"/>
    <n v="23664.13"/>
    <n v="15392.36"/>
    <n v="8271.77"/>
    <s v="Credit Card"/>
    <n v="0.34954887418214825"/>
  </r>
  <r>
    <s v="ORD-2025-0924"/>
    <x v="210"/>
    <x v="0"/>
    <s v="Lahore"/>
    <x v="0"/>
    <x v="15"/>
    <x v="4"/>
    <n v="7"/>
    <n v="53496.800000000003"/>
    <n v="0.05"/>
    <n v="355753.72"/>
    <n v="257746.08"/>
    <n v="98007.64"/>
    <s v="Credit Card"/>
    <n v="0.27549294495079352"/>
  </r>
  <r>
    <s v="ORD-2025-0925"/>
    <x v="19"/>
    <x v="2"/>
    <s v="Karachi"/>
    <x v="1"/>
    <x v="2"/>
    <x v="6"/>
    <n v="7"/>
    <n v="145323.21"/>
    <n v="0"/>
    <n v="1017262.47"/>
    <n v="722567.74"/>
    <n v="294694.73"/>
    <s v="Credit Card"/>
    <n v="0.28969389778038307"/>
  </r>
  <r>
    <s v="ORD-2025-0926"/>
    <x v="141"/>
    <x v="2"/>
    <s v="Karachi"/>
    <x v="0"/>
    <x v="15"/>
    <x v="5"/>
    <n v="8"/>
    <n v="50445.74"/>
    <n v="0.15"/>
    <n v="343031.03"/>
    <n v="291520.24"/>
    <n v="51510.79"/>
    <s v="Cash"/>
    <n v="0.15016364554541903"/>
  </r>
  <r>
    <s v="ORD-2025-0927"/>
    <x v="339"/>
    <x v="2"/>
    <s v="Quetta"/>
    <x v="3"/>
    <x v="6"/>
    <x v="6"/>
    <n v="5"/>
    <n v="3936.85"/>
    <n v="0"/>
    <n v="19684.25"/>
    <n v="10451.59"/>
    <n v="9232.66"/>
    <s v="Credit Card"/>
    <n v="0.46903793642125047"/>
  </r>
  <r>
    <s v="ORD-2025-0928"/>
    <x v="149"/>
    <x v="2"/>
    <s v="Karachi"/>
    <x v="0"/>
    <x v="10"/>
    <x v="6"/>
    <n v="4"/>
    <n v="187874.48"/>
    <n v="0.05"/>
    <n v="713923.02"/>
    <n v="558424.68999999994"/>
    <n v="155498.32999999999"/>
    <s v="Credit Card"/>
    <n v="0.21780825893525604"/>
  </r>
  <r>
    <s v="ORD-2025-0929"/>
    <x v="309"/>
    <x v="2"/>
    <s v="Karachi"/>
    <x v="0"/>
    <x v="15"/>
    <x v="2"/>
    <n v="1"/>
    <n v="48239.77"/>
    <n v="0"/>
    <n v="48239.77"/>
    <n v="37815.67"/>
    <n v="10424.1"/>
    <s v="Bank Transfer"/>
    <n v="0.21608933873440941"/>
  </r>
  <r>
    <s v="ORD-2025-0930"/>
    <x v="284"/>
    <x v="2"/>
    <s v="Quetta"/>
    <x v="2"/>
    <x v="9"/>
    <x v="2"/>
    <n v="7"/>
    <n v="39372.18"/>
    <n v="0"/>
    <n v="275605.26"/>
    <n v="185491.85"/>
    <n v="90113.41"/>
    <s v="Digital Wallet"/>
    <n v="0.32696549405479419"/>
  </r>
  <r>
    <s v="ORD-2025-0931"/>
    <x v="216"/>
    <x v="0"/>
    <s v="Multan"/>
    <x v="0"/>
    <x v="1"/>
    <x v="4"/>
    <n v="1"/>
    <n v="93283.22"/>
    <n v="0.05"/>
    <n v="88619.06"/>
    <n v="68230.3"/>
    <n v="20388.759999999998"/>
    <s v="Credit Card"/>
    <n v="0.23007195066162967"/>
  </r>
  <r>
    <s v="ORD-2025-0932"/>
    <x v="164"/>
    <x v="1"/>
    <s v="Peshawar"/>
    <x v="3"/>
    <x v="13"/>
    <x v="5"/>
    <n v="2"/>
    <n v="6970.93"/>
    <n v="0"/>
    <n v="13941.86"/>
    <n v="7429.74"/>
    <n v="6512.12"/>
    <s v="Credit Card"/>
    <n v="0.46709119156267526"/>
  </r>
  <r>
    <s v="ORD-2025-0933"/>
    <x v="96"/>
    <x v="0"/>
    <s v="Multan"/>
    <x v="1"/>
    <x v="4"/>
    <x v="6"/>
    <n v="3"/>
    <n v="23868.959999999999"/>
    <n v="0.05"/>
    <n v="68026.539999999994"/>
    <n v="48046.68"/>
    <n v="19979.86"/>
    <s v="Digital Wallet"/>
    <n v="0.29370683853684171"/>
  </r>
  <r>
    <s v="ORD-2025-0934"/>
    <x v="274"/>
    <x v="1"/>
    <s v="Islamabad"/>
    <x v="0"/>
    <x v="1"/>
    <x v="0"/>
    <n v="8"/>
    <n v="86073.82"/>
    <n v="0"/>
    <n v="688590.56"/>
    <n v="533111.06999999995"/>
    <n v="155479.49"/>
    <s v="Digital Wallet"/>
    <n v="0.2257938157037761"/>
  </r>
  <r>
    <s v="ORD-2025-0935"/>
    <x v="79"/>
    <x v="1"/>
    <s v="Rawalpindi"/>
    <x v="1"/>
    <x v="12"/>
    <x v="0"/>
    <n v="5"/>
    <n v="31212.57"/>
    <n v="0.05"/>
    <n v="148259.71"/>
    <n v="113665.03"/>
    <n v="34594.68"/>
    <s v="Cash"/>
    <n v="0.23333837628577583"/>
  </r>
  <r>
    <s v="ORD-2025-0936"/>
    <x v="163"/>
    <x v="1"/>
    <s v="Peshawar"/>
    <x v="3"/>
    <x v="8"/>
    <x v="0"/>
    <n v="8"/>
    <n v="12380.41"/>
    <n v="0.05"/>
    <n v="94091.12"/>
    <n v="52807.06"/>
    <n v="41284.06"/>
    <s v="Digital Wallet"/>
    <n v="0.43876680392368589"/>
  </r>
  <r>
    <s v="ORD-2025-0937"/>
    <x v="81"/>
    <x v="1"/>
    <s v="Rawalpindi"/>
    <x v="1"/>
    <x v="4"/>
    <x v="2"/>
    <n v="7"/>
    <n v="25899.439999999999"/>
    <n v="0.15"/>
    <n v="154101.67000000001"/>
    <n v="108280.6"/>
    <n v="45821.07"/>
    <s v="Bank Transfer"/>
    <n v="0.29734311120703621"/>
  </r>
  <r>
    <s v="ORD-2025-0938"/>
    <x v="335"/>
    <x v="1"/>
    <s v="Peshawar"/>
    <x v="3"/>
    <x v="14"/>
    <x v="6"/>
    <n v="5"/>
    <n v="5514"/>
    <n v="0.15"/>
    <n v="23434.5"/>
    <n v="13135.33"/>
    <n v="10299.17"/>
    <s v="Credit Card"/>
    <n v="0.43948750773432332"/>
  </r>
  <r>
    <s v="ORD-2025-0939"/>
    <x v="156"/>
    <x v="0"/>
    <s v="Multan"/>
    <x v="0"/>
    <x v="1"/>
    <x v="3"/>
    <n v="2"/>
    <n v="88918.52"/>
    <n v="0"/>
    <n v="177837.04"/>
    <n v="137347.67000000001"/>
    <n v="40489.370000000003"/>
    <s v="Digital Wallet"/>
    <n v="0.22767681018532474"/>
  </r>
  <r>
    <s v="ORD-2025-0940"/>
    <x v="42"/>
    <x v="2"/>
    <s v="Quetta"/>
    <x v="0"/>
    <x v="0"/>
    <x v="0"/>
    <n v="8"/>
    <n v="14426.89"/>
    <n v="0.1"/>
    <n v="103873.61"/>
    <n v="67765.38"/>
    <n v="36108.230000000003"/>
    <s v="Cash"/>
    <n v="0.34761697412846249"/>
  </r>
  <r>
    <s v="ORD-2025-0941"/>
    <x v="175"/>
    <x v="1"/>
    <s v="Peshawar"/>
    <x v="0"/>
    <x v="15"/>
    <x v="7"/>
    <n v="7"/>
    <n v="49499.6"/>
    <n v="0.05"/>
    <n v="329172.34000000003"/>
    <n v="248988.07"/>
    <n v="80184.27"/>
    <s v="Credit Card"/>
    <n v="0.2435935838351424"/>
  </r>
  <r>
    <s v="ORD-2025-0942"/>
    <x v="116"/>
    <x v="0"/>
    <s v="Multan"/>
    <x v="3"/>
    <x v="13"/>
    <x v="5"/>
    <n v="5"/>
    <n v="6452.76"/>
    <n v="0.1"/>
    <n v="29037.42"/>
    <n v="17656.23"/>
    <n v="11381.19"/>
    <s v="Credit Card"/>
    <n v="0.39194907812057689"/>
  </r>
  <r>
    <s v="ORD-2025-0944"/>
    <x v="56"/>
    <x v="1"/>
    <s v="Islamabad"/>
    <x v="3"/>
    <x v="8"/>
    <x v="1"/>
    <n v="5"/>
    <n v="11749.66"/>
    <n v="0"/>
    <n v="58748.3"/>
    <n v="31847.45"/>
    <n v="26900.85"/>
    <s v="Cash"/>
    <n v="0.45790005838466813"/>
  </r>
  <r>
    <s v="ORD-2025-0945"/>
    <x v="269"/>
    <x v="2"/>
    <s v="Quetta"/>
    <x v="3"/>
    <x v="14"/>
    <x v="0"/>
    <n v="4"/>
    <n v="5341.14"/>
    <n v="0.05"/>
    <n v="20296.330000000002"/>
    <n v="10615.16"/>
    <n v="9681.17"/>
    <s v="Digital Wallet"/>
    <n v="0.47699116047088314"/>
  </r>
  <r>
    <s v="ORD-2025-0946"/>
    <x v="140"/>
    <x v="2"/>
    <s v="Hyderabad"/>
    <x v="2"/>
    <x v="5"/>
    <x v="5"/>
    <n v="6"/>
    <n v="30515.25"/>
    <n v="0.05"/>
    <n v="173936.92"/>
    <n v="114374.49"/>
    <n v="59562.43"/>
    <s v="Digital Wallet"/>
    <n v="0.34243695932985357"/>
  </r>
  <r>
    <s v="ORD-2025-0947"/>
    <x v="69"/>
    <x v="2"/>
    <s v="Quetta"/>
    <x v="3"/>
    <x v="13"/>
    <x v="2"/>
    <n v="4"/>
    <n v="6060.92"/>
    <n v="0.15"/>
    <n v="20607.13"/>
    <n v="14551.12"/>
    <n v="6056.01"/>
    <s v="Bank Transfer"/>
    <n v="0.29387935146718636"/>
  </r>
  <r>
    <s v="ORD-2025-0948"/>
    <x v="258"/>
    <x v="1"/>
    <s v="Islamabad"/>
    <x v="3"/>
    <x v="6"/>
    <x v="1"/>
    <n v="8"/>
    <n v="4444.8100000000004"/>
    <n v="0"/>
    <n v="35558.480000000003"/>
    <n v="17227.41"/>
    <n v="18331.07"/>
    <s v="Bank Transfer"/>
    <n v="0.51551894231699436"/>
  </r>
  <r>
    <s v="ORD-2025-0949"/>
    <x v="284"/>
    <x v="0"/>
    <s v="Multan"/>
    <x v="0"/>
    <x v="15"/>
    <x v="6"/>
    <n v="3"/>
    <n v="53117.32"/>
    <n v="0.15"/>
    <n v="135449.17000000001"/>
    <n v="113645.89"/>
    <n v="21803.279999999999"/>
    <s v="Credit Card"/>
    <n v="0.16097020011270646"/>
  </r>
  <r>
    <s v="ORD-2025-0950"/>
    <x v="127"/>
    <x v="0"/>
    <s v="Lahore"/>
    <x v="3"/>
    <x v="6"/>
    <x v="6"/>
    <n v="7"/>
    <n v="4009.24"/>
    <n v="0"/>
    <n v="28064.68"/>
    <n v="15239"/>
    <n v="12825.68"/>
    <s v="Bank Transfer"/>
    <n v="0.45700432002075209"/>
  </r>
  <r>
    <s v="ORD-2025-0951"/>
    <x v="241"/>
    <x v="2"/>
    <s v="Karachi"/>
    <x v="1"/>
    <x v="3"/>
    <x v="1"/>
    <n v="2"/>
    <n v="27861.05"/>
    <n v="0.15"/>
    <n v="47363.78"/>
    <n v="37437.599999999999"/>
    <n v="9926.18"/>
    <s v="Bank Transfer"/>
    <n v="0.20957322240750212"/>
  </r>
  <r>
    <s v="ORD-2025-0952"/>
    <x v="340"/>
    <x v="2"/>
    <s v="Quetta"/>
    <x v="3"/>
    <x v="8"/>
    <x v="5"/>
    <n v="2"/>
    <n v="12284.48"/>
    <n v="0.05"/>
    <n v="23340.51"/>
    <n v="12999.83"/>
    <n v="10340.68"/>
    <s v="Digital Wallet"/>
    <n v="0.44303573486611908"/>
  </r>
  <r>
    <s v="ORD-2025-0953"/>
    <x v="88"/>
    <x v="2"/>
    <s v="Hyderabad"/>
    <x v="3"/>
    <x v="8"/>
    <x v="1"/>
    <n v="2"/>
    <n v="12411.47"/>
    <n v="0"/>
    <n v="24822.94"/>
    <n v="12691.57"/>
    <n v="12131.37"/>
    <s v="Cash"/>
    <n v="0.48871608278471451"/>
  </r>
  <r>
    <s v="ORD-2025-0954"/>
    <x v="234"/>
    <x v="2"/>
    <s v="Quetta"/>
    <x v="0"/>
    <x v="15"/>
    <x v="1"/>
    <n v="1"/>
    <n v="53395.35"/>
    <n v="0.05"/>
    <n v="50725.58"/>
    <n v="35946.33"/>
    <n v="14779.25"/>
    <s v="Cash"/>
    <n v="0.29135694456327554"/>
  </r>
  <r>
    <s v="ORD-2025-0955"/>
    <x v="144"/>
    <x v="1"/>
    <s v="Rawalpindi"/>
    <x v="0"/>
    <x v="0"/>
    <x v="6"/>
    <n v="8"/>
    <n v="14298.01"/>
    <n v="0.15"/>
    <n v="97226.47"/>
    <n v="66864.009999999995"/>
    <n v="30362.46"/>
    <s v="Bank Transfer"/>
    <n v="0.31228594435239704"/>
  </r>
  <r>
    <s v="ORD-2025-0956"/>
    <x v="38"/>
    <x v="1"/>
    <s v="Peshawar"/>
    <x v="1"/>
    <x v="3"/>
    <x v="1"/>
    <n v="5"/>
    <n v="26167.95"/>
    <n v="0.05"/>
    <n v="124297.76"/>
    <n v="91541.8"/>
    <n v="32755.96"/>
    <s v="Cash"/>
    <n v="0.2635281601213087"/>
  </r>
  <r>
    <s v="ORD-2025-0957"/>
    <x v="314"/>
    <x v="1"/>
    <s v="Islamabad"/>
    <x v="2"/>
    <x v="9"/>
    <x v="1"/>
    <n v="6"/>
    <n v="36997.35"/>
    <n v="0.1"/>
    <n v="199785.69"/>
    <n v="162161.69"/>
    <n v="37624"/>
    <s v="Credit Card"/>
    <n v="0.18832179622074033"/>
  </r>
  <r>
    <s v="ORD-2025-0958"/>
    <x v="304"/>
    <x v="0"/>
    <s v="Multan"/>
    <x v="3"/>
    <x v="13"/>
    <x v="1"/>
    <n v="7"/>
    <n v="6114.03"/>
    <n v="0.15"/>
    <n v="36378.480000000003"/>
    <n v="25132.69"/>
    <n v="11245.79"/>
    <s v="Bank Transfer"/>
    <n v="0.30913303689433974"/>
  </r>
  <r>
    <s v="ORD-2025-0959"/>
    <x v="104"/>
    <x v="0"/>
    <s v="Lahore"/>
    <x v="3"/>
    <x v="6"/>
    <x v="1"/>
    <n v="2"/>
    <n v="4341.1400000000003"/>
    <n v="0"/>
    <n v="8682.2800000000007"/>
    <n v="4222.25"/>
    <n v="4460.03"/>
    <s v="Bank Transfer"/>
    <n v="0.51369340772239547"/>
  </r>
  <r>
    <s v="ORD-2025-0960"/>
    <x v="341"/>
    <x v="0"/>
    <s v="Lahore"/>
    <x v="1"/>
    <x v="12"/>
    <x v="5"/>
    <n v="2"/>
    <n v="30852.44"/>
    <n v="0.05"/>
    <n v="58619.64"/>
    <n v="43686.35"/>
    <n v="14933.29"/>
    <s v="Cash"/>
    <n v="0.25474892032772634"/>
  </r>
  <r>
    <s v="ORD-2025-0961"/>
    <x v="165"/>
    <x v="0"/>
    <s v="Multan"/>
    <x v="0"/>
    <x v="15"/>
    <x v="2"/>
    <n v="1"/>
    <n v="54016.27"/>
    <n v="0"/>
    <n v="54016.27"/>
    <n v="37917.620000000003"/>
    <n v="16098.65"/>
    <s v="Bank Transfer"/>
    <n v="0.29803335180307711"/>
  </r>
  <r>
    <s v="ORD-2025-0962"/>
    <x v="172"/>
    <x v="1"/>
    <s v="Peshawar"/>
    <x v="2"/>
    <x v="9"/>
    <x v="4"/>
    <n v="4"/>
    <n v="38215.339999999997"/>
    <n v="0"/>
    <n v="152861.35999999999"/>
    <n v="106167.56"/>
    <n v="46693.8"/>
    <s v="Cash"/>
    <n v="0.30546503053485857"/>
  </r>
  <r>
    <s v="ORD-2025-0964"/>
    <x v="326"/>
    <x v="1"/>
    <s v="Islamabad"/>
    <x v="0"/>
    <x v="15"/>
    <x v="6"/>
    <n v="6"/>
    <n v="55433.82"/>
    <n v="0"/>
    <n v="332602.92"/>
    <n v="218420.97"/>
    <n v="114181.95"/>
    <s v="Digital Wallet"/>
    <n v="0.34329809852541282"/>
  </r>
  <r>
    <s v="ORD-2025-0965"/>
    <x v="52"/>
    <x v="1"/>
    <s v="Rawalpindi"/>
    <x v="0"/>
    <x v="1"/>
    <x v="5"/>
    <n v="7"/>
    <n v="90163.74"/>
    <n v="0.05"/>
    <n v="599588.87"/>
    <n v="482829.95"/>
    <n v="116758.92"/>
    <s v="Credit Card"/>
    <n v="0.19473163336070598"/>
  </r>
  <r>
    <s v="ORD-2025-0966"/>
    <x v="201"/>
    <x v="2"/>
    <s v="Karachi"/>
    <x v="2"/>
    <x v="11"/>
    <x v="6"/>
    <n v="2"/>
    <n v="46274.3"/>
    <n v="0.05"/>
    <n v="87921.17"/>
    <n v="62240.17"/>
    <n v="25681"/>
    <s v="Credit Card"/>
    <n v="0.29209119942330158"/>
  </r>
  <r>
    <s v="ORD-2025-0967"/>
    <x v="333"/>
    <x v="0"/>
    <s v="Multan"/>
    <x v="1"/>
    <x v="2"/>
    <x v="5"/>
    <n v="4"/>
    <n v="137291.99"/>
    <n v="0.1"/>
    <n v="494251.16"/>
    <n v="392531.52"/>
    <n v="101719.64"/>
    <s v="Credit Card"/>
    <n v="0.20580556654636886"/>
  </r>
  <r>
    <s v="ORD-2025-0968"/>
    <x v="87"/>
    <x v="2"/>
    <s v="Karachi"/>
    <x v="2"/>
    <x v="11"/>
    <x v="4"/>
    <n v="6"/>
    <n v="40513.33"/>
    <n v="0"/>
    <n v="243079.98"/>
    <n v="189895.23"/>
    <n v="53184.75"/>
    <s v="Bank Transfer"/>
    <n v="0.21879527059365397"/>
  </r>
  <r>
    <s v="ORD-2025-0969"/>
    <x v="173"/>
    <x v="2"/>
    <s v="Karachi"/>
    <x v="0"/>
    <x v="0"/>
    <x v="3"/>
    <n v="5"/>
    <n v="14423.54"/>
    <n v="0.05"/>
    <n v="68511.820000000007"/>
    <n v="41021.5"/>
    <n v="27490.32"/>
    <s v="Bank Transfer"/>
    <n v="0.4012493026750712"/>
  </r>
  <r>
    <s v="ORD-2025-0970"/>
    <x v="211"/>
    <x v="1"/>
    <s v="Islamabad"/>
    <x v="1"/>
    <x v="4"/>
    <x v="7"/>
    <n v="2"/>
    <n v="24827.9"/>
    <n v="0.1"/>
    <n v="44690.22"/>
    <n v="31341.23"/>
    <n v="13348.99"/>
    <s v="Digital Wallet"/>
    <n v="0.29870047630107882"/>
  </r>
  <r>
    <s v="ORD-2025-0972"/>
    <x v="11"/>
    <x v="2"/>
    <s v="Karachi"/>
    <x v="0"/>
    <x v="0"/>
    <x v="2"/>
    <n v="7"/>
    <n v="14020.86"/>
    <n v="0.15"/>
    <n v="83424.12"/>
    <n v="59496.62"/>
    <n v="23927.5"/>
    <s v="Digital Wallet"/>
    <n v="0.28681752951064993"/>
  </r>
  <r>
    <s v="ORD-2025-0973"/>
    <x v="2"/>
    <x v="1"/>
    <s v="Islamabad"/>
    <x v="2"/>
    <x v="9"/>
    <x v="2"/>
    <n v="7"/>
    <n v="39768.65"/>
    <n v="0.05"/>
    <n v="264461.52"/>
    <n v="179665.35"/>
    <n v="84796.17"/>
    <s v="Bank Transfer"/>
    <n v="0.32063708171986605"/>
  </r>
  <r>
    <s v="ORD-2025-0974"/>
    <x v="42"/>
    <x v="1"/>
    <s v="Rawalpindi"/>
    <x v="0"/>
    <x v="10"/>
    <x v="2"/>
    <n v="6"/>
    <n v="190573.46"/>
    <n v="0.15"/>
    <n v="971924.65"/>
    <n v="846053.77"/>
    <n v="125870.88"/>
    <s v="Credit Card"/>
    <n v="0.12950682956749784"/>
  </r>
  <r>
    <s v="ORD-2025-0975"/>
    <x v="342"/>
    <x v="0"/>
    <s v="Lahore"/>
    <x v="3"/>
    <x v="8"/>
    <x v="0"/>
    <n v="4"/>
    <n v="11550.16"/>
    <n v="0"/>
    <n v="46200.639999999999"/>
    <n v="26240.94"/>
    <n v="19959.7"/>
    <s v="Digital Wallet"/>
    <n v="0.43202215380566161"/>
  </r>
  <r>
    <s v="ORD-2025-0976"/>
    <x v="56"/>
    <x v="0"/>
    <s v="Faisalabad"/>
    <x v="1"/>
    <x v="3"/>
    <x v="1"/>
    <n v="4"/>
    <n v="25691.57"/>
    <n v="0.05"/>
    <n v="97627.97"/>
    <n v="72353.2"/>
    <n v="25274.77"/>
    <s v="Cash"/>
    <n v="0.25888861562931198"/>
  </r>
  <r>
    <s v="ORD-2025-0977"/>
    <x v="335"/>
    <x v="1"/>
    <s v="Rawalpindi"/>
    <x v="2"/>
    <x v="9"/>
    <x v="6"/>
    <n v="7"/>
    <n v="36397.449999999997"/>
    <n v="0"/>
    <n v="254782.15"/>
    <n v="180171.37"/>
    <n v="74610.78"/>
    <s v="Digital Wallet"/>
    <n v="0.29284147260708804"/>
  </r>
  <r>
    <s v="ORD-2025-0978"/>
    <x v="195"/>
    <x v="2"/>
    <s v="Karachi"/>
    <x v="3"/>
    <x v="13"/>
    <x v="1"/>
    <n v="1"/>
    <n v="6330.89"/>
    <n v="0"/>
    <n v="6330.89"/>
    <n v="3509.5"/>
    <n v="2821.39"/>
    <s v="Bank Transfer"/>
    <n v="0.44565456041725565"/>
  </r>
  <r>
    <s v="ORD-2025-0979"/>
    <x v="154"/>
    <x v="2"/>
    <s v="Hyderabad"/>
    <x v="1"/>
    <x v="4"/>
    <x v="1"/>
    <n v="2"/>
    <n v="24721.279999999999"/>
    <n v="0.05"/>
    <n v="46970.43"/>
    <n v="31744.33"/>
    <n v="15226.1"/>
    <s v="Bank Transfer"/>
    <n v="0.32416352160284673"/>
  </r>
  <r>
    <s v="ORD-2025-0980"/>
    <x v="154"/>
    <x v="0"/>
    <s v="Faisalabad"/>
    <x v="3"/>
    <x v="13"/>
    <x v="6"/>
    <n v="6"/>
    <n v="6955.21"/>
    <n v="0"/>
    <n v="41731.26"/>
    <n v="20996.28"/>
    <n v="20734.98"/>
    <s v="Credit Card"/>
    <n v="0.49686925340859583"/>
  </r>
  <r>
    <s v="ORD-2025-0981"/>
    <x v="317"/>
    <x v="1"/>
    <s v="Rawalpindi"/>
    <x v="3"/>
    <x v="6"/>
    <x v="6"/>
    <n v="3"/>
    <n v="3923.15"/>
    <n v="0.15"/>
    <n v="10004.030000000001"/>
    <n v="6508.9"/>
    <n v="3495.13"/>
    <s v="Cash"/>
    <n v="0.34937220300219013"/>
  </r>
  <r>
    <s v="ORD-2025-0982"/>
    <x v="141"/>
    <x v="2"/>
    <s v="Karachi"/>
    <x v="0"/>
    <x v="10"/>
    <x v="4"/>
    <n v="5"/>
    <n v="172421.25"/>
    <n v="0.05"/>
    <n v="819000.94"/>
    <n v="722889.7"/>
    <n v="96111.24"/>
    <s v="Credit Card"/>
    <n v="0.11735180670244409"/>
  </r>
  <r>
    <s v="ORD-2025-0983"/>
    <x v="241"/>
    <x v="1"/>
    <s v="Peshawar"/>
    <x v="3"/>
    <x v="13"/>
    <x v="7"/>
    <n v="3"/>
    <n v="6312.11"/>
    <n v="0"/>
    <n v="18936.330000000002"/>
    <n v="11045.29"/>
    <n v="7891.04"/>
    <s v="Cash"/>
    <n v="0.4167143263768639"/>
  </r>
  <r>
    <s v="ORD-2025-0984"/>
    <x v="343"/>
    <x v="0"/>
    <s v="Multan"/>
    <x v="2"/>
    <x v="7"/>
    <x v="3"/>
    <n v="8"/>
    <n v="9147.84"/>
    <n v="0.05"/>
    <n v="69523.58"/>
    <n v="40144.14"/>
    <n v="29379.439999999999"/>
    <s v="Cash"/>
    <n v="0.42258238140210841"/>
  </r>
  <r>
    <s v="ORD-2025-0985"/>
    <x v="66"/>
    <x v="2"/>
    <s v="Hyderabad"/>
    <x v="0"/>
    <x v="0"/>
    <x v="0"/>
    <n v="4"/>
    <n v="14870"/>
    <n v="0.15"/>
    <n v="50558"/>
    <n v="33781.06"/>
    <n v="16776.939999999999"/>
    <s v="Cash"/>
    <n v="0.33183551564539732"/>
  </r>
  <r>
    <s v="ORD-2025-0986"/>
    <x v="330"/>
    <x v="2"/>
    <s v="Karachi"/>
    <x v="2"/>
    <x v="11"/>
    <x v="2"/>
    <n v="4"/>
    <n v="42780.87"/>
    <n v="0.05"/>
    <n v="162567.31"/>
    <n v="121911.12"/>
    <n v="40656.19"/>
    <s v="Credit Card"/>
    <n v="0.25008834802027541"/>
  </r>
  <r>
    <s v="ORD-2025-0987"/>
    <x v="98"/>
    <x v="0"/>
    <s v="Multan"/>
    <x v="1"/>
    <x v="3"/>
    <x v="3"/>
    <n v="8"/>
    <n v="27670.85"/>
    <n v="0.1"/>
    <n v="199230.12"/>
    <n v="140745.06"/>
    <n v="58485.06"/>
    <s v="Bank Transfer"/>
    <n v="0.29355531181730954"/>
  </r>
  <r>
    <s v="ORD-2025-0988"/>
    <x v="63"/>
    <x v="2"/>
    <s v="Hyderabad"/>
    <x v="2"/>
    <x v="7"/>
    <x v="0"/>
    <n v="4"/>
    <n v="7913.35"/>
    <n v="0.05"/>
    <n v="30070.73"/>
    <n v="19237.28"/>
    <n v="10833.45"/>
    <s v="Credit Card"/>
    <n v="0.36026561377126531"/>
  </r>
  <r>
    <s v="ORD-2025-0989"/>
    <x v="37"/>
    <x v="2"/>
    <s v="Karachi"/>
    <x v="0"/>
    <x v="1"/>
    <x v="7"/>
    <n v="1"/>
    <n v="97801.12"/>
    <n v="0"/>
    <n v="97801.12"/>
    <n v="67229.759999999995"/>
    <n v="30571.360000000001"/>
    <s v="Bank Transfer"/>
    <n v="0.3125870133184569"/>
  </r>
  <r>
    <s v="ORD-2025-0990"/>
    <x v="31"/>
    <x v="2"/>
    <s v="Karachi"/>
    <x v="0"/>
    <x v="0"/>
    <x v="2"/>
    <n v="7"/>
    <n v="13831.99"/>
    <n v="0.05"/>
    <n v="91982.73"/>
    <n v="57695.8"/>
    <n v="34286.93"/>
    <s v="Cash"/>
    <n v="0.37275399414650989"/>
  </r>
  <r>
    <s v="ORD-2025-0991"/>
    <x v="344"/>
    <x v="2"/>
    <s v="Hyderabad"/>
    <x v="1"/>
    <x v="2"/>
    <x v="4"/>
    <n v="1"/>
    <n v="138210.23000000001"/>
    <n v="0.15"/>
    <n v="117478.7"/>
    <n v="104531.1"/>
    <n v="12947.6"/>
    <s v="Credit Card"/>
    <n v="0.11021231933959093"/>
  </r>
  <r>
    <s v="ORD-2025-0992"/>
    <x v="117"/>
    <x v="2"/>
    <s v="Karachi"/>
    <x v="1"/>
    <x v="4"/>
    <x v="3"/>
    <n v="7"/>
    <n v="22968"/>
    <n v="0"/>
    <n v="160776"/>
    <n v="112286"/>
    <n v="48490"/>
    <s v="Cash"/>
    <n v="0.30159974125491368"/>
  </r>
  <r>
    <s v="ORD-2025-0993"/>
    <x v="76"/>
    <x v="1"/>
    <s v="Islamabad"/>
    <x v="1"/>
    <x v="12"/>
    <x v="1"/>
    <n v="2"/>
    <n v="33169.660000000003"/>
    <n v="0.05"/>
    <n v="63022.35"/>
    <n v="44363.360000000001"/>
    <n v="18658.990000000002"/>
    <s v="Digital Wallet"/>
    <n v="0.29606941029650596"/>
  </r>
  <r>
    <s v="ORD-2025-0994"/>
    <x v="345"/>
    <x v="2"/>
    <s v="Karachi"/>
    <x v="2"/>
    <x v="9"/>
    <x v="4"/>
    <n v="8"/>
    <n v="36210.69"/>
    <n v="0"/>
    <n v="289685.52"/>
    <n v="206821.54"/>
    <n v="82863.98"/>
    <s v="Cash"/>
    <n v="0.28604805652695375"/>
  </r>
  <r>
    <s v="ORD-2025-0995"/>
    <x v="122"/>
    <x v="1"/>
    <s v="Islamabad"/>
    <x v="3"/>
    <x v="8"/>
    <x v="2"/>
    <n v="4"/>
    <n v="10893.23"/>
    <n v="0.15"/>
    <n v="37036.980000000003"/>
    <n v="25346.41"/>
    <n v="11690.57"/>
    <s v="Digital Wallet"/>
    <n v="0.31564587609464917"/>
  </r>
  <r>
    <s v="ORD-2025-0996"/>
    <x v="100"/>
    <x v="1"/>
    <s v="Islamabad"/>
    <x v="3"/>
    <x v="14"/>
    <x v="6"/>
    <n v="6"/>
    <n v="4801.33"/>
    <n v="0.05"/>
    <n v="27367.58"/>
    <n v="16713.349999999999"/>
    <n v="10654.23"/>
    <s v="Bank Transfer"/>
    <n v="0.38930113660031318"/>
  </r>
  <r>
    <s v="ORD-2025-0997"/>
    <x v="190"/>
    <x v="2"/>
    <s v="Quetta"/>
    <x v="0"/>
    <x v="15"/>
    <x v="4"/>
    <n v="4"/>
    <n v="51771.77"/>
    <n v="0"/>
    <n v="207087.08"/>
    <n v="149989.43"/>
    <n v="57097.65"/>
    <s v="Credit Card"/>
    <n v="0.27571806990566483"/>
  </r>
  <r>
    <s v="ORD-2025-0998"/>
    <x v="326"/>
    <x v="0"/>
    <s v="Multan"/>
    <x v="2"/>
    <x v="5"/>
    <x v="2"/>
    <n v="2"/>
    <n v="26675.97"/>
    <n v="0.15"/>
    <n v="45349.15"/>
    <n v="37752.9"/>
    <n v="7596.25"/>
    <s v="Bank Transfer"/>
    <n v="0.16750589592087173"/>
  </r>
  <r>
    <s v="ORD-2025-0999"/>
    <x v="329"/>
    <x v="0"/>
    <s v="Faisalabad"/>
    <x v="1"/>
    <x v="3"/>
    <x v="7"/>
    <n v="8"/>
    <n v="24898.58"/>
    <n v="0.05"/>
    <n v="189229.21"/>
    <n v="142715.43"/>
    <n v="46513.78"/>
    <s v="Cash"/>
    <n v="0.24580655386131983"/>
  </r>
  <r>
    <s v="ORD-2025-1000"/>
    <x v="121"/>
    <x v="2"/>
    <s v="Quetta"/>
    <x v="0"/>
    <x v="1"/>
    <x v="7"/>
    <n v="7"/>
    <n v="97244.23"/>
    <n v="0.15"/>
    <n v="578603.17000000004"/>
    <n v="494842.98"/>
    <n v="83760.19"/>
    <s v="Cash"/>
    <n v="0.14476275683038514"/>
  </r>
  <r>
    <s v="ORD-2025-1001"/>
    <x v="172"/>
    <x v="1"/>
    <s v="Peshawar"/>
    <x v="3"/>
    <x v="8"/>
    <x v="0"/>
    <n v="4"/>
    <n v="11949.63"/>
    <n v="0"/>
    <n v="47798.52"/>
    <n v="26895.58"/>
    <n v="20902.939999999999"/>
    <s v="Bank Transfer"/>
    <n v="0.43731354025187391"/>
  </r>
  <r>
    <s v="ORD-2025-1002"/>
    <x v="254"/>
    <x v="0"/>
    <s v="Multan"/>
    <x v="3"/>
    <x v="6"/>
    <x v="1"/>
    <n v="5"/>
    <n v="4475.74"/>
    <n v="0.05"/>
    <n v="21259.759999999998"/>
    <n v="10837.68"/>
    <n v="10422.08"/>
    <s v="Bank Transfer"/>
    <n v="0.49022566576480642"/>
  </r>
  <r>
    <s v="ORD-2025-1003"/>
    <x v="251"/>
    <x v="2"/>
    <s v="Karachi"/>
    <x v="0"/>
    <x v="0"/>
    <x v="4"/>
    <n v="2"/>
    <n v="14345.63"/>
    <n v="0.05"/>
    <n v="27256.7"/>
    <n v="16558.53"/>
    <n v="10698.17"/>
    <s v="Cash"/>
    <n v="0.39249689067275201"/>
  </r>
  <r>
    <s v="ORD-2025-1004"/>
    <x v="322"/>
    <x v="1"/>
    <s v="Rawalpindi"/>
    <x v="2"/>
    <x v="7"/>
    <x v="5"/>
    <n v="3"/>
    <n v="8531.5300000000007"/>
    <n v="0.05"/>
    <n v="24314.86"/>
    <n v="14900.89"/>
    <n v="9413.9699999999993"/>
    <s v="Bank Transfer"/>
    <n v="0.38716940998220839"/>
  </r>
  <r>
    <s v="ORD-2025-1005"/>
    <x v="341"/>
    <x v="2"/>
    <s v="Hyderabad"/>
    <x v="0"/>
    <x v="0"/>
    <x v="0"/>
    <n v="1"/>
    <n v="14392.95"/>
    <n v="0"/>
    <n v="14392.95"/>
    <n v="8116.45"/>
    <n v="6276.5"/>
    <s v="Cash"/>
    <n v="0.43608155381627811"/>
  </r>
  <r>
    <s v="ORD-2025-1006"/>
    <x v="346"/>
    <x v="2"/>
    <s v="Hyderabad"/>
    <x v="0"/>
    <x v="15"/>
    <x v="2"/>
    <n v="6"/>
    <n v="53333.31"/>
    <n v="0"/>
    <n v="319999.86"/>
    <n v="213195"/>
    <n v="106804.86"/>
    <s v="Bank Transfer"/>
    <n v="0.33376533352233345"/>
  </r>
  <r>
    <s v="ORD-2025-1007"/>
    <x v="316"/>
    <x v="0"/>
    <s v="Multan"/>
    <x v="2"/>
    <x v="11"/>
    <x v="0"/>
    <n v="5"/>
    <n v="40541.39"/>
    <n v="0.15"/>
    <n v="172300.91"/>
    <n v="152484.49"/>
    <n v="19816.419999999998"/>
    <s v="Bank Transfer"/>
    <n v="0.11501053592810391"/>
  </r>
  <r>
    <s v="ORD-2025-1008"/>
    <x v="173"/>
    <x v="1"/>
    <s v="Islamabad"/>
    <x v="3"/>
    <x v="8"/>
    <x v="0"/>
    <n v="4"/>
    <n v="12073.54"/>
    <n v="0.15"/>
    <n v="41050.04"/>
    <n v="25922.959999999999"/>
    <n v="15127.08"/>
    <s v="Bank Transfer"/>
    <n v="0.36850341680544035"/>
  </r>
  <r>
    <s v="ORD-2025-1009"/>
    <x v="163"/>
    <x v="2"/>
    <s v="Quetta"/>
    <x v="1"/>
    <x v="12"/>
    <x v="3"/>
    <n v="7"/>
    <n v="33944.71"/>
    <n v="0.05"/>
    <n v="225732.32"/>
    <n v="161643.29"/>
    <n v="64089.03"/>
    <s v="Bank Transfer"/>
    <n v="0.28391605597284431"/>
  </r>
  <r>
    <s v="ORD-2025-1010"/>
    <x v="45"/>
    <x v="1"/>
    <s v="Rawalpindi"/>
    <x v="2"/>
    <x v="9"/>
    <x v="5"/>
    <n v="5"/>
    <n v="35480.44"/>
    <n v="0.1"/>
    <n v="159661.98000000001"/>
    <n v="134536.78"/>
    <n v="25125.200000000001"/>
    <s v="Digital Wallet"/>
    <n v="0.15736495313411494"/>
  </r>
  <r>
    <s v="ORD-2025-1011"/>
    <x v="250"/>
    <x v="2"/>
    <s v="Karachi"/>
    <x v="2"/>
    <x v="7"/>
    <x v="2"/>
    <n v="6"/>
    <n v="8505.19"/>
    <n v="0.15"/>
    <n v="43376.47"/>
    <n v="29984.53"/>
    <n v="13391.94"/>
    <s v="Digital Wallet"/>
    <n v="0.30873743299074358"/>
  </r>
  <r>
    <s v="ORD-2025-1012"/>
    <x v="46"/>
    <x v="2"/>
    <s v="Hyderabad"/>
    <x v="3"/>
    <x v="14"/>
    <x v="0"/>
    <n v="1"/>
    <n v="5543.25"/>
    <n v="0"/>
    <n v="5543.25"/>
    <n v="2799.97"/>
    <n v="2743.28"/>
    <s v="Credit Card"/>
    <n v="0.49488657376088041"/>
  </r>
  <r>
    <s v="ORD-2025-1013"/>
    <x v="269"/>
    <x v="0"/>
    <s v="Faisalabad"/>
    <x v="2"/>
    <x v="9"/>
    <x v="1"/>
    <n v="3"/>
    <n v="38735.01"/>
    <n v="0.1"/>
    <n v="104584.53"/>
    <n v="80452.820000000007"/>
    <n v="24131.71"/>
    <s v="Credit Card"/>
    <n v="0.23073881003242067"/>
  </r>
  <r>
    <s v="ORD-2025-1014"/>
    <x v="1"/>
    <x v="2"/>
    <s v="Quetta"/>
    <x v="0"/>
    <x v="15"/>
    <x v="0"/>
    <n v="8"/>
    <n v="54822.13"/>
    <n v="0"/>
    <n v="438577.04"/>
    <n v="284357.92"/>
    <n v="154219.12"/>
    <s v="Bank Transfer"/>
    <n v="0.35163518819863437"/>
  </r>
  <r>
    <s v="ORD-2025-1015"/>
    <x v="258"/>
    <x v="0"/>
    <s v="Lahore"/>
    <x v="1"/>
    <x v="4"/>
    <x v="6"/>
    <n v="6"/>
    <n v="25928.11"/>
    <n v="0"/>
    <n v="155568.66"/>
    <n v="96869.78"/>
    <n v="58698.879999999997"/>
    <s v="Credit Card"/>
    <n v="0.3773181564975876"/>
  </r>
  <r>
    <s v="ORD-2025-1016"/>
    <x v="219"/>
    <x v="0"/>
    <s v="Lahore"/>
    <x v="3"/>
    <x v="6"/>
    <x v="4"/>
    <n v="4"/>
    <n v="4465.4799999999996"/>
    <n v="0.15"/>
    <n v="15182.63"/>
    <n v="8649.1299999999992"/>
    <n v="6533.5"/>
    <s v="Cash"/>
    <n v="0.4303272884869091"/>
  </r>
  <r>
    <s v="ORD-2025-1017"/>
    <x v="289"/>
    <x v="2"/>
    <s v="Quetta"/>
    <x v="2"/>
    <x v="11"/>
    <x v="0"/>
    <n v="2"/>
    <n v="39560.25"/>
    <n v="0.1"/>
    <n v="71208.45"/>
    <n v="63958.76"/>
    <n v="7249.69"/>
    <s v="Credit Card"/>
    <n v="0.10180940604661384"/>
  </r>
  <r>
    <s v="ORD-2025-1018"/>
    <x v="343"/>
    <x v="1"/>
    <s v="Islamabad"/>
    <x v="3"/>
    <x v="13"/>
    <x v="5"/>
    <n v="8"/>
    <n v="6386.34"/>
    <n v="0"/>
    <n v="51090.720000000001"/>
    <n v="28540.65"/>
    <n v="22550.07"/>
    <s v="Credit Card"/>
    <n v="0.44137311042005278"/>
  </r>
  <r>
    <s v="ORD-2025-1019"/>
    <x v="224"/>
    <x v="0"/>
    <s v="Faisalabad"/>
    <x v="3"/>
    <x v="13"/>
    <x v="3"/>
    <n v="7"/>
    <n v="6132.1"/>
    <n v="0"/>
    <n v="42924.7"/>
    <n v="24770"/>
    <n v="18154.7"/>
    <s v="Credit Card"/>
    <n v="0.42294296756878913"/>
  </r>
  <r>
    <s v="ORD-2025-1020"/>
    <x v="55"/>
    <x v="0"/>
    <s v="Multan"/>
    <x v="2"/>
    <x v="7"/>
    <x v="7"/>
    <n v="8"/>
    <n v="8214.4500000000007"/>
    <n v="0.15"/>
    <n v="55858.26"/>
    <n v="38298.449999999997"/>
    <n v="17559.810000000001"/>
    <s v="Bank Transfer"/>
    <n v="0.31436371272574548"/>
  </r>
  <r>
    <s v="ORD-2025-1021"/>
    <x v="114"/>
    <x v="0"/>
    <s v="Faisalabad"/>
    <x v="3"/>
    <x v="14"/>
    <x v="7"/>
    <n v="2"/>
    <n v="5170.0200000000004"/>
    <n v="0.05"/>
    <n v="9823.0400000000009"/>
    <n v="5294.01"/>
    <n v="4529.03"/>
    <s v="Cash"/>
    <n v="0.46106195230804309"/>
  </r>
  <r>
    <s v="ORD-2025-1022"/>
    <x v="181"/>
    <x v="0"/>
    <s v="Faisalabad"/>
    <x v="0"/>
    <x v="0"/>
    <x v="2"/>
    <n v="1"/>
    <n v="14836.65"/>
    <n v="0.15"/>
    <n v="12611.15"/>
    <n v="8309.81"/>
    <n v="4301.34"/>
    <s v="Credit Card"/>
    <n v="0.3410743667310277"/>
  </r>
  <r>
    <s v="ORD-2025-1023"/>
    <x v="192"/>
    <x v="2"/>
    <s v="Quetta"/>
    <x v="3"/>
    <x v="8"/>
    <x v="3"/>
    <n v="1"/>
    <n v="12386.43"/>
    <n v="0.05"/>
    <n v="11767.11"/>
    <n v="6532.79"/>
    <n v="5234.32"/>
    <s v="Bank Transfer"/>
    <n v="0.44482629974564691"/>
  </r>
  <r>
    <s v="ORD-2025-1024"/>
    <x v="170"/>
    <x v="0"/>
    <s v="Multan"/>
    <x v="3"/>
    <x v="13"/>
    <x v="2"/>
    <n v="3"/>
    <n v="6662.16"/>
    <n v="0.05"/>
    <n v="18987.16"/>
    <n v="10971.89"/>
    <n v="8015.27"/>
    <s v="Digital Wallet"/>
    <n v="0.42214159463553269"/>
  </r>
  <r>
    <s v="ORD-2025-1025"/>
    <x v="264"/>
    <x v="0"/>
    <s v="Lahore"/>
    <x v="1"/>
    <x v="3"/>
    <x v="5"/>
    <n v="7"/>
    <n v="25134.67"/>
    <n v="0.15"/>
    <n v="149551.29"/>
    <n v="126486.63"/>
    <n v="23064.66"/>
    <s v="Bank Transfer"/>
    <n v="0.15422575091127599"/>
  </r>
  <r>
    <s v="ORD-2025-1026"/>
    <x v="9"/>
    <x v="1"/>
    <s v="Peshawar"/>
    <x v="1"/>
    <x v="3"/>
    <x v="3"/>
    <n v="7"/>
    <n v="25131.9"/>
    <n v="0"/>
    <n v="175923.3"/>
    <n v="129734.92"/>
    <n v="46188.38"/>
    <s v="Cash"/>
    <n v="0.26254839466972257"/>
  </r>
  <r>
    <s v="ORD-2025-1027"/>
    <x v="330"/>
    <x v="0"/>
    <s v="Lahore"/>
    <x v="3"/>
    <x v="14"/>
    <x v="5"/>
    <n v="6"/>
    <n v="5416.24"/>
    <n v="0.15"/>
    <n v="27622.82"/>
    <n v="16616.22"/>
    <n v="11006.6"/>
    <s v="Digital Wallet"/>
    <n v="0.39846040339110927"/>
  </r>
  <r>
    <s v="ORD-2025-1028"/>
    <x v="75"/>
    <x v="2"/>
    <s v="Karachi"/>
    <x v="0"/>
    <x v="0"/>
    <x v="6"/>
    <n v="2"/>
    <n v="13426.81"/>
    <n v="0.15"/>
    <n v="22825.58"/>
    <n v="15991.67"/>
    <n v="6833.91"/>
    <s v="Credit Card"/>
    <n v="0.2993969923217723"/>
  </r>
  <r>
    <s v="ORD-2025-1029"/>
    <x v="168"/>
    <x v="2"/>
    <s v="Karachi"/>
    <x v="3"/>
    <x v="14"/>
    <x v="4"/>
    <n v="3"/>
    <n v="5606.74"/>
    <n v="0.1"/>
    <n v="15138.2"/>
    <n v="8172.52"/>
    <n v="6965.68"/>
    <s v="Digital Wallet"/>
    <n v="0.460139250373228"/>
  </r>
  <r>
    <s v="ORD-2025-1030"/>
    <x v="280"/>
    <x v="2"/>
    <s v="Quetta"/>
    <x v="1"/>
    <x v="12"/>
    <x v="0"/>
    <n v="4"/>
    <n v="34278.57"/>
    <n v="0.05"/>
    <n v="130258.57"/>
    <n v="92427.18"/>
    <n v="37831.39"/>
    <s v="Cash"/>
    <n v="0.29043302102886587"/>
  </r>
  <r>
    <s v="ORD-2025-1031"/>
    <x v="303"/>
    <x v="0"/>
    <s v="Multan"/>
    <x v="0"/>
    <x v="1"/>
    <x v="0"/>
    <n v="1"/>
    <n v="96563.33"/>
    <n v="0"/>
    <n v="96563.33"/>
    <n v="67671.509999999995"/>
    <n v="28891.82"/>
    <s v="Bank Transfer"/>
    <n v="0.29920074214507719"/>
  </r>
  <r>
    <s v="ORD-2025-1032"/>
    <x v="121"/>
    <x v="1"/>
    <s v="Peshawar"/>
    <x v="3"/>
    <x v="6"/>
    <x v="5"/>
    <n v="4"/>
    <n v="4247.29"/>
    <n v="0.05"/>
    <n v="16139.7"/>
    <n v="8442.5"/>
    <n v="7697.2"/>
    <s v="Cash"/>
    <n v="0.47691097108372521"/>
  </r>
  <r>
    <s v="ORD-2025-1033"/>
    <x v="157"/>
    <x v="2"/>
    <s v="Hyderabad"/>
    <x v="3"/>
    <x v="13"/>
    <x v="7"/>
    <n v="2"/>
    <n v="6112.28"/>
    <n v="0.1"/>
    <n v="11002.1"/>
    <n v="7134.31"/>
    <n v="3867.79"/>
    <s v="Credit Card"/>
    <n v="0.3515501586060843"/>
  </r>
  <r>
    <s v="ORD-2025-1034"/>
    <x v="27"/>
    <x v="1"/>
    <s v="Peshawar"/>
    <x v="1"/>
    <x v="2"/>
    <x v="1"/>
    <n v="4"/>
    <n v="141940.68"/>
    <n v="0.05"/>
    <n v="539374.57999999996"/>
    <n v="417961.89"/>
    <n v="121412.69"/>
    <s v="Bank Transfer"/>
    <n v="0.22509902116632938"/>
  </r>
  <r>
    <s v="ORD-2025-1035"/>
    <x v="173"/>
    <x v="1"/>
    <s v="Islamabad"/>
    <x v="1"/>
    <x v="2"/>
    <x v="6"/>
    <n v="4"/>
    <n v="142629.01999999999"/>
    <n v="0.1"/>
    <n v="513464.47"/>
    <n v="406021.33"/>
    <n v="107443.14"/>
    <s v="Cash"/>
    <n v="0.20925136261132149"/>
  </r>
  <r>
    <s v="ORD-2025-1036"/>
    <x v="152"/>
    <x v="0"/>
    <s v="Faisalabad"/>
    <x v="1"/>
    <x v="2"/>
    <x v="5"/>
    <n v="1"/>
    <n v="131501.78"/>
    <n v="0.05"/>
    <n v="124926.69"/>
    <n v="99387.61"/>
    <n v="25539.08"/>
    <s v="Credit Card"/>
    <n v="0.20443253559347488"/>
  </r>
  <r>
    <s v="ORD-2025-1037"/>
    <x v="308"/>
    <x v="0"/>
    <s v="Multan"/>
    <x v="1"/>
    <x v="2"/>
    <x v="6"/>
    <n v="4"/>
    <n v="134860.79"/>
    <n v="0.1"/>
    <n v="485498.84"/>
    <n v="417454.28"/>
    <n v="68044.56"/>
    <s v="Bank Transfer"/>
    <n v="0.14015390850367426"/>
  </r>
  <r>
    <s v="ORD-2025-1038"/>
    <x v="189"/>
    <x v="1"/>
    <s v="Rawalpindi"/>
    <x v="0"/>
    <x v="15"/>
    <x v="3"/>
    <n v="3"/>
    <n v="50090.63"/>
    <n v="0"/>
    <n v="150271.89000000001"/>
    <n v="107012.63"/>
    <n v="43259.26"/>
    <s v="Bank Transfer"/>
    <n v="0.28787326758184778"/>
  </r>
  <r>
    <s v="ORD-2025-1039"/>
    <x v="168"/>
    <x v="2"/>
    <s v="Hyderabad"/>
    <x v="1"/>
    <x v="12"/>
    <x v="1"/>
    <n v="1"/>
    <n v="35276.980000000003"/>
    <n v="0"/>
    <n v="35276.980000000003"/>
    <n v="23043.439999999999"/>
    <n v="12233.54"/>
    <s v="Cash"/>
    <n v="0.3467853540750937"/>
  </r>
  <r>
    <s v="ORD-2025-1040"/>
    <x v="18"/>
    <x v="0"/>
    <s v="Faisalabad"/>
    <x v="0"/>
    <x v="15"/>
    <x v="5"/>
    <n v="7"/>
    <n v="53626.07"/>
    <n v="0.05"/>
    <n v="356613.37"/>
    <n v="260378.43"/>
    <n v="96234.94"/>
    <s v="Cash"/>
    <n v="0.26985791362785977"/>
  </r>
  <r>
    <s v="ORD-2025-1041"/>
    <x v="166"/>
    <x v="2"/>
    <s v="Karachi"/>
    <x v="1"/>
    <x v="3"/>
    <x v="6"/>
    <n v="4"/>
    <n v="26322.3"/>
    <n v="0"/>
    <n v="105289.2"/>
    <n v="71040.38"/>
    <n v="34248.82"/>
    <s v="Credit Card"/>
    <n v="0.32528331490789181"/>
  </r>
  <r>
    <s v="ORD-2025-1042"/>
    <x v="347"/>
    <x v="2"/>
    <s v="Quetta"/>
    <x v="0"/>
    <x v="10"/>
    <x v="5"/>
    <n v="4"/>
    <n v="194253.61"/>
    <n v="0"/>
    <n v="777014.44"/>
    <n v="553212.59"/>
    <n v="223801.85"/>
    <s v="Bank Transfer"/>
    <n v="0.288027916186474"/>
  </r>
  <r>
    <s v="ORD-2025-1043"/>
    <x v="327"/>
    <x v="1"/>
    <s v="Rawalpindi"/>
    <x v="1"/>
    <x v="12"/>
    <x v="0"/>
    <n v="5"/>
    <n v="31044.9"/>
    <n v="0.05"/>
    <n v="147463.26999999999"/>
    <n v="112894.77"/>
    <n v="34568.5"/>
    <s v="Cash"/>
    <n v="0.23442108668823092"/>
  </r>
  <r>
    <s v="ORD-2025-1044"/>
    <x v="219"/>
    <x v="2"/>
    <s v="Quetta"/>
    <x v="2"/>
    <x v="7"/>
    <x v="2"/>
    <n v="6"/>
    <n v="9040.7900000000009"/>
    <n v="0"/>
    <n v="54244.74"/>
    <n v="29430.81"/>
    <n v="24813.93"/>
    <s v="Bank Transfer"/>
    <n v="0.45744398443056417"/>
  </r>
  <r>
    <s v="ORD-2025-1045"/>
    <x v="24"/>
    <x v="0"/>
    <s v="Lahore"/>
    <x v="1"/>
    <x v="3"/>
    <x v="7"/>
    <n v="2"/>
    <n v="25073.27"/>
    <n v="0.05"/>
    <n v="47639.21"/>
    <n v="36697.86"/>
    <n v="10941.35"/>
    <s v="Bank Transfer"/>
    <n v="0.22967110495744997"/>
  </r>
  <r>
    <s v="ORD-2025-1046"/>
    <x v="202"/>
    <x v="1"/>
    <s v="Islamabad"/>
    <x v="2"/>
    <x v="5"/>
    <x v="6"/>
    <n v="5"/>
    <n v="29603.1"/>
    <n v="0"/>
    <n v="148015.5"/>
    <n v="92966.27"/>
    <n v="55049.23"/>
    <s v="Credit Card"/>
    <n v="0.37191530616725954"/>
  </r>
  <r>
    <s v="ORD-2025-1047"/>
    <x v="55"/>
    <x v="0"/>
    <s v="Faisalabad"/>
    <x v="3"/>
    <x v="13"/>
    <x v="1"/>
    <n v="1"/>
    <n v="6498.86"/>
    <n v="0"/>
    <n v="6498.86"/>
    <n v="3560.12"/>
    <n v="2938.74"/>
    <s v="Bank Transfer"/>
    <n v="0.45219315387621828"/>
  </r>
  <r>
    <s v="ORD-2025-1048"/>
    <x v="307"/>
    <x v="1"/>
    <s v="Islamabad"/>
    <x v="1"/>
    <x v="4"/>
    <x v="3"/>
    <n v="8"/>
    <n v="22613.89"/>
    <n v="0.05"/>
    <n v="171865.56"/>
    <n v="126011.5"/>
    <n v="45854.06"/>
    <s v="Credit Card"/>
    <n v="0.26680191191300923"/>
  </r>
  <r>
    <s v="ORD-2025-1049"/>
    <x v="342"/>
    <x v="2"/>
    <s v="Karachi"/>
    <x v="3"/>
    <x v="13"/>
    <x v="2"/>
    <n v="5"/>
    <n v="6012.56"/>
    <n v="0.05"/>
    <n v="28559.66"/>
    <n v="18640.900000000001"/>
    <n v="9918.76"/>
    <s v="Bank Transfer"/>
    <n v="0.34729965272695823"/>
  </r>
  <r>
    <s v="ORD-2025-1050"/>
    <x v="334"/>
    <x v="0"/>
    <s v="Lahore"/>
    <x v="0"/>
    <x v="0"/>
    <x v="0"/>
    <n v="7"/>
    <n v="15348.52"/>
    <n v="0.15"/>
    <n v="91323.69"/>
    <n v="59408.98"/>
    <n v="31914.71"/>
    <s v="Digital Wallet"/>
    <n v="0.34946802959889156"/>
  </r>
  <r>
    <s v="ORD-2025-1051"/>
    <x v="310"/>
    <x v="0"/>
    <s v="Multan"/>
    <x v="1"/>
    <x v="4"/>
    <x v="5"/>
    <n v="7"/>
    <n v="24784.6"/>
    <n v="0.1"/>
    <n v="156142.98000000001"/>
    <n v="113235.69"/>
    <n v="42907.29"/>
    <s v="Digital Wallet"/>
    <n v="0.27479487070119962"/>
  </r>
  <r>
    <s v="ORD-2025-1052"/>
    <x v="263"/>
    <x v="2"/>
    <s v="Quetta"/>
    <x v="2"/>
    <x v="5"/>
    <x v="3"/>
    <n v="1"/>
    <n v="27499.99"/>
    <n v="0.15"/>
    <n v="23374.99"/>
    <n v="19694.79"/>
    <n v="3680.2"/>
    <s v="Bank Transfer"/>
    <n v="0.15744177858471808"/>
  </r>
  <r>
    <s v="ORD-2025-1053"/>
    <x v="235"/>
    <x v="2"/>
    <s v="Quetta"/>
    <x v="3"/>
    <x v="13"/>
    <x v="6"/>
    <n v="5"/>
    <n v="6356.16"/>
    <n v="0.15"/>
    <n v="27013.68"/>
    <n v="17775.650000000001"/>
    <n v="9238.0300000000007"/>
    <s v="Cash"/>
    <n v="0.34197599142360463"/>
  </r>
  <r>
    <s v="ORD-2025-1054"/>
    <x v="42"/>
    <x v="2"/>
    <s v="Quetta"/>
    <x v="1"/>
    <x v="3"/>
    <x v="6"/>
    <n v="3"/>
    <n v="26757.25"/>
    <n v="0"/>
    <n v="80271.75"/>
    <n v="54042.86"/>
    <n v="26228.89"/>
    <s v="Bank Transfer"/>
    <n v="0.32675119204452374"/>
  </r>
  <r>
    <s v="ORD-2025-1055"/>
    <x v="83"/>
    <x v="2"/>
    <s v="Quetta"/>
    <x v="2"/>
    <x v="7"/>
    <x v="2"/>
    <n v="1"/>
    <n v="8608.2199999999993"/>
    <n v="0"/>
    <n v="8608.2199999999993"/>
    <n v="4847.82"/>
    <n v="3760.4"/>
    <s v="Cash"/>
    <n v="0.43683827783211865"/>
  </r>
  <r>
    <s v="ORD-2025-1056"/>
    <x v="35"/>
    <x v="2"/>
    <s v="Karachi"/>
    <x v="1"/>
    <x v="3"/>
    <x v="5"/>
    <n v="5"/>
    <n v="28594.32"/>
    <n v="0"/>
    <n v="142971.6"/>
    <n v="88732.74"/>
    <n v="54238.86"/>
    <s v="Cash"/>
    <n v="0.37936807030207398"/>
  </r>
  <r>
    <s v="ORD-2025-1057"/>
    <x v="30"/>
    <x v="1"/>
    <s v="Islamabad"/>
    <x v="0"/>
    <x v="1"/>
    <x v="6"/>
    <n v="8"/>
    <n v="93175.99"/>
    <n v="0"/>
    <n v="745407.92"/>
    <n v="548753.77"/>
    <n v="196654.15"/>
    <s v="Bank Transfer"/>
    <n v="0.26382084858985666"/>
  </r>
  <r>
    <s v="ORD-2025-1058"/>
    <x v="188"/>
    <x v="2"/>
    <s v="Karachi"/>
    <x v="1"/>
    <x v="2"/>
    <x v="0"/>
    <n v="4"/>
    <n v="131754.16"/>
    <n v="0"/>
    <n v="527016.64"/>
    <n v="406216.2"/>
    <n v="120800.44"/>
    <s v="Credit Card"/>
    <n v="0.22921560882783512"/>
  </r>
  <r>
    <s v="ORD-2025-1059"/>
    <x v="325"/>
    <x v="1"/>
    <s v="Rawalpindi"/>
    <x v="1"/>
    <x v="4"/>
    <x v="2"/>
    <n v="2"/>
    <n v="25056.2"/>
    <n v="0.05"/>
    <n v="47606.78"/>
    <n v="30968.49"/>
    <n v="16638.29"/>
    <s v="Bank Transfer"/>
    <n v="0.34949412667691454"/>
  </r>
  <r>
    <s v="ORD-2025-1060"/>
    <x v="4"/>
    <x v="2"/>
    <s v="Quetta"/>
    <x v="1"/>
    <x v="4"/>
    <x v="5"/>
    <n v="5"/>
    <n v="24977.91"/>
    <n v="0"/>
    <n v="124889.55"/>
    <n v="78666.710000000006"/>
    <n v="46222.84"/>
    <s v="Cash"/>
    <n v="0.37010974897419358"/>
  </r>
  <r>
    <s v="ORD-2025-1061"/>
    <x v="153"/>
    <x v="1"/>
    <s v="Peshawar"/>
    <x v="2"/>
    <x v="9"/>
    <x v="5"/>
    <n v="6"/>
    <n v="40674.83"/>
    <n v="0.05"/>
    <n v="231846.53"/>
    <n v="160391.54"/>
    <n v="71454.990000000005"/>
    <s v="Digital Wallet"/>
    <n v="0.30819952319320892"/>
  </r>
  <r>
    <s v="ORD-2025-1062"/>
    <x v="315"/>
    <x v="0"/>
    <s v="Lahore"/>
    <x v="0"/>
    <x v="1"/>
    <x v="6"/>
    <n v="7"/>
    <n v="92573.6"/>
    <n v="0"/>
    <n v="648015.19999999995"/>
    <n v="489961.87"/>
    <n v="158053.32999999999"/>
    <s v="Digital Wallet"/>
    <n v="0.24390373867773471"/>
  </r>
  <r>
    <s v="ORD-2025-1063"/>
    <x v="54"/>
    <x v="0"/>
    <s v="Multan"/>
    <x v="3"/>
    <x v="8"/>
    <x v="2"/>
    <n v="5"/>
    <n v="10938.84"/>
    <n v="0.1"/>
    <n v="49224.78"/>
    <n v="32191.72"/>
    <n v="17033.060000000001"/>
    <s v="Credit Card"/>
    <n v="0.34602612749107264"/>
  </r>
  <r>
    <s v="ORD-2025-1064"/>
    <x v="61"/>
    <x v="2"/>
    <s v="Karachi"/>
    <x v="3"/>
    <x v="8"/>
    <x v="2"/>
    <n v="2"/>
    <n v="11855.25"/>
    <n v="0.05"/>
    <n v="22524.97"/>
    <n v="13276.85"/>
    <n v="9248.1200000000008"/>
    <s v="Cash"/>
    <n v="0.41057191197146992"/>
  </r>
  <r>
    <s v="ORD-2025-1065"/>
    <x v="337"/>
    <x v="2"/>
    <s v="Quetta"/>
    <x v="0"/>
    <x v="0"/>
    <x v="5"/>
    <n v="8"/>
    <n v="14744.11"/>
    <n v="0.05"/>
    <n v="112055.24"/>
    <n v="67242.710000000006"/>
    <n v="44812.53"/>
    <s v="Credit Card"/>
    <n v="0.39991463139073191"/>
  </r>
  <r>
    <s v="ORD-2025-1066"/>
    <x v="46"/>
    <x v="2"/>
    <s v="Quetta"/>
    <x v="2"/>
    <x v="9"/>
    <x v="5"/>
    <n v="5"/>
    <n v="37036.76"/>
    <n v="0"/>
    <n v="185183.8"/>
    <n v="126841.7"/>
    <n v="58342.1"/>
    <s v="Digital Wallet"/>
    <n v="0.31504969657173038"/>
  </r>
  <r>
    <s v="ORD-2025-1067"/>
    <x v="348"/>
    <x v="0"/>
    <s v="Lahore"/>
    <x v="2"/>
    <x v="7"/>
    <x v="7"/>
    <n v="1"/>
    <n v="8046.81"/>
    <n v="0.05"/>
    <n v="7644.47"/>
    <n v="4843.34"/>
    <n v="2801.13"/>
    <s v="Cash"/>
    <n v="0.36642566456536557"/>
  </r>
  <r>
    <s v="ORD-2025-1068"/>
    <x v="11"/>
    <x v="1"/>
    <s v="Islamabad"/>
    <x v="3"/>
    <x v="13"/>
    <x v="1"/>
    <n v="3"/>
    <n v="7009.53"/>
    <n v="0"/>
    <n v="21028.59"/>
    <n v="10865.26"/>
    <n v="10163.33"/>
    <s v="Digital Wallet"/>
    <n v="0.48331010305493616"/>
  </r>
  <r>
    <s v="ORD-2025-1069"/>
    <x v="136"/>
    <x v="2"/>
    <s v="Karachi"/>
    <x v="3"/>
    <x v="6"/>
    <x v="0"/>
    <n v="5"/>
    <n v="3943.99"/>
    <n v="0.05"/>
    <n v="18733.95"/>
    <n v="10619.74"/>
    <n v="8114.21"/>
    <s v="Cash"/>
    <n v="0.43312862476946934"/>
  </r>
  <r>
    <s v="ORD-2025-1070"/>
    <x v="4"/>
    <x v="1"/>
    <s v="Peshawar"/>
    <x v="1"/>
    <x v="4"/>
    <x v="7"/>
    <n v="7"/>
    <n v="25012.86"/>
    <n v="0.15"/>
    <n v="148826.51999999999"/>
    <n v="113745.06"/>
    <n v="35081.46"/>
    <s v="Credit Card"/>
    <n v="0.23572048852583533"/>
  </r>
  <r>
    <s v="ORD-2025-1071"/>
    <x v="234"/>
    <x v="0"/>
    <s v="Lahore"/>
    <x v="0"/>
    <x v="1"/>
    <x v="1"/>
    <n v="1"/>
    <n v="93377.1"/>
    <n v="0.05"/>
    <n v="88708.24"/>
    <n v="69167.8"/>
    <n v="19540.439999999999"/>
    <s v="Bank Transfer"/>
    <n v="0.22027762020754776"/>
  </r>
  <r>
    <s v="ORD-2025-1072"/>
    <x v="220"/>
    <x v="2"/>
    <s v="Karachi"/>
    <x v="1"/>
    <x v="2"/>
    <x v="1"/>
    <n v="4"/>
    <n v="130622.73"/>
    <n v="0.05"/>
    <n v="496366.37"/>
    <n v="393245.58"/>
    <n v="103120.79"/>
    <s v="Bank Transfer"/>
    <n v="0.20775136317152187"/>
  </r>
  <r>
    <s v="ORD-2025-1073"/>
    <x v="349"/>
    <x v="2"/>
    <s v="Hyderabad"/>
    <x v="1"/>
    <x v="12"/>
    <x v="1"/>
    <n v="3"/>
    <n v="30581.41"/>
    <n v="0.15"/>
    <n v="77982.600000000006"/>
    <n v="69644.27"/>
    <n v="8338.33"/>
    <s v="Bank Transfer"/>
    <n v="0.1069255192825066"/>
  </r>
  <r>
    <s v="ORD-2025-1074"/>
    <x v="233"/>
    <x v="0"/>
    <s v="Multan"/>
    <x v="1"/>
    <x v="2"/>
    <x v="7"/>
    <n v="6"/>
    <n v="130351.48"/>
    <n v="0"/>
    <n v="782108.88"/>
    <n v="600030.31000000006"/>
    <n v="182078.57"/>
    <s v="Credit Card"/>
    <n v="0.23280463200980406"/>
  </r>
  <r>
    <s v="ORD-2025-1075"/>
    <x v="71"/>
    <x v="1"/>
    <s v="Rawalpindi"/>
    <x v="1"/>
    <x v="2"/>
    <x v="5"/>
    <n v="4"/>
    <n v="138594.97"/>
    <n v="0"/>
    <n v="554379.88"/>
    <n v="394594.2"/>
    <n v="159785.68"/>
    <s v="Cash"/>
    <n v="0.28822416859717204"/>
  </r>
  <r>
    <s v="ORD-2025-1076"/>
    <x v="278"/>
    <x v="0"/>
    <s v="Lahore"/>
    <x v="2"/>
    <x v="11"/>
    <x v="1"/>
    <n v="8"/>
    <n v="45287.63"/>
    <n v="0"/>
    <n v="362301.04"/>
    <n v="246975.22"/>
    <n v="115325.82"/>
    <s v="Digital Wallet"/>
    <n v="0.31831490188380362"/>
  </r>
  <r>
    <s v="ORD-2025-1078"/>
    <x v="242"/>
    <x v="1"/>
    <s v="Islamabad"/>
    <x v="1"/>
    <x v="2"/>
    <x v="2"/>
    <n v="6"/>
    <n v="141558.65"/>
    <n v="0.15"/>
    <n v="721949.11"/>
    <n v="621472.65"/>
    <n v="100476.46"/>
    <s v="Credit Card"/>
    <n v="0.13917388166044004"/>
  </r>
  <r>
    <s v="ORD-2025-1079"/>
    <x v="216"/>
    <x v="0"/>
    <s v="Faisalabad"/>
    <x v="1"/>
    <x v="4"/>
    <x v="1"/>
    <n v="2"/>
    <n v="25310.69"/>
    <n v="0.05"/>
    <n v="48090.31"/>
    <n v="32625.71"/>
    <n v="15464.6"/>
    <s v="Cash"/>
    <n v="0.3215741383243319"/>
  </r>
  <r>
    <s v="ORD-2025-1080"/>
    <x v="346"/>
    <x v="0"/>
    <s v="Multan"/>
    <x v="1"/>
    <x v="12"/>
    <x v="1"/>
    <n v="1"/>
    <n v="35371.68"/>
    <n v="0.15"/>
    <n v="30065.93"/>
    <n v="21837.55"/>
    <n v="8228.3799999999992"/>
    <s v="Credit Card"/>
    <n v="0.27367788057778353"/>
  </r>
  <r>
    <s v="ORD-2025-1081"/>
    <x v="278"/>
    <x v="0"/>
    <s v="Lahore"/>
    <x v="1"/>
    <x v="4"/>
    <x v="5"/>
    <n v="3"/>
    <n v="24439.27"/>
    <n v="0"/>
    <n v="73317.81"/>
    <n v="48411.95"/>
    <n v="24905.86"/>
    <s v="Credit Card"/>
    <n v="0.33969727137239919"/>
  </r>
  <r>
    <s v="ORD-2025-1082"/>
    <x v="68"/>
    <x v="0"/>
    <s v="Lahore"/>
    <x v="2"/>
    <x v="11"/>
    <x v="5"/>
    <n v="7"/>
    <n v="40022.76"/>
    <n v="0.1"/>
    <n v="252143.39"/>
    <n v="219774.39"/>
    <n v="32369"/>
    <s v="Cash"/>
    <n v="0.1283753660962518"/>
  </r>
  <r>
    <s v="ORD-2025-1083"/>
    <x v="327"/>
    <x v="2"/>
    <s v="Quetta"/>
    <x v="1"/>
    <x v="4"/>
    <x v="4"/>
    <n v="4"/>
    <n v="25039.84"/>
    <n v="0.5"/>
    <n v="95151.39"/>
    <n v="63650.76"/>
    <n v="31500.63"/>
    <s v="Credit Card"/>
    <n v="0.3310580118692959"/>
  </r>
  <r>
    <s v="ORD-2025-1085"/>
    <x v="41"/>
    <x v="2"/>
    <s v="Hyderabad"/>
    <x v="3"/>
    <x v="8"/>
    <x v="0"/>
    <n v="4"/>
    <n v="11798.85"/>
    <n v="0"/>
    <n v="47195.4"/>
    <n v="25540.67"/>
    <n v="21654.73"/>
    <s v="Bank Transfer"/>
    <n v="0.45883136915885869"/>
  </r>
  <r>
    <s v="ORD-2025-1086"/>
    <x v="4"/>
    <x v="0"/>
    <s v="Faisalabad"/>
    <x v="2"/>
    <x v="7"/>
    <x v="4"/>
    <n v="8"/>
    <n v="8637.44"/>
    <n v="0.15"/>
    <n v="58734.59"/>
    <n v="38668.46"/>
    <n v="20066.13"/>
    <s v="Credit Card"/>
    <n v="0.34164076058077536"/>
  </r>
  <r>
    <s v="ORD-2025-1087"/>
    <x v="310"/>
    <x v="2"/>
    <s v="Karachi"/>
    <x v="1"/>
    <x v="3"/>
    <x v="6"/>
    <n v="6"/>
    <n v="26616.51"/>
    <n v="0.05"/>
    <n v="151714.10999999999"/>
    <n v="107974.51"/>
    <n v="43739.6"/>
    <s v="Bank Transfer"/>
    <n v="0.28830278212092469"/>
  </r>
  <r>
    <s v="ORD-2025-1088"/>
    <x v="291"/>
    <x v="2"/>
    <s v="Quetta"/>
    <x v="2"/>
    <x v="9"/>
    <x v="3"/>
    <n v="1"/>
    <n v="36835.74"/>
    <n v="0.05"/>
    <n v="34993.949999999997"/>
    <n v="25622.78"/>
    <n v="9371.17"/>
    <s v="Cash"/>
    <n v="0.26779400439218781"/>
  </r>
  <r>
    <s v="ORD-2025-1089"/>
    <x v="240"/>
    <x v="0"/>
    <s v="Multan"/>
    <x v="1"/>
    <x v="12"/>
    <x v="2"/>
    <n v="1"/>
    <n v="35377.47"/>
    <n v="0"/>
    <n v="35377.47"/>
    <n v="23088.799999999999"/>
    <n v="12288.67"/>
    <s v="Bank Transfer"/>
    <n v="0.34735864379222142"/>
  </r>
  <r>
    <s v="ORD-2025-1090"/>
    <x v="144"/>
    <x v="0"/>
    <s v="Lahore"/>
    <x v="0"/>
    <x v="1"/>
    <x v="3"/>
    <n v="6"/>
    <n v="92522.16"/>
    <n v="0"/>
    <n v="555132.96"/>
    <n v="419697.54"/>
    <n v="135435.42000000001"/>
    <s v="Bank Transfer"/>
    <n v="0.24396933664324313"/>
  </r>
  <r>
    <s v="ORD-2025-1091"/>
    <x v="73"/>
    <x v="1"/>
    <s v="Rawalpindi"/>
    <x v="1"/>
    <x v="4"/>
    <x v="6"/>
    <n v="4"/>
    <n v="24707.57"/>
    <n v="0"/>
    <n v="98830.28"/>
    <n v="65462.62"/>
    <n v="33367.660000000003"/>
    <s v="Cash"/>
    <n v="0.33762587741327865"/>
  </r>
  <r>
    <s v="ORD-2025-1092"/>
    <x v="140"/>
    <x v="0"/>
    <s v="Faisalabad"/>
    <x v="3"/>
    <x v="13"/>
    <x v="3"/>
    <n v="3"/>
    <n v="6274.41"/>
    <n v="0"/>
    <n v="18823.23"/>
    <n v="10649.88"/>
    <n v="8173.35"/>
    <s v="Cash"/>
    <n v="0.43421612550024624"/>
  </r>
  <r>
    <s v="ORD-2025-1093"/>
    <x v="263"/>
    <x v="2"/>
    <s v="Quetta"/>
    <x v="0"/>
    <x v="15"/>
    <x v="0"/>
    <n v="7"/>
    <n v="48931.53"/>
    <n v="0.15"/>
    <n v="291142.59999999998"/>
    <n v="263513.38"/>
    <n v="27629.22"/>
    <s v="Cash"/>
    <n v="9.4899269292779559E-2"/>
  </r>
  <r>
    <s v="ORD-2025-1094"/>
    <x v="187"/>
    <x v="0"/>
    <s v="Multan"/>
    <x v="3"/>
    <x v="13"/>
    <x v="0"/>
    <n v="1"/>
    <n v="6752.36"/>
    <n v="0.1"/>
    <n v="6077.12"/>
    <n v="3644.43"/>
    <n v="2432.69"/>
    <s v="Digital Wallet"/>
    <n v="0.40030310410194303"/>
  </r>
  <r>
    <s v="ORD-2025-1095"/>
    <x v="182"/>
    <x v="1"/>
    <s v="Peshawar"/>
    <x v="1"/>
    <x v="3"/>
    <x v="3"/>
    <n v="7"/>
    <n v="27053.38"/>
    <n v="0"/>
    <n v="189373.66"/>
    <n v="124885"/>
    <n v="64488.66"/>
    <s v="Cash"/>
    <n v="0.34053658782324853"/>
  </r>
  <r>
    <s v="ORD-2025-1096"/>
    <x v="311"/>
    <x v="2"/>
    <s v="Quetta"/>
    <x v="3"/>
    <x v="14"/>
    <x v="4"/>
    <n v="5"/>
    <n v="5141.37"/>
    <n v="0"/>
    <n v="25706.85"/>
    <n v="14008.71"/>
    <n v="11698.14"/>
    <s v="Digital Wallet"/>
    <n v="0.45505925463446512"/>
  </r>
  <r>
    <s v="ORD-2025-1097"/>
    <x v="93"/>
    <x v="2"/>
    <s v="Quetta"/>
    <x v="2"/>
    <x v="7"/>
    <x v="0"/>
    <n v="1"/>
    <n v="9170.69"/>
    <n v="0.15"/>
    <n v="7795.09"/>
    <n v="4888.0200000000004"/>
    <n v="2907.07"/>
    <s v="Digital Wallet"/>
    <n v="0.3729360405075503"/>
  </r>
  <r>
    <s v="ORD-2025-1098"/>
    <x v="335"/>
    <x v="1"/>
    <s v="Peshawar"/>
    <x v="0"/>
    <x v="15"/>
    <x v="4"/>
    <n v="4"/>
    <n v="51559.75"/>
    <n v="0.05"/>
    <n v="195927.05"/>
    <n v="147375.43"/>
    <n v="48551.62"/>
    <s v="Bank Transfer"/>
    <n v="0.24780457828564256"/>
  </r>
  <r>
    <s v="ORD-2025-1099"/>
    <x v="239"/>
    <x v="1"/>
    <s v="Peshawar"/>
    <x v="0"/>
    <x v="10"/>
    <x v="5"/>
    <n v="3"/>
    <n v="176347.38"/>
    <n v="0.05"/>
    <n v="502590.03"/>
    <n v="430915.47"/>
    <n v="71674.559999999998"/>
    <s v="Digital Wallet"/>
    <n v="0.14261038962511849"/>
  </r>
  <r>
    <s v="ORD-2025-1100"/>
    <x v="187"/>
    <x v="0"/>
    <s v="Faisalabad"/>
    <x v="2"/>
    <x v="11"/>
    <x v="6"/>
    <n v="8"/>
    <n v="41293.919999999998"/>
    <n v="0.05"/>
    <n v="313833.78999999998"/>
    <n v="253415.27"/>
    <n v="60418.52"/>
    <s v="Bank Transfer"/>
    <n v="0.19251757435042288"/>
  </r>
  <r>
    <s v="ORD-2025-1101"/>
    <x v="0"/>
    <x v="0"/>
    <s v="Multan"/>
    <x v="3"/>
    <x v="13"/>
    <x v="7"/>
    <n v="5"/>
    <n v="6698.01"/>
    <n v="0.1"/>
    <n v="30141.05"/>
    <n v="18461.32"/>
    <n v="11679.73"/>
    <s v="Bank Transfer"/>
    <n v="0.38750242609331792"/>
  </r>
  <r>
    <s v="ORD-2025-1102"/>
    <x v="95"/>
    <x v="0"/>
    <s v="Lahore"/>
    <x v="1"/>
    <x v="4"/>
    <x v="0"/>
    <n v="8"/>
    <n v="24556.57"/>
    <n v="0.15"/>
    <n v="166984.68"/>
    <n v="131391.9"/>
    <n v="35592.78"/>
    <s v="Digital Wallet"/>
    <n v="0.21314997279989997"/>
  </r>
  <r>
    <s v="ORD-2025-1103"/>
    <x v="77"/>
    <x v="0"/>
    <s v="Lahore"/>
    <x v="3"/>
    <x v="6"/>
    <x v="7"/>
    <n v="1"/>
    <n v="3972.93"/>
    <n v="0.15"/>
    <n v="3376.99"/>
    <n v="2054.86"/>
    <n v="1322.13"/>
    <s v="Cash"/>
    <n v="0.39151137551488163"/>
  </r>
  <r>
    <s v="ORD-2025-1104"/>
    <x v="309"/>
    <x v="1"/>
    <s v="Rawalpindi"/>
    <x v="3"/>
    <x v="6"/>
    <x v="4"/>
    <n v="8"/>
    <n v="3957.99"/>
    <n v="0.1"/>
    <n v="28497.53"/>
    <n v="16787.740000000002"/>
    <n v="11709.79"/>
    <s v="Cash"/>
    <n v="0.41090543636588861"/>
  </r>
  <r>
    <s v="ORD-2025-1105"/>
    <x v="252"/>
    <x v="2"/>
    <s v="Hyderabad"/>
    <x v="1"/>
    <x v="3"/>
    <x v="3"/>
    <n v="6"/>
    <n v="27275.66"/>
    <n v="0"/>
    <n v="163653.96"/>
    <n v="105829.87"/>
    <n v="57824.09"/>
    <s v="Bank Transfer"/>
    <n v="0.35333144398094612"/>
  </r>
  <r>
    <s v="ORD-2025-1106"/>
    <x v="319"/>
    <x v="0"/>
    <s v="Multan"/>
    <x v="1"/>
    <x v="4"/>
    <x v="5"/>
    <n v="8"/>
    <n v="23365.62"/>
    <n v="0.05"/>
    <n v="177578.71"/>
    <n v="130810.8"/>
    <n v="46767.91"/>
    <s v="Digital Wallet"/>
    <n v="0.26336439768033004"/>
  </r>
  <r>
    <s v="ORD-2025-1107"/>
    <x v="207"/>
    <x v="1"/>
    <s v="Rawalpindi"/>
    <x v="3"/>
    <x v="6"/>
    <x v="3"/>
    <n v="3"/>
    <n v="4180.17"/>
    <n v="0"/>
    <n v="12540.51"/>
    <n v="6248.52"/>
    <n v="6291.99"/>
    <s v="Cash"/>
    <n v="0.50173318310020887"/>
  </r>
  <r>
    <s v="ORD-2025-1108"/>
    <x v="277"/>
    <x v="0"/>
    <s v="Faisalabad"/>
    <x v="1"/>
    <x v="2"/>
    <x v="3"/>
    <n v="1"/>
    <n v="137699.41"/>
    <n v="0.1"/>
    <n v="123929.47"/>
    <n v="99076.12"/>
    <n v="24853.35"/>
    <s v="Bank Transfer"/>
    <n v="0.20054430959803182"/>
  </r>
  <r>
    <s v="ORD-2025-1109"/>
    <x v="290"/>
    <x v="0"/>
    <s v="Lahore"/>
    <x v="2"/>
    <x v="9"/>
    <x v="2"/>
    <n v="5"/>
    <n v="39950.19"/>
    <n v="0.05"/>
    <n v="189763.4"/>
    <n v="131418.66"/>
    <n v="58344.74"/>
    <s v="Digital Wallet"/>
    <n v="0.307460448115917"/>
  </r>
  <r>
    <s v="ORD-2025-1110"/>
    <x v="8"/>
    <x v="2"/>
    <s v="Quetta"/>
    <x v="2"/>
    <x v="11"/>
    <x v="0"/>
    <n v="3"/>
    <n v="40268.480000000003"/>
    <n v="0"/>
    <n v="120805.44"/>
    <n v="92032.71"/>
    <n v="28772.73"/>
    <s v="Credit Card"/>
    <n v="0.23817412527117984"/>
  </r>
  <r>
    <s v="ORD-2025-1111"/>
    <x v="228"/>
    <x v="0"/>
    <s v="Multan"/>
    <x v="3"/>
    <x v="8"/>
    <x v="7"/>
    <n v="5"/>
    <n v="12358.65"/>
    <n v="0.15"/>
    <n v="52524.26"/>
    <n v="33507.29"/>
    <n v="19016.97"/>
    <s v="Credit Card"/>
    <n v="0.36206069347764253"/>
  </r>
  <r>
    <s v="ORD-2025-1112"/>
    <x v="111"/>
    <x v="1"/>
    <s v="Islamabad"/>
    <x v="2"/>
    <x v="5"/>
    <x v="7"/>
    <n v="2"/>
    <n v="30458.73"/>
    <n v="0.1"/>
    <n v="54825.71"/>
    <n v="37249.67"/>
    <n v="17576.04"/>
    <s v="Cash"/>
    <n v="0.32058025331546097"/>
  </r>
  <r>
    <s v="ORD-2025-1113"/>
    <x v="324"/>
    <x v="2"/>
    <s v="Karachi"/>
    <x v="0"/>
    <x v="1"/>
    <x v="0"/>
    <n v="8"/>
    <n v="90901.97"/>
    <n v="0.05"/>
    <n v="690854.97"/>
    <n v="540135.56000000006"/>
    <n v="150719.41"/>
    <s v="Credit Card"/>
    <n v="0.21816360386030081"/>
  </r>
  <r>
    <s v="ORD-2025-1114"/>
    <x v="10"/>
    <x v="0"/>
    <s v="Faisalabad"/>
    <x v="3"/>
    <x v="14"/>
    <x v="3"/>
    <n v="8"/>
    <n v="5079.3500000000004"/>
    <n v="0.1"/>
    <n v="36571.32"/>
    <n v="21431.26"/>
    <n v="15140.06"/>
    <s v="Credit Card"/>
    <n v="0.41398724464963255"/>
  </r>
  <r>
    <s v="ORD-2025-1115"/>
    <x v="213"/>
    <x v="0"/>
    <s v="Faisalabad"/>
    <x v="2"/>
    <x v="7"/>
    <x v="1"/>
    <n v="8"/>
    <n v="8486.5300000000007"/>
    <n v="0.05"/>
    <n v="64497.63"/>
    <n v="39904.65"/>
    <n v="24592.98"/>
    <s v="Bank Transfer"/>
    <n v="0.38130052220523453"/>
  </r>
  <r>
    <s v="ORD-2025-1116"/>
    <x v="17"/>
    <x v="1"/>
    <s v="Islamabad"/>
    <x v="1"/>
    <x v="4"/>
    <x v="1"/>
    <n v="6"/>
    <n v="25395.69"/>
    <n v="0"/>
    <n v="152374.14000000001"/>
    <n v="96050.240000000005"/>
    <n v="56323.9"/>
    <s v="Bank Transfer"/>
    <n v="0.36964211906298533"/>
  </r>
  <r>
    <s v="ORD-2025-1117"/>
    <x v="274"/>
    <x v="1"/>
    <s v="Peshawar"/>
    <x v="0"/>
    <x v="1"/>
    <x v="2"/>
    <n v="8"/>
    <n v="89953.79"/>
    <n v="0"/>
    <n v="719630.32"/>
    <n v="527893.80000000005"/>
    <n v="191736.52"/>
    <s v="Cash"/>
    <n v="0.26643752308824342"/>
  </r>
  <r>
    <s v="ORD-2025-1118"/>
    <x v="307"/>
    <x v="2"/>
    <s v="Hyderabad"/>
    <x v="0"/>
    <x v="0"/>
    <x v="4"/>
    <n v="1"/>
    <n v="14841.55"/>
    <n v="0.15"/>
    <n v="12615.32"/>
    <n v="8228.7900000000009"/>
    <n v="4386.53"/>
    <s v="Bank Transfer"/>
    <n v="0.34771452487927373"/>
  </r>
  <r>
    <s v="ORD-2025-1119"/>
    <x v="350"/>
    <x v="0"/>
    <s v="Lahore"/>
    <x v="0"/>
    <x v="15"/>
    <x v="0"/>
    <n v="8"/>
    <n v="51919.3"/>
    <n v="0.05"/>
    <n v="394586.68"/>
    <n v="298568.69"/>
    <n v="96017.99"/>
    <s v="Cash"/>
    <n v="0.24333814309190571"/>
  </r>
  <r>
    <s v="ORD-2025-1120"/>
    <x v="125"/>
    <x v="2"/>
    <s v="Karachi"/>
    <x v="2"/>
    <x v="5"/>
    <x v="6"/>
    <n v="3"/>
    <n v="26597.68"/>
    <n v="0"/>
    <n v="79793.039999999994"/>
    <n v="55513.63"/>
    <n v="24279.41"/>
    <s v="Bank Transfer"/>
    <n v="0.30427979683441064"/>
  </r>
  <r>
    <s v="ORD-2025-1121"/>
    <x v="132"/>
    <x v="1"/>
    <s v="Peshawar"/>
    <x v="1"/>
    <x v="12"/>
    <x v="5"/>
    <n v="1"/>
    <n v="32116.47"/>
    <n v="0.15"/>
    <n v="27299"/>
    <n v="23160.959999999999"/>
    <n v="4138.04"/>
    <s v="Bank Transfer"/>
    <n v="0.1515821092347705"/>
  </r>
  <r>
    <s v="ORD-2025-1122"/>
    <x v="5"/>
    <x v="0"/>
    <s v="Lahore"/>
    <x v="3"/>
    <x v="14"/>
    <x v="0"/>
    <n v="1"/>
    <n v="4838.04"/>
    <n v="0.1"/>
    <n v="4354.24"/>
    <n v="2646.88"/>
    <n v="1707.36"/>
    <s v="Credit Card"/>
    <n v="0.39211435290659219"/>
  </r>
  <r>
    <s v="ORD-2025-1123"/>
    <x v="336"/>
    <x v="2"/>
    <s v="Karachi"/>
    <x v="1"/>
    <x v="12"/>
    <x v="4"/>
    <n v="7"/>
    <n v="31273.27"/>
    <n v="0.15"/>
    <n v="186075.96"/>
    <n v="162059.42000000001"/>
    <n v="24016.54"/>
    <s v="Bank Transfer"/>
    <n v="0.12906847289676754"/>
  </r>
  <r>
    <s v="ORD-2025-1124"/>
    <x v="39"/>
    <x v="0"/>
    <s v="Faisalabad"/>
    <x v="0"/>
    <x v="0"/>
    <x v="0"/>
    <n v="8"/>
    <n v="14658.16"/>
    <n v="0.15"/>
    <n v="99675.49"/>
    <n v="64027.35"/>
    <n v="35648.14"/>
    <s v="Cash"/>
    <n v="0.35764198400228581"/>
  </r>
  <r>
    <s v="ORD-2025-1125"/>
    <x v="279"/>
    <x v="1"/>
    <s v="Islamabad"/>
    <x v="0"/>
    <x v="1"/>
    <x v="3"/>
    <n v="6"/>
    <n v="93341.71"/>
    <n v="0"/>
    <n v="560050.26"/>
    <n v="417657.59999999998"/>
    <n v="142392.66"/>
    <s v="Bank Transfer"/>
    <n v="0.254249788224364"/>
  </r>
  <r>
    <s v="ORD-2025-1126"/>
    <x v="269"/>
    <x v="2"/>
    <s v="Karachi"/>
    <x v="2"/>
    <x v="9"/>
    <x v="1"/>
    <n v="4"/>
    <n v="39504.239999999998"/>
    <n v="0.15"/>
    <n v="134314.42000000001"/>
    <n v="101846.31"/>
    <n v="32468.11"/>
    <s v="Bank Transfer"/>
    <n v="0.24173212377345632"/>
  </r>
  <r>
    <s v="ORD-2025-1127"/>
    <x v="120"/>
    <x v="1"/>
    <s v="Rawalpindi"/>
    <x v="2"/>
    <x v="9"/>
    <x v="5"/>
    <n v="7"/>
    <n v="36333.839999999997"/>
    <n v="0"/>
    <n v="254336.88"/>
    <n v="180015.46"/>
    <n v="74321.42"/>
    <s v="Bank Transfer"/>
    <n v="0.29221644930141472"/>
  </r>
  <r>
    <s v="ORD-2025-1128"/>
    <x v="292"/>
    <x v="2"/>
    <s v="Quetta"/>
    <x v="3"/>
    <x v="8"/>
    <x v="7"/>
    <n v="2"/>
    <n v="11481.39"/>
    <n v="0.1"/>
    <n v="20666.5"/>
    <n v="12940.89"/>
    <n v="7725.61"/>
    <s v="Credit Card"/>
    <n v="0.37382285341010812"/>
  </r>
  <r>
    <s v="ORD-2025-1129"/>
    <x v="206"/>
    <x v="1"/>
    <s v="Peshawar"/>
    <x v="3"/>
    <x v="6"/>
    <x v="4"/>
    <n v="4"/>
    <n v="4531.8"/>
    <n v="0.05"/>
    <n v="17220.84"/>
    <n v="8351.99"/>
    <n v="8868.85"/>
    <s v="Credit Card"/>
    <n v="0.51500681732133857"/>
  </r>
  <r>
    <s v="ORD-2025-1130"/>
    <x v="218"/>
    <x v="2"/>
    <s v="Quetta"/>
    <x v="1"/>
    <x v="2"/>
    <x v="5"/>
    <n v="4"/>
    <n v="129777.42"/>
    <n v="0.05"/>
    <n v="493154.2"/>
    <n v="399256.72"/>
    <n v="93897.48"/>
    <s v="Digital Wallet"/>
    <n v="0.19040186619114263"/>
  </r>
  <r>
    <s v="ORD-2025-1131"/>
    <x v="330"/>
    <x v="1"/>
    <s v="Rawalpindi"/>
    <x v="1"/>
    <x v="3"/>
    <x v="2"/>
    <n v="7"/>
    <n v="27683.88"/>
    <n v="0"/>
    <n v="193787.16"/>
    <n v="125063.32"/>
    <n v="68723.839999999997"/>
    <s v="Cash"/>
    <n v="0.35463567348837766"/>
  </r>
  <r>
    <s v="ORD-2025-1133"/>
    <x v="66"/>
    <x v="2"/>
    <s v="Quetta"/>
    <x v="2"/>
    <x v="11"/>
    <x v="1"/>
    <n v="8"/>
    <n v="45127.44"/>
    <n v="0.05"/>
    <n v="342968.54"/>
    <n v="250864.46"/>
    <n v="92104.08"/>
    <s v="Digital Wallet"/>
    <n v="0.26854964598210673"/>
  </r>
  <r>
    <s v="ORD-2025-1134"/>
    <x v="62"/>
    <x v="2"/>
    <s v="Karachi"/>
    <x v="1"/>
    <x v="3"/>
    <x v="0"/>
    <n v="6"/>
    <n v="26924.65"/>
    <n v="0.05"/>
    <n v="153470.51"/>
    <n v="107029.31"/>
    <n v="46441.2"/>
    <s v="Digital Wallet"/>
    <n v="0.30260667016744774"/>
  </r>
  <r>
    <s v="ORD-2025-1135"/>
    <x v="200"/>
    <x v="2"/>
    <s v="Hyderabad"/>
    <x v="3"/>
    <x v="13"/>
    <x v="3"/>
    <n v="3"/>
    <n v="6512.69"/>
    <n v="0.05"/>
    <n v="18561.169999999998"/>
    <n v="11146.27"/>
    <n v="7414.9"/>
    <s v="Credit Card"/>
    <n v="0.39948451525415696"/>
  </r>
  <r>
    <s v="ORD-2025-1136"/>
    <x v="182"/>
    <x v="1"/>
    <s v="Peshawar"/>
    <x v="1"/>
    <x v="2"/>
    <x v="1"/>
    <n v="2"/>
    <n v="130880.31"/>
    <n v="0"/>
    <n v="261760.62"/>
    <n v="207273.06"/>
    <n v="54487.56"/>
    <s v="Credit Card"/>
    <n v="0.20815797273096312"/>
  </r>
  <r>
    <s v="ORD-2025-1137"/>
    <x v="97"/>
    <x v="2"/>
    <s v="Karachi"/>
    <x v="2"/>
    <x v="5"/>
    <x v="1"/>
    <n v="3"/>
    <n v="27593.85"/>
    <n v="0"/>
    <n v="82781.55"/>
    <n v="56026.53"/>
    <n v="26755.02"/>
    <s v="Cash"/>
    <n v="0.32320027832288717"/>
  </r>
  <r>
    <s v="ORD-2025-1138"/>
    <x v="18"/>
    <x v="0"/>
    <s v="Lahore"/>
    <x v="2"/>
    <x v="9"/>
    <x v="1"/>
    <n v="1"/>
    <n v="37862.25"/>
    <n v="0.05"/>
    <n v="35969.14"/>
    <n v="25401.84"/>
    <n v="10567.3"/>
    <s v="Credit Card"/>
    <n v="0.29378795267276336"/>
  </r>
  <r>
    <s v="ORD-2025-1139"/>
    <x v="132"/>
    <x v="2"/>
    <s v="Quetta"/>
    <x v="3"/>
    <x v="14"/>
    <x v="5"/>
    <n v="4"/>
    <n v="5418.86"/>
    <n v="0"/>
    <n v="21675.439999999999"/>
    <n v="10769.01"/>
    <n v="10906.43"/>
    <s v="Digital Wallet"/>
    <n v="0.50316994718446317"/>
  </r>
  <r>
    <s v="ORD-2025-1140"/>
    <x v="351"/>
    <x v="2"/>
    <s v="Hyderabad"/>
    <x v="3"/>
    <x v="14"/>
    <x v="6"/>
    <n v="2"/>
    <n v="5072.59"/>
    <n v="0.15"/>
    <n v="8623.4"/>
    <n v="5517.88"/>
    <n v="3105.52"/>
    <s v="Credit Card"/>
    <n v="0.36012709604100474"/>
  </r>
  <r>
    <s v="ORD-2025-1141"/>
    <x v="86"/>
    <x v="0"/>
    <s v="Lahore"/>
    <x v="2"/>
    <x v="9"/>
    <x v="0"/>
    <n v="6"/>
    <n v="37026.29"/>
    <n v="0"/>
    <n v="222157.74"/>
    <n v="157987.39000000001"/>
    <n v="64170.35"/>
    <s v="Credit Card"/>
    <n v="0.28885039071787461"/>
  </r>
  <r>
    <s v="ORD-2025-1142"/>
    <x v="235"/>
    <x v="1"/>
    <s v="Rawalpindi"/>
    <x v="2"/>
    <x v="11"/>
    <x v="5"/>
    <n v="4"/>
    <n v="41637.33"/>
    <n v="0"/>
    <n v="166549.32"/>
    <n v="123227.61"/>
    <n v="43321.71"/>
    <s v="Digital Wallet"/>
    <n v="0.26011340064312477"/>
  </r>
  <r>
    <s v="ORD-2025-1143"/>
    <x v="86"/>
    <x v="1"/>
    <s v="Rawalpindi"/>
    <x v="1"/>
    <x v="4"/>
    <x v="0"/>
    <n v="8"/>
    <n v="22676.52"/>
    <n v="0.05"/>
    <n v="172341.55"/>
    <n v="124196.37"/>
    <n v="48145.18"/>
    <s v="Digital Wallet"/>
    <n v="0.27935909825576016"/>
  </r>
  <r>
    <s v="ORD-2025-1145"/>
    <x v="218"/>
    <x v="2"/>
    <s v="Quetta"/>
    <x v="3"/>
    <x v="14"/>
    <x v="7"/>
    <n v="1"/>
    <n v="5036.0600000000004"/>
    <n v="0.05"/>
    <n v="4784.26"/>
    <n v="2759.25"/>
    <n v="2025.01"/>
    <s v="Bank Transfer"/>
    <n v="0.4232650399434813"/>
  </r>
  <r>
    <s v="ORD-2025-1146"/>
    <x v="185"/>
    <x v="2"/>
    <s v="Quetta"/>
    <x v="1"/>
    <x v="3"/>
    <x v="0"/>
    <n v="2"/>
    <n v="28233.34"/>
    <n v="0.05"/>
    <n v="53643.35"/>
    <n v="36259.910000000003"/>
    <n v="17383.439999999999"/>
    <s v="Credit Card"/>
    <n v="0.32405582425407808"/>
  </r>
  <r>
    <s v="ORD-2025-1147"/>
    <x v="327"/>
    <x v="1"/>
    <s v="Rawalpindi"/>
    <x v="1"/>
    <x v="12"/>
    <x v="7"/>
    <n v="8"/>
    <n v="32656.21"/>
    <n v="0.05"/>
    <n v="248187.2"/>
    <n v="178149.6"/>
    <n v="70037.600000000006"/>
    <s v="Digital Wallet"/>
    <n v="0.28219666445328367"/>
  </r>
  <r>
    <s v="ORD-2025-1148"/>
    <x v="352"/>
    <x v="2"/>
    <s v="Karachi"/>
    <x v="1"/>
    <x v="3"/>
    <x v="4"/>
    <n v="7"/>
    <n v="26297.83"/>
    <n v="0.05"/>
    <n v="174880.57"/>
    <n v="128983.47"/>
    <n v="45897.1"/>
    <s v="Credit Card"/>
    <n v="0.26244825254172033"/>
  </r>
  <r>
    <s v="ORD-2025-1149"/>
    <x v="188"/>
    <x v="2"/>
    <s v="Hyderabad"/>
    <x v="3"/>
    <x v="13"/>
    <x v="2"/>
    <n v="8"/>
    <n v="6317.62"/>
    <n v="0.15"/>
    <n v="42959.82"/>
    <n v="28007.8"/>
    <n v="14952.02"/>
    <s v="Cash"/>
    <n v="0.34804661658265795"/>
  </r>
  <r>
    <s v="ORD-2025-1150"/>
    <x v="69"/>
    <x v="0"/>
    <s v="Multan"/>
    <x v="3"/>
    <x v="6"/>
    <x v="7"/>
    <n v="3"/>
    <n v="3920.48"/>
    <n v="0"/>
    <n v="11761.44"/>
    <n v="6166.59"/>
    <n v="5594.85"/>
    <s v="Digital Wallet"/>
    <n v="0.47569430273844021"/>
  </r>
  <r>
    <s v="ORD-2025-1151"/>
    <x v="305"/>
    <x v="2"/>
    <s v="Hyderabad"/>
    <x v="3"/>
    <x v="6"/>
    <x v="0"/>
    <n v="8"/>
    <n v="3891.31"/>
    <n v="0.05"/>
    <n v="29573.96"/>
    <n v="16734.41"/>
    <n v="12839.55"/>
    <s v="Digital Wallet"/>
    <n v="0.43415051619735739"/>
  </r>
  <r>
    <s v="ORD-2025-1152"/>
    <x v="246"/>
    <x v="0"/>
    <s v="Multan"/>
    <x v="0"/>
    <x v="0"/>
    <x v="0"/>
    <n v="5"/>
    <n v="14320.27"/>
    <n v="0"/>
    <n v="71601.350000000006"/>
    <n v="40297.879999999997"/>
    <n v="31303.47"/>
    <s v="Digital Wallet"/>
    <n v="0.43719105854847706"/>
  </r>
  <r>
    <s v="ORD-2025-1153"/>
    <x v="72"/>
    <x v="1"/>
    <s v="Islamabad"/>
    <x v="1"/>
    <x v="3"/>
    <x v="3"/>
    <n v="4"/>
    <n v="27839.19"/>
    <n v="0"/>
    <n v="111356.76"/>
    <n v="71726.149999999994"/>
    <n v="39630.61"/>
    <s v="Digital Wallet"/>
    <n v="0.35588867707717076"/>
  </r>
  <r>
    <s v="ORD-2025-1154"/>
    <x v="353"/>
    <x v="2"/>
    <s v="Quetta"/>
    <x v="2"/>
    <x v="9"/>
    <x v="6"/>
    <n v="1"/>
    <n v="38636.11"/>
    <n v="0"/>
    <n v="38636.11"/>
    <n v="26454.34"/>
    <n v="12181.77"/>
    <s v="Digital Wallet"/>
    <n v="0.31529494040678524"/>
  </r>
  <r>
    <s v="ORD-2025-1155"/>
    <x v="354"/>
    <x v="1"/>
    <s v="Islamabad"/>
    <x v="3"/>
    <x v="6"/>
    <x v="2"/>
    <n v="5"/>
    <n v="4043.46"/>
    <n v="0.1"/>
    <n v="18195.57"/>
    <n v="10765.84"/>
    <n v="7429.73"/>
    <s v="Cash"/>
    <n v="0.40832631239362105"/>
  </r>
  <r>
    <s v="ORD-2025-1156"/>
    <x v="342"/>
    <x v="1"/>
    <s v="Islamabad"/>
    <x v="0"/>
    <x v="0"/>
    <x v="7"/>
    <n v="4"/>
    <n v="13487.84"/>
    <n v="0.05"/>
    <n v="51253.79"/>
    <n v="33487.86"/>
    <n v="17765.93"/>
    <s v="Digital Wallet"/>
    <n v="0.34662665921876218"/>
  </r>
  <r>
    <s v="ORD-2025-1157"/>
    <x v="41"/>
    <x v="0"/>
    <s v="Multan"/>
    <x v="1"/>
    <x v="4"/>
    <x v="2"/>
    <n v="8"/>
    <n v="26185.1"/>
    <n v="0"/>
    <n v="209480.8"/>
    <n v="125642.43"/>
    <n v="83838.37"/>
    <s v="Digital Wallet"/>
    <n v="0.40021982921585175"/>
  </r>
  <r>
    <s v="ORD-2025-1158"/>
    <x v="230"/>
    <x v="1"/>
    <s v="Rawalpindi"/>
    <x v="3"/>
    <x v="6"/>
    <x v="0"/>
    <n v="3"/>
    <n v="4316.25"/>
    <n v="0.05"/>
    <n v="12301.31"/>
    <n v="6288.7"/>
    <n v="6012.61"/>
    <s v="Digital Wallet"/>
    <n v="0.48877802445430607"/>
  </r>
  <r>
    <s v="ORD-2025-1159"/>
    <x v="250"/>
    <x v="0"/>
    <s v="Faisalabad"/>
    <x v="0"/>
    <x v="1"/>
    <x v="6"/>
    <n v="6"/>
    <n v="89115.36"/>
    <n v="0.05"/>
    <n v="507957.55"/>
    <n v="408654.82"/>
    <n v="99302.73"/>
    <s v="Credit Card"/>
    <n v="0.19549415103683368"/>
  </r>
  <r>
    <s v="ORD-2025-1160"/>
    <x v="114"/>
    <x v="0"/>
    <s v="Multan"/>
    <x v="2"/>
    <x v="9"/>
    <x v="7"/>
    <n v="7"/>
    <n v="37485.589999999997"/>
    <n v="0"/>
    <n v="262399.13"/>
    <n v="186112.69"/>
    <n v="76286.44"/>
    <s v="Credit Card"/>
    <n v="0.29072672611376416"/>
  </r>
  <r>
    <s v="ORD-2025-1161"/>
    <x v="117"/>
    <x v="2"/>
    <s v="Quetta"/>
    <x v="2"/>
    <x v="7"/>
    <x v="4"/>
    <n v="2"/>
    <n v="7951.89"/>
    <n v="0"/>
    <n v="15903.78"/>
    <n v="9650.9599999999991"/>
    <n v="6252.82"/>
    <s v="Credit Card"/>
    <n v="0.39316564992724995"/>
  </r>
  <r>
    <s v="ORD-2025-1162"/>
    <x v="297"/>
    <x v="1"/>
    <s v="Peshawar"/>
    <x v="3"/>
    <x v="14"/>
    <x v="2"/>
    <n v="6"/>
    <n v="5409.07"/>
    <n v="0.05"/>
    <n v="30831.7"/>
    <n v="16735.12"/>
    <n v="14096.58"/>
    <s v="Bank Transfer"/>
    <n v="0.45721059818303889"/>
  </r>
  <r>
    <s v="ORD-2025-1163"/>
    <x v="105"/>
    <x v="0"/>
    <s v="Lahore"/>
    <x v="1"/>
    <x v="4"/>
    <x v="7"/>
    <n v="4"/>
    <n v="25907.5"/>
    <n v="0.05"/>
    <n v="98448.5"/>
    <n v="64652.21"/>
    <n v="33796.29"/>
    <s v="Credit Card"/>
    <n v="0.34328902928942545"/>
  </r>
  <r>
    <s v="ORD-2025-1164"/>
    <x v="60"/>
    <x v="1"/>
    <s v="Rawalpindi"/>
    <x v="1"/>
    <x v="2"/>
    <x v="1"/>
    <n v="6"/>
    <n v="140679.39000000001"/>
    <n v="0.15"/>
    <n v="717464.89"/>
    <n v="595127.72"/>
    <n v="122337.17"/>
    <s v="Digital Wallet"/>
    <n v="0.17051311040460809"/>
  </r>
  <r>
    <s v="ORD-2025-1165"/>
    <x v="95"/>
    <x v="2"/>
    <s v="Hyderabad"/>
    <x v="2"/>
    <x v="11"/>
    <x v="1"/>
    <n v="4"/>
    <n v="40513.379999999997"/>
    <n v="0.1"/>
    <n v="145848.17000000001"/>
    <n v="124649.18"/>
    <n v="21198.99"/>
    <s v="Cash"/>
    <n v="0.14534971539238373"/>
  </r>
  <r>
    <s v="ORD-2025-1166"/>
    <x v="50"/>
    <x v="2"/>
    <s v="Quetta"/>
    <x v="2"/>
    <x v="5"/>
    <x v="1"/>
    <n v="8"/>
    <n v="29340.7"/>
    <n v="0.05"/>
    <n v="222989.32"/>
    <n v="147681.74"/>
    <n v="75307.58"/>
    <s v="Credit Card"/>
    <n v="0.33771832659967749"/>
  </r>
  <r>
    <s v="ORD-2025-1167"/>
    <x v="321"/>
    <x v="1"/>
    <s v="Rawalpindi"/>
    <x v="1"/>
    <x v="12"/>
    <x v="5"/>
    <n v="3"/>
    <n v="32853.050000000003"/>
    <n v="0.15"/>
    <n v="83775.28"/>
    <n v="69828.55"/>
    <n v="13946.73"/>
    <s v="Bank Transfer"/>
    <n v="0.16647786793431188"/>
  </r>
  <r>
    <s v="ORD-2025-1168"/>
    <x v="314"/>
    <x v="1"/>
    <s v="Islamabad"/>
    <x v="2"/>
    <x v="7"/>
    <x v="5"/>
    <n v="8"/>
    <n v="8153.26"/>
    <n v="0.1"/>
    <n v="58703.47"/>
    <n v="39241.379999999997"/>
    <n v="19462.09"/>
    <s v="Digital Wallet"/>
    <n v="0.33153219051616539"/>
  </r>
  <r>
    <s v="ORD-2025-1169"/>
    <x v="14"/>
    <x v="0"/>
    <s v="Multan"/>
    <x v="0"/>
    <x v="0"/>
    <x v="6"/>
    <n v="3"/>
    <n v="13908.08"/>
    <n v="0.15"/>
    <n v="35465.599999999999"/>
    <n v="25519.38"/>
    <n v="9946.2199999999993"/>
    <s v="Digital Wallet"/>
    <n v="0.28044696832987459"/>
  </r>
  <r>
    <s v="ORD-2025-1170"/>
    <x v="12"/>
    <x v="0"/>
    <s v="Faisalabad"/>
    <x v="3"/>
    <x v="13"/>
    <x v="6"/>
    <n v="7"/>
    <n v="6975.88"/>
    <n v="0.15"/>
    <n v="41506.49"/>
    <n v="25391.87"/>
    <n v="16114.62"/>
    <s v="Digital Wallet"/>
    <n v="0.3882433807339527"/>
  </r>
  <r>
    <s v="ORD-2025-1171"/>
    <x v="80"/>
    <x v="2"/>
    <s v="Quetta"/>
    <x v="0"/>
    <x v="0"/>
    <x v="1"/>
    <n v="7"/>
    <n v="15261.67"/>
    <n v="0.15"/>
    <n v="90806.94"/>
    <n v="58766.879999999997"/>
    <n v="32040.06"/>
    <s v="Digital Wallet"/>
    <n v="0.35283712896833658"/>
  </r>
  <r>
    <s v="ORD-2025-1172"/>
    <x v="188"/>
    <x v="2"/>
    <s v="Karachi"/>
    <x v="0"/>
    <x v="1"/>
    <x v="5"/>
    <n v="5"/>
    <n v="95796.88"/>
    <n v="0.1"/>
    <n v="431085.96"/>
    <n v="347735.15"/>
    <n v="83350.81"/>
    <s v="Bank Transfer"/>
    <n v="0.19335078785678844"/>
  </r>
  <r>
    <s v="ORD-2025-1173"/>
    <x v="169"/>
    <x v="2"/>
    <s v="Quetta"/>
    <x v="1"/>
    <x v="12"/>
    <x v="0"/>
    <n v="4"/>
    <n v="34560.519999999997"/>
    <n v="0"/>
    <n v="138242.07999999999"/>
    <n v="88966.399999999994"/>
    <n v="49275.68"/>
    <s v="Digital Wallet"/>
    <n v="0.35644486830637967"/>
  </r>
  <r>
    <s v="ORD-2025-1174"/>
    <x v="52"/>
    <x v="0"/>
    <s v="Faisalabad"/>
    <x v="2"/>
    <x v="9"/>
    <x v="4"/>
    <n v="6"/>
    <n v="36755.379999999997"/>
    <n v="0.05"/>
    <n v="209505.67"/>
    <n v="154930.82"/>
    <n v="54574.85"/>
    <s v="Bank Transfer"/>
    <n v="0.26049342721846142"/>
  </r>
  <r>
    <s v="ORD-2025-1175"/>
    <x v="295"/>
    <x v="0"/>
    <s v="Lahore"/>
    <x v="2"/>
    <x v="5"/>
    <x v="4"/>
    <n v="5"/>
    <n v="26338.29"/>
    <n v="0.05"/>
    <n v="125106.88"/>
    <n v="95897.54"/>
    <n v="29209.34"/>
    <s v="Credit Card"/>
    <n v="0.23347508945950854"/>
  </r>
  <r>
    <s v="ORD-2025-1176"/>
    <x v="66"/>
    <x v="0"/>
    <s v="Multan"/>
    <x v="1"/>
    <x v="4"/>
    <x v="5"/>
    <n v="8"/>
    <n v="25179.25"/>
    <n v="0"/>
    <n v="201434"/>
    <n v="129188.55"/>
    <n v="72245.45"/>
    <s v="Credit Card"/>
    <n v="0.35865568871193543"/>
  </r>
  <r>
    <s v="ORD-2025-1177"/>
    <x v="305"/>
    <x v="0"/>
    <s v="Faisalabad"/>
    <x v="3"/>
    <x v="8"/>
    <x v="6"/>
    <n v="4"/>
    <n v="10631.53"/>
    <n v="0"/>
    <n v="42526.12"/>
    <n v="26281.48"/>
    <n v="16244.64"/>
    <s v="Bank Transfer"/>
    <n v="0.38199205570599898"/>
  </r>
  <r>
    <s v="ORD-2025-1178"/>
    <x v="324"/>
    <x v="2"/>
    <s v="Quetta"/>
    <x v="3"/>
    <x v="14"/>
    <x v="2"/>
    <n v="3"/>
    <n v="5593.04"/>
    <n v="0.15"/>
    <n v="14262.25"/>
    <n v="7945.38"/>
    <n v="6316.87"/>
    <s v="Bank Transfer"/>
    <n v="0.44290837700923769"/>
  </r>
  <r>
    <s v="ORD-2025-1179"/>
    <x v="355"/>
    <x v="2"/>
    <s v="Hyderabad"/>
    <x v="2"/>
    <x v="7"/>
    <x v="2"/>
    <n v="3"/>
    <n v="8478.24"/>
    <n v="0.05"/>
    <n v="24162.98"/>
    <n v="14273.65"/>
    <n v="9889.33"/>
    <s v="Credit Card"/>
    <n v="0.40927609094573603"/>
  </r>
  <r>
    <s v="ORD-2025-1180"/>
    <x v="1"/>
    <x v="2"/>
    <s v="Karachi"/>
    <x v="2"/>
    <x v="5"/>
    <x v="3"/>
    <n v="5"/>
    <n v="28995.4"/>
    <n v="0.15"/>
    <n v="123230.45"/>
    <n v="97398.67"/>
    <n v="25831.78"/>
    <s v="Bank Transfer"/>
    <n v="0.20962172904505338"/>
  </r>
  <r>
    <s v="ORD-2025-1181"/>
    <x v="60"/>
    <x v="2"/>
    <s v="Hyderabad"/>
    <x v="0"/>
    <x v="1"/>
    <x v="2"/>
    <n v="4"/>
    <n v="89991.61"/>
    <n v="0"/>
    <n v="359966.44"/>
    <n v="271427.27"/>
    <n v="88539.17"/>
    <s v="Cash"/>
    <n v="0.24596506829914477"/>
  </r>
  <r>
    <s v="ORD-2025-1183"/>
    <x v="240"/>
    <x v="0"/>
    <s v="Multan"/>
    <x v="3"/>
    <x v="6"/>
    <x v="3"/>
    <n v="1"/>
    <n v="4522.1400000000003"/>
    <n v="0.05"/>
    <n v="4296.03"/>
    <n v="2118.14"/>
    <n v="2177.89"/>
    <s v="Cash"/>
    <n v="0.50695409482708453"/>
  </r>
  <r>
    <s v="ORD-2025-1184"/>
    <x v="21"/>
    <x v="1"/>
    <s v="Peshawar"/>
    <x v="1"/>
    <x v="2"/>
    <x v="7"/>
    <n v="4"/>
    <n v="129115.86"/>
    <n v="0.1"/>
    <n v="464817.1"/>
    <n v="413420.32"/>
    <n v="51396.78"/>
    <s v="Cash"/>
    <n v="0.11057420219695016"/>
  </r>
  <r>
    <s v="ORD-2025-1185"/>
    <x v="77"/>
    <x v="0"/>
    <s v="Lahore"/>
    <x v="1"/>
    <x v="2"/>
    <x v="0"/>
    <n v="4"/>
    <n v="134531.26"/>
    <n v="0.05"/>
    <n v="511218.79"/>
    <n v="394238.16"/>
    <n v="116980.63"/>
    <s v="Credit Card"/>
    <n v="0.22882693728843576"/>
  </r>
  <r>
    <s v="ORD-2025-1186"/>
    <x v="249"/>
    <x v="0"/>
    <s v="Faisalabad"/>
    <x v="1"/>
    <x v="2"/>
    <x v="3"/>
    <n v="7"/>
    <n v="142800.6"/>
    <n v="0"/>
    <n v="999604.2"/>
    <n v="721421.88"/>
    <n v="278182.32"/>
    <s v="Digital Wallet"/>
    <n v="0.2782924681588973"/>
  </r>
  <r>
    <s v="ORD-2025-1187"/>
    <x v="138"/>
    <x v="1"/>
    <s v="Rawalpindi"/>
    <x v="3"/>
    <x v="8"/>
    <x v="4"/>
    <n v="8"/>
    <n v="11741.28"/>
    <n v="0.05"/>
    <n v="89233.73"/>
    <n v="52286.55"/>
    <n v="36947.18"/>
    <s v="Bank Transfer"/>
    <n v="0.41404948554767351"/>
  </r>
  <r>
    <s v="ORD-2025-1188"/>
    <x v="275"/>
    <x v="2"/>
    <s v="Quetta"/>
    <x v="2"/>
    <x v="9"/>
    <x v="0"/>
    <n v="5"/>
    <n v="39081.279999999999"/>
    <n v="0.1"/>
    <n v="175865.76"/>
    <n v="128910.12"/>
    <n v="46955.64"/>
    <s v="Credit Card"/>
    <n v="0.26699705502651566"/>
  </r>
  <r>
    <s v="ORD-2025-1189"/>
    <x v="247"/>
    <x v="2"/>
    <s v="Karachi"/>
    <x v="1"/>
    <x v="4"/>
    <x v="4"/>
    <n v="8"/>
    <n v="23179.47"/>
    <n v="0"/>
    <n v="185435.76"/>
    <n v="129336.35"/>
    <n v="56099.41"/>
    <s v="Cash"/>
    <n v="0.30252746287986743"/>
  </r>
  <r>
    <s v="ORD-2025-1190"/>
    <x v="290"/>
    <x v="2"/>
    <s v="Hyderabad"/>
    <x v="2"/>
    <x v="5"/>
    <x v="2"/>
    <n v="2"/>
    <n v="29698.61"/>
    <n v="0"/>
    <n v="59397.22"/>
    <n v="37677.15"/>
    <n v="21720.07"/>
    <s v="Digital Wallet"/>
    <n v="0.36567485818359846"/>
  </r>
  <r>
    <s v="ORD-2025-1191"/>
    <x v="100"/>
    <x v="1"/>
    <s v="Peshawar"/>
    <x v="1"/>
    <x v="12"/>
    <x v="5"/>
    <n v="3"/>
    <n v="32069.48"/>
    <n v="0"/>
    <n v="96208.44"/>
    <n v="69096.23"/>
    <n v="27112.21"/>
    <s v="Credit Card"/>
    <n v="0.28180698075969218"/>
  </r>
  <r>
    <s v="ORD-2025-1192"/>
    <x v="313"/>
    <x v="2"/>
    <s v="Quetta"/>
    <x v="3"/>
    <x v="14"/>
    <x v="2"/>
    <n v="5"/>
    <n v="4974.3"/>
    <n v="0.05"/>
    <n v="23627.919999999998"/>
    <n v="13541.02"/>
    <n v="10086.9"/>
    <s v="Credit Card"/>
    <n v="0.42690596548490095"/>
  </r>
  <r>
    <s v="ORD-2025-1193"/>
    <x v="285"/>
    <x v="2"/>
    <s v="Hyderabad"/>
    <x v="1"/>
    <x v="3"/>
    <x v="6"/>
    <n v="8"/>
    <n v="26170.63"/>
    <n v="0.1"/>
    <n v="188428.54"/>
    <n v="143646.91"/>
    <n v="44781.63"/>
    <s v="Digital Wallet"/>
    <n v="0.23765842478002533"/>
  </r>
  <r>
    <s v="ORD-2025-1194"/>
    <x v="149"/>
    <x v="1"/>
    <s v="Rawalpindi"/>
    <x v="1"/>
    <x v="12"/>
    <x v="3"/>
    <n v="8"/>
    <n v="34410.019999999997"/>
    <n v="0"/>
    <n v="275280.15999999997"/>
    <n v="184913.52"/>
    <n v="90366.64"/>
    <s v="Bank Transfer"/>
    <n v="0.32827153253616248"/>
  </r>
  <r>
    <s v="ORD-2025-1195"/>
    <x v="120"/>
    <x v="2"/>
    <s v="Hyderabad"/>
    <x v="0"/>
    <x v="0"/>
    <x v="3"/>
    <n v="7"/>
    <n v="15174.93"/>
    <n v="0.05"/>
    <n v="100913.28"/>
    <n v="57920.32"/>
    <n v="42992.959999999999"/>
    <s v="Digital Wallet"/>
    <n v="0.42603867399811007"/>
  </r>
  <r>
    <s v="ORD-2025-1196"/>
    <x v="341"/>
    <x v="2"/>
    <s v="Karachi"/>
    <x v="0"/>
    <x v="1"/>
    <x v="7"/>
    <n v="3"/>
    <n v="89431.11"/>
    <n v="0.05"/>
    <n v="254878.66"/>
    <n v="211324.54"/>
    <n v="43554.12"/>
    <s v="Cash"/>
    <n v="0.17088178351220146"/>
  </r>
  <r>
    <s v="ORD-2025-1197"/>
    <x v="205"/>
    <x v="0"/>
    <s v="Faisalabad"/>
    <x v="3"/>
    <x v="6"/>
    <x v="6"/>
    <n v="5"/>
    <n v="4527.22"/>
    <n v="0.1"/>
    <n v="20372.490000000002"/>
    <n v="10460.64"/>
    <n v="9911.85"/>
    <s v="Bank Transfer"/>
    <n v="0.48653110150011114"/>
  </r>
  <r>
    <s v="ORD-2025-1198"/>
    <x v="156"/>
    <x v="2"/>
    <s v="Quetta"/>
    <x v="1"/>
    <x v="4"/>
    <x v="2"/>
    <n v="5"/>
    <n v="22975.24"/>
    <n v="0"/>
    <n v="114876.2"/>
    <n v="81501.100000000006"/>
    <n v="33375.1"/>
    <s v="Digital Wallet"/>
    <n v="0.29053102383261287"/>
  </r>
  <r>
    <s v="ORD-2025-1199"/>
    <x v="230"/>
    <x v="1"/>
    <s v="Islamabad"/>
    <x v="1"/>
    <x v="12"/>
    <x v="4"/>
    <n v="2"/>
    <n v="32674.02"/>
    <n v="0.05"/>
    <n v="62080.639999999999"/>
    <n v="45454.11"/>
    <n v="16626.53"/>
    <s v="Bank Transfer"/>
    <n v="0.26782149797424765"/>
  </r>
  <r>
    <s v="ORD-2025-1200"/>
    <x v="198"/>
    <x v="0"/>
    <s v="Lahore"/>
    <x v="2"/>
    <x v="11"/>
    <x v="3"/>
    <n v="6"/>
    <n v="46145.54"/>
    <n v="0.05"/>
    <n v="263029.58"/>
    <n v="192204.45"/>
    <n v="70825.13"/>
    <s v="Credit Card"/>
    <n v="0.26926678740847321"/>
  </r>
  <r>
    <s v="ORD-2025-1201"/>
    <x v="210"/>
    <x v="2"/>
    <s v="Hyderabad"/>
    <x v="2"/>
    <x v="7"/>
    <x v="4"/>
    <n v="6"/>
    <n v="8272.9"/>
    <n v="0.15"/>
    <n v="42191.79"/>
    <n v="30517.22"/>
    <n v="11674.57"/>
    <s v="Cash"/>
    <n v="0.27670241058746264"/>
  </r>
  <r>
    <s v="ORD-2025-1202"/>
    <x v="152"/>
    <x v="1"/>
    <s v="Islamabad"/>
    <x v="3"/>
    <x v="14"/>
    <x v="2"/>
    <n v="7"/>
    <n v="5454.65"/>
    <n v="0"/>
    <n v="38182.550000000003"/>
    <n v="19433.310000000001"/>
    <n v="18749.240000000002"/>
    <s v="Cash"/>
    <n v="0.49104211216904059"/>
  </r>
  <r>
    <s v="ORD-2025-1203"/>
    <x v="242"/>
    <x v="0"/>
    <s v="Faisalabad"/>
    <x v="0"/>
    <x v="0"/>
    <x v="0"/>
    <n v="8"/>
    <n v="13995.74"/>
    <n v="0.05"/>
    <n v="106367.62"/>
    <n v="66545.039999999994"/>
    <n v="39822.58"/>
    <s v="Cash"/>
    <n v="0.37438630289932223"/>
  </r>
  <r>
    <s v="ORD-2025-1204"/>
    <x v="167"/>
    <x v="0"/>
    <s v="Lahore"/>
    <x v="0"/>
    <x v="15"/>
    <x v="7"/>
    <n v="4"/>
    <n v="54095.87"/>
    <n v="0.15"/>
    <n v="183925.96"/>
    <n v="146024.28"/>
    <n v="37901.68"/>
    <s v="Digital Wallet"/>
    <n v="0.20607031220606381"/>
  </r>
  <r>
    <s v="ORD-2025-1205"/>
    <x v="143"/>
    <x v="0"/>
    <s v="Lahore"/>
    <x v="1"/>
    <x v="2"/>
    <x v="1"/>
    <n v="3"/>
    <n v="138193.34"/>
    <n v="0.05"/>
    <n v="393851.02"/>
    <n v="303540.34000000003"/>
    <n v="90310.68"/>
    <s v="Cash"/>
    <n v="0.22930162780840327"/>
  </r>
  <r>
    <s v="ORD-2025-1206"/>
    <x v="187"/>
    <x v="2"/>
    <s v="Quetta"/>
    <x v="1"/>
    <x v="2"/>
    <x v="4"/>
    <n v="7"/>
    <n v="124607.63"/>
    <n v="0"/>
    <n v="872253.41"/>
    <n v="701744.8"/>
    <n v="170508.61"/>
    <s v="Credit Card"/>
    <n v="0.19548058860555212"/>
  </r>
  <r>
    <s v="ORD-2025-1207"/>
    <x v="58"/>
    <x v="0"/>
    <s v="Multan"/>
    <x v="1"/>
    <x v="4"/>
    <x v="5"/>
    <n v="4"/>
    <n v="25558.12"/>
    <n v="0.1"/>
    <n v="92009.23"/>
    <n v="65397.78"/>
    <n v="26611.45"/>
    <s v="Credit Card"/>
    <n v="0.28922587440412229"/>
  </r>
  <r>
    <s v="ORD-2025-1208"/>
    <x v="28"/>
    <x v="1"/>
    <s v="Islamabad"/>
    <x v="1"/>
    <x v="12"/>
    <x v="5"/>
    <n v="2"/>
    <n v="30498.47"/>
    <n v="0.1"/>
    <n v="54897.25"/>
    <n v="46625.16"/>
    <n v="8272.09"/>
    <s v="Bank Transfer"/>
    <n v="0.15068313986584028"/>
  </r>
  <r>
    <s v="ORD-2025-1209"/>
    <x v="51"/>
    <x v="1"/>
    <s v="Rawalpindi"/>
    <x v="1"/>
    <x v="12"/>
    <x v="3"/>
    <n v="4"/>
    <n v="31424.98"/>
    <n v="0"/>
    <n v="125699.92"/>
    <n v="89972.99"/>
    <n v="35726.93"/>
    <s v="Credit Card"/>
    <n v="0.28422396768430719"/>
  </r>
  <r>
    <s v="ORD-2025-1210"/>
    <x v="162"/>
    <x v="2"/>
    <s v="Karachi"/>
    <x v="2"/>
    <x v="7"/>
    <x v="1"/>
    <n v="2"/>
    <n v="8954.4500000000007"/>
    <n v="0.05"/>
    <n v="17013.46"/>
    <n v="9523.44"/>
    <n v="7490.02"/>
    <s v="Cash"/>
    <n v="0.44024084460186236"/>
  </r>
  <r>
    <s v="ORD-2025-1211"/>
    <x v="166"/>
    <x v="2"/>
    <s v="Hyderabad"/>
    <x v="3"/>
    <x v="6"/>
    <x v="5"/>
    <n v="4"/>
    <n v="4382.1000000000004"/>
    <n v="0.1"/>
    <n v="15775.56"/>
    <n v="8626.93"/>
    <n v="7148.63"/>
    <s v="Cash"/>
    <n v="0.45314587881507856"/>
  </r>
  <r>
    <s v="ORD-2025-1212"/>
    <x v="349"/>
    <x v="1"/>
    <s v="Islamabad"/>
    <x v="0"/>
    <x v="15"/>
    <x v="0"/>
    <n v="6"/>
    <n v="54077.36"/>
    <n v="0.05"/>
    <n v="308240.95"/>
    <n v="218793.91"/>
    <n v="89447.039999999994"/>
    <s v="Bank Transfer"/>
    <n v="0.29018545394438988"/>
  </r>
  <r>
    <s v="ORD-2025-1213"/>
    <x v="205"/>
    <x v="2"/>
    <s v="Hyderabad"/>
    <x v="0"/>
    <x v="15"/>
    <x v="2"/>
    <n v="1"/>
    <n v="47900.37"/>
    <n v="0.05"/>
    <n v="45505.35"/>
    <n v="36427.79"/>
    <n v="9077.56"/>
    <s v="Bank Transfer"/>
    <n v="0.1994833574513766"/>
  </r>
  <r>
    <s v="ORD-2025-1214"/>
    <x v="43"/>
    <x v="2"/>
    <s v="Karachi"/>
    <x v="3"/>
    <x v="8"/>
    <x v="7"/>
    <n v="4"/>
    <n v="12419.46"/>
    <n v="0"/>
    <n v="49677.84"/>
    <n v="26403.79"/>
    <n v="23274.05"/>
    <s v="Cash"/>
    <n v="0.46849963686021778"/>
  </r>
  <r>
    <s v="ORD-2025-1215"/>
    <x v="203"/>
    <x v="2"/>
    <s v="Quetta"/>
    <x v="1"/>
    <x v="2"/>
    <x v="5"/>
    <n v="3"/>
    <n v="142504.16"/>
    <n v="0"/>
    <n v="427512.48"/>
    <n v="305884.73"/>
    <n v="121627.75"/>
    <s v="Credit Card"/>
    <n v="0.2845010512909471"/>
  </r>
  <r>
    <s v="ORD-2025-1216"/>
    <x v="59"/>
    <x v="0"/>
    <s v="Faisalabad"/>
    <x v="0"/>
    <x v="10"/>
    <x v="1"/>
    <n v="4"/>
    <n v="195843.81"/>
    <n v="0.15"/>
    <n v="665868.94999999995"/>
    <n v="562613.04"/>
    <n v="103255.91"/>
    <s v="Credit Card"/>
    <n v="0.15506941718787159"/>
  </r>
  <r>
    <s v="ORD-2025-1217"/>
    <x v="47"/>
    <x v="2"/>
    <s v="Karachi"/>
    <x v="2"/>
    <x v="5"/>
    <x v="7"/>
    <n v="3"/>
    <n v="27884.71"/>
    <n v="0"/>
    <n v="83654.13"/>
    <n v="58428.36"/>
    <n v="25225.77"/>
    <s v="Credit Card"/>
    <n v="0.30154841129780441"/>
  </r>
  <r>
    <s v="ORD-2025-1218"/>
    <x v="116"/>
    <x v="2"/>
    <s v="Hyderabad"/>
    <x v="1"/>
    <x v="3"/>
    <x v="6"/>
    <n v="6"/>
    <n v="24963.03"/>
    <n v="0"/>
    <n v="149778.18"/>
    <n v="107266.76"/>
    <n v="42511.42"/>
    <s v="Credit Card"/>
    <n v="0.28382919327768569"/>
  </r>
  <r>
    <s v="ORD-2025-1219"/>
    <x v="166"/>
    <x v="2"/>
    <s v="Karachi"/>
    <x v="3"/>
    <x v="6"/>
    <x v="1"/>
    <n v="3"/>
    <n v="3931.28"/>
    <n v="0.05"/>
    <n v="11204.15"/>
    <n v="6506.66"/>
    <n v="4697.49"/>
    <s v="Cash"/>
    <n v="0.41926339793737144"/>
  </r>
  <r>
    <s v="ORD-2025-1220"/>
    <x v="283"/>
    <x v="1"/>
    <s v="Rawalpindi"/>
    <x v="3"/>
    <x v="14"/>
    <x v="4"/>
    <n v="8"/>
    <n v="4895.83"/>
    <n v="0.1"/>
    <n v="35249.980000000003"/>
    <n v="22175.85"/>
    <n v="13074.13"/>
    <s v="Digital Wallet"/>
    <n v="0.37089751540284555"/>
  </r>
  <r>
    <s v="ORD-2025-1221"/>
    <x v="21"/>
    <x v="2"/>
    <s v="Hyderabad"/>
    <x v="2"/>
    <x v="9"/>
    <x v="7"/>
    <n v="6"/>
    <n v="40777.980000000003"/>
    <n v="0.15"/>
    <n v="207967.7"/>
    <n v="159142.16"/>
    <n v="48825.54"/>
    <s v="Credit Card"/>
    <n v="0.23477463086815883"/>
  </r>
  <r>
    <s v="ORD-2025-1222"/>
    <x v="67"/>
    <x v="1"/>
    <s v="Islamabad"/>
    <x v="2"/>
    <x v="5"/>
    <x v="4"/>
    <n v="4"/>
    <n v="29226"/>
    <n v="0.15"/>
    <n v="99368.4"/>
    <n v="74224.28"/>
    <n v="25144.12"/>
    <s v="Cash"/>
    <n v="0.25303939683038068"/>
  </r>
  <r>
    <s v="ORD-2025-1223"/>
    <x v="289"/>
    <x v="1"/>
    <s v="Islamabad"/>
    <x v="1"/>
    <x v="12"/>
    <x v="4"/>
    <n v="5"/>
    <n v="32095.14"/>
    <n v="0.05"/>
    <n v="152451.92000000001"/>
    <n v="114388.31"/>
    <n v="38063.61"/>
    <s v="Credit Card"/>
    <n v="0.24967616019529304"/>
  </r>
  <r>
    <s v="ORD-2025-1224"/>
    <x v="77"/>
    <x v="2"/>
    <s v="Hyderabad"/>
    <x v="1"/>
    <x v="12"/>
    <x v="5"/>
    <n v="1"/>
    <n v="34309.1"/>
    <n v="0.05"/>
    <n v="32593.64"/>
    <n v="22820.21"/>
    <n v="9773.43"/>
    <s v="Cash"/>
    <n v="0.29985696596023032"/>
  </r>
  <r>
    <s v="ORD-2025-1225"/>
    <x v="343"/>
    <x v="1"/>
    <s v="Peshawar"/>
    <x v="0"/>
    <x v="1"/>
    <x v="2"/>
    <n v="3"/>
    <n v="90480.36"/>
    <n v="0"/>
    <n v="271441.08"/>
    <n v="206049.4"/>
    <n v="65391.68"/>
    <s v="Credit Card"/>
    <n v="0.24090561384444828"/>
  </r>
  <r>
    <s v="ORD-2025-1226"/>
    <x v="157"/>
    <x v="0"/>
    <s v="Multan"/>
    <x v="3"/>
    <x v="14"/>
    <x v="4"/>
    <n v="4"/>
    <n v="5161.0600000000004"/>
    <n v="0.05"/>
    <n v="19612.03"/>
    <n v="10888.68"/>
    <n v="8723.35"/>
    <s v="Bank Transfer"/>
    <n v="0.44479587273729443"/>
  </r>
  <r>
    <s v="ORD-2025-1227"/>
    <x v="228"/>
    <x v="2"/>
    <s v="Karachi"/>
    <x v="1"/>
    <x v="3"/>
    <x v="2"/>
    <n v="8"/>
    <n v="28175.07"/>
    <n v="0.05"/>
    <n v="214130.53"/>
    <n v="146365.54"/>
    <n v="67764.990000000005"/>
    <s v="Bank Transfer"/>
    <n v="0.31646580242434375"/>
  </r>
  <r>
    <s v="ORD-2025-1228"/>
    <x v="298"/>
    <x v="1"/>
    <s v="Rawalpindi"/>
    <x v="3"/>
    <x v="13"/>
    <x v="4"/>
    <n v="3"/>
    <n v="6078.37"/>
    <n v="0.05"/>
    <n v="17323.349999999999"/>
    <n v="11103.54"/>
    <n v="6219.81"/>
    <s v="Credit Card"/>
    <n v="0.35904198668271442"/>
  </r>
  <r>
    <s v="ORD-2025-1229"/>
    <x v="150"/>
    <x v="2"/>
    <s v="Hyderabad"/>
    <x v="3"/>
    <x v="14"/>
    <x v="3"/>
    <n v="2"/>
    <n v="5587.96"/>
    <n v="0.1"/>
    <n v="10058.33"/>
    <n v="5307.03"/>
    <n v="4751.3"/>
    <s v="Credit Card"/>
    <n v="0.47237463873227464"/>
  </r>
  <r>
    <s v="ORD-2025-1230"/>
    <x v="11"/>
    <x v="0"/>
    <s v="Lahore"/>
    <x v="0"/>
    <x v="1"/>
    <x v="6"/>
    <n v="6"/>
    <n v="92376.46"/>
    <n v="0"/>
    <n v="554258.76"/>
    <n v="411835.94"/>
    <n v="142422.82"/>
    <s v="Bank Transfer"/>
    <n v="0.25696088231424613"/>
  </r>
  <r>
    <s v="ORD-2025-1231"/>
    <x v="59"/>
    <x v="0"/>
    <s v="Lahore"/>
    <x v="2"/>
    <x v="9"/>
    <x v="3"/>
    <n v="3"/>
    <n v="35568.839999999997"/>
    <n v="0"/>
    <n v="106706.52"/>
    <n v="79126.59"/>
    <n v="27579.93"/>
    <s v="Credit Card"/>
    <n v="0.25846527466175451"/>
  </r>
  <r>
    <s v="ORD-2025-1232"/>
    <x v="252"/>
    <x v="0"/>
    <s v="Multan"/>
    <x v="3"/>
    <x v="6"/>
    <x v="1"/>
    <n v="5"/>
    <n v="3896.87"/>
    <n v="0.05"/>
    <n v="18510.13"/>
    <n v="10402.92"/>
    <n v="8107.21"/>
    <s v="Digital Wallet"/>
    <n v="0.4379877396863231"/>
  </r>
  <r>
    <s v="ORD-2025-1233"/>
    <x v="193"/>
    <x v="2"/>
    <s v="Hyderabad"/>
    <x v="2"/>
    <x v="9"/>
    <x v="3"/>
    <n v="1"/>
    <n v="35415.21"/>
    <n v="0.15"/>
    <n v="30102.93"/>
    <n v="26231.48"/>
    <n v="3871.45"/>
    <s v="Cash"/>
    <n v="0.12860708243350397"/>
  </r>
  <r>
    <s v="ORD-2025-1235"/>
    <x v="19"/>
    <x v="0"/>
    <s v="Lahore"/>
    <x v="2"/>
    <x v="9"/>
    <x v="0"/>
    <n v="2"/>
    <n v="36335.93"/>
    <n v="0.05"/>
    <n v="69038.27"/>
    <n v="50951.199999999997"/>
    <n v="18087.07"/>
    <s v="Credit Card"/>
    <n v="0.261986141889129"/>
  </r>
  <r>
    <s v="ORD-2025-1236"/>
    <x v="356"/>
    <x v="1"/>
    <s v="Rawalpindi"/>
    <x v="2"/>
    <x v="9"/>
    <x v="0"/>
    <n v="6"/>
    <n v="35025.480000000003"/>
    <n v="0"/>
    <n v="210152.88"/>
    <n v="157005.17000000001"/>
    <n v="53147.71"/>
    <s v="Digital Wallet"/>
    <n v="0.25290022197173789"/>
  </r>
  <r>
    <s v="ORD-2025-1237"/>
    <x v="287"/>
    <x v="1"/>
    <s v="Peshawar"/>
    <x v="3"/>
    <x v="8"/>
    <x v="2"/>
    <n v="2"/>
    <n v="11575.92"/>
    <n v="0.1"/>
    <n v="20836.66"/>
    <n v="13023.47"/>
    <n v="7813.19"/>
    <s v="Bank Transfer"/>
    <n v="0.37497324427235457"/>
  </r>
  <r>
    <s v="ORD-2025-1238"/>
    <x v="143"/>
    <x v="1"/>
    <s v="Rawalpindi"/>
    <x v="1"/>
    <x v="2"/>
    <x v="7"/>
    <n v="8"/>
    <n v="133399.67000000001"/>
    <n v="0"/>
    <n v="1067197.3600000001"/>
    <n v="833320.27"/>
    <n v="233877.09"/>
    <s v="Bank Transfer"/>
    <n v="0.21915073890362693"/>
  </r>
  <r>
    <s v="ORD-2025-1239"/>
    <x v="308"/>
    <x v="1"/>
    <s v="Peshawar"/>
    <x v="0"/>
    <x v="10"/>
    <x v="1"/>
    <n v="6"/>
    <n v="177342.26"/>
    <n v="0.15"/>
    <n v="904445.53"/>
    <n v="855933.88"/>
    <n v="48511.65"/>
    <s v="Digital Wallet"/>
    <n v="5.3636895082006759E-2"/>
  </r>
  <r>
    <s v="ORD-2025-1240"/>
    <x v="357"/>
    <x v="1"/>
    <s v="Peshawar"/>
    <x v="0"/>
    <x v="0"/>
    <x v="4"/>
    <n v="5"/>
    <n v="15438.98"/>
    <n v="0.15"/>
    <n v="65615.66"/>
    <n v="41227.449999999997"/>
    <n v="24388.21"/>
    <s v="Bank Transfer"/>
    <n v="0.37168276597385436"/>
  </r>
  <r>
    <s v="ORD-2025-1241"/>
    <x v="322"/>
    <x v="1"/>
    <s v="Islamabad"/>
    <x v="0"/>
    <x v="15"/>
    <x v="4"/>
    <n v="4"/>
    <n v="52713.72"/>
    <n v="0"/>
    <n v="210854.88"/>
    <n v="147660.88"/>
    <n v="63194"/>
    <s v="Cash"/>
    <n v="0.29970375833843638"/>
  </r>
  <r>
    <s v="ORD-2025-1242"/>
    <x v="335"/>
    <x v="0"/>
    <s v="Faisalabad"/>
    <x v="3"/>
    <x v="14"/>
    <x v="0"/>
    <n v="1"/>
    <n v="5284.58"/>
    <n v="0.1"/>
    <n v="4756.12"/>
    <n v="2777.42"/>
    <n v="1978.7"/>
    <s v="Cash"/>
    <n v="0.41603239615484894"/>
  </r>
  <r>
    <s v="ORD-2025-1243"/>
    <x v="275"/>
    <x v="1"/>
    <s v="Islamabad"/>
    <x v="1"/>
    <x v="4"/>
    <x v="7"/>
    <n v="7"/>
    <n v="25355.69"/>
    <n v="0"/>
    <n v="177489.83"/>
    <n v="109970.83"/>
    <n v="67519"/>
    <s v="Cash"/>
    <n v="0.38041052831026995"/>
  </r>
  <r>
    <s v="ORD-2025-1244"/>
    <x v="169"/>
    <x v="2"/>
    <s v="Quetta"/>
    <x v="3"/>
    <x v="13"/>
    <x v="0"/>
    <n v="4"/>
    <n v="6569.61"/>
    <n v="0"/>
    <n v="26278.44"/>
    <n v="14603.57"/>
    <n v="11674.87"/>
    <s v="Bank Transfer"/>
    <n v="0.44427561148987538"/>
  </r>
  <r>
    <s v="ORD-2025-1245"/>
    <x v="208"/>
    <x v="2"/>
    <s v="Karachi"/>
    <x v="3"/>
    <x v="8"/>
    <x v="4"/>
    <n v="6"/>
    <n v="12085.8"/>
    <n v="0.05"/>
    <n v="68889.06"/>
    <n v="38791.99"/>
    <n v="30097.07"/>
    <s v="Digital Wallet"/>
    <n v="0.43689186642988015"/>
  </r>
  <r>
    <s v="ORD-2025-1246"/>
    <x v="19"/>
    <x v="1"/>
    <s v="Rawalpindi"/>
    <x v="3"/>
    <x v="8"/>
    <x v="2"/>
    <n v="3"/>
    <n v="10965.26"/>
    <n v="0.1"/>
    <n v="29606.2"/>
    <n v="19799.91"/>
    <n v="9806.2900000000009"/>
    <s v="Credit Card"/>
    <n v="0.33122420303855277"/>
  </r>
  <r>
    <s v="ORD-2025-1247"/>
    <x v="240"/>
    <x v="2"/>
    <s v="Karachi"/>
    <x v="1"/>
    <x v="3"/>
    <x v="1"/>
    <n v="4"/>
    <n v="26207.43"/>
    <n v="0.05"/>
    <n v="99588.23"/>
    <n v="70350.539999999994"/>
    <n v="29237.69"/>
    <s v="Bank Transfer"/>
    <n v="0.29358579824141867"/>
  </r>
  <r>
    <s v="ORD-2025-1248"/>
    <x v="183"/>
    <x v="0"/>
    <s v="Faisalabad"/>
    <x v="2"/>
    <x v="7"/>
    <x v="7"/>
    <n v="4"/>
    <n v="8179.97"/>
    <n v="0.15"/>
    <n v="27811.9"/>
    <n v="19678.02"/>
    <n v="8133.88"/>
    <s v="Bank Transfer"/>
    <n v="0.29246042161808433"/>
  </r>
  <r>
    <s v="ORD-2025-1249"/>
    <x v="328"/>
    <x v="1"/>
    <s v="Islamabad"/>
    <x v="1"/>
    <x v="2"/>
    <x v="4"/>
    <n v="2"/>
    <n v="128299.46"/>
    <n v="0.05"/>
    <n v="243768.97"/>
    <n v="208790.86"/>
    <n v="34978.11"/>
    <s v="Credit Card"/>
    <n v="0.14348877135592772"/>
  </r>
  <r>
    <s v="ORD-2025-1250"/>
    <x v="142"/>
    <x v="2"/>
    <s v="Quetta"/>
    <x v="0"/>
    <x v="1"/>
    <x v="1"/>
    <n v="2"/>
    <n v="85972.78"/>
    <n v="0.1"/>
    <n v="154751"/>
    <n v="140627.92000000001"/>
    <n v="14123.08"/>
    <s v="Bank Transfer"/>
    <n v="9.1263255164748536E-2"/>
  </r>
  <r>
    <s v="ORD-2025-1251"/>
    <x v="358"/>
    <x v="1"/>
    <s v="Peshawar"/>
    <x v="1"/>
    <x v="3"/>
    <x v="0"/>
    <n v="7"/>
    <n v="25414.7"/>
    <n v="0.05"/>
    <n v="169007.75"/>
    <n v="123133.98"/>
    <n v="45873.77"/>
    <s v="Bank Transfer"/>
    <n v="0.27142997880274722"/>
  </r>
  <r>
    <s v="ORD-2025-1252"/>
    <x v="212"/>
    <x v="1"/>
    <s v="Rawalpindi"/>
    <x v="0"/>
    <x v="1"/>
    <x v="3"/>
    <n v="3"/>
    <n v="94465.91"/>
    <n v="0.05"/>
    <n v="269227.84000000003"/>
    <n v="198256.41"/>
    <n v="70971.429999999993"/>
    <s v="Credit Card"/>
    <n v="0.26361103665950736"/>
  </r>
  <r>
    <s v="ORD-2025-1253"/>
    <x v="343"/>
    <x v="1"/>
    <s v="Rawalpindi"/>
    <x v="2"/>
    <x v="5"/>
    <x v="7"/>
    <n v="1"/>
    <n v="27573.38"/>
    <n v="0"/>
    <n v="27573.38"/>
    <n v="19570.52"/>
    <n v="8002.86"/>
    <s v="Digital Wallet"/>
    <n v="0.29023862870638273"/>
  </r>
  <r>
    <s v="ORD-2025-1254"/>
    <x v="49"/>
    <x v="0"/>
    <s v="Multan"/>
    <x v="2"/>
    <x v="7"/>
    <x v="1"/>
    <n v="3"/>
    <n v="8973.15"/>
    <n v="0.1"/>
    <n v="24227.5"/>
    <n v="14670.21"/>
    <n v="9557.2900000000009"/>
    <s v="Bank Transfer"/>
    <n v="0.39448106490558255"/>
  </r>
  <r>
    <s v="ORD-2025-1255"/>
    <x v="121"/>
    <x v="0"/>
    <s v="Faisalabad"/>
    <x v="1"/>
    <x v="4"/>
    <x v="0"/>
    <n v="6"/>
    <n v="23968.9"/>
    <n v="0"/>
    <n v="143813.4"/>
    <n v="94080.55"/>
    <n v="49732.85"/>
    <s v="Credit Card"/>
    <n v="0.34581513266496727"/>
  </r>
  <r>
    <s v="ORD-2025-1256"/>
    <x v="3"/>
    <x v="2"/>
    <s v="Quetta"/>
    <x v="2"/>
    <x v="5"/>
    <x v="2"/>
    <n v="2"/>
    <n v="30693.41"/>
    <n v="0.1"/>
    <n v="55248.14"/>
    <n v="38744.22"/>
    <n v="16503.919999999998"/>
    <s v="Cash"/>
    <n v="0.29872354073820401"/>
  </r>
  <r>
    <s v="ORD-2025-1257"/>
    <x v="347"/>
    <x v="0"/>
    <s v="Lahore"/>
    <x v="1"/>
    <x v="12"/>
    <x v="7"/>
    <n v="8"/>
    <n v="31781.02"/>
    <n v="0"/>
    <n v="254248.16"/>
    <n v="180399.01"/>
    <n v="73849.149999999994"/>
    <s v="Digital Wallet"/>
    <n v="0.29046090245058209"/>
  </r>
  <r>
    <s v="ORD-2025-1259"/>
    <x v="148"/>
    <x v="1"/>
    <s v="Peshawar"/>
    <x v="1"/>
    <x v="3"/>
    <x v="1"/>
    <n v="1"/>
    <n v="27922.799999999999"/>
    <n v="0.05"/>
    <n v="26526.66"/>
    <n v="18002.849999999999"/>
    <n v="8523.81"/>
    <s v="Credit Card"/>
    <n v="0.32132993750438238"/>
  </r>
  <r>
    <s v="ORD-2025-1260"/>
    <x v="338"/>
    <x v="0"/>
    <s v="Faisalabad"/>
    <x v="1"/>
    <x v="3"/>
    <x v="2"/>
    <n v="6"/>
    <n v="25844.68"/>
    <n v="0.1"/>
    <n v="139561.26999999999"/>
    <n v="111913.78"/>
    <n v="27647.49"/>
    <s v="Cash"/>
    <n v="0.19810288341457485"/>
  </r>
  <r>
    <s v="ORD-2025-1261"/>
    <x v="113"/>
    <x v="0"/>
    <s v="Lahore"/>
    <x v="1"/>
    <x v="2"/>
    <x v="3"/>
    <n v="2"/>
    <n v="137459.17000000001"/>
    <n v="0.1"/>
    <n v="247426.51"/>
    <n v="201789.88"/>
    <n v="45636.63"/>
    <s v="Credit Card"/>
    <n v="0.18444519142269758"/>
  </r>
  <r>
    <s v="ORD-2025-1262"/>
    <x v="67"/>
    <x v="0"/>
    <s v="Lahore"/>
    <x v="2"/>
    <x v="11"/>
    <x v="1"/>
    <n v="8"/>
    <n v="44573.23"/>
    <n v="0.05"/>
    <n v="338756.55"/>
    <n v="242106.88"/>
    <n v="96649.67"/>
    <s v="Digital Wallet"/>
    <n v="0.28530716232645537"/>
  </r>
  <r>
    <s v="ORD-2025-1263"/>
    <x v="106"/>
    <x v="2"/>
    <s v="Quetta"/>
    <x v="3"/>
    <x v="6"/>
    <x v="1"/>
    <n v="6"/>
    <n v="3986.97"/>
    <n v="0.05"/>
    <n v="22725.73"/>
    <n v="12535.25"/>
    <n v="10190.48"/>
    <s v="Bank Transfer"/>
    <n v="0.44841155817656903"/>
  </r>
  <r>
    <s v="ORD-2025-1264"/>
    <x v="165"/>
    <x v="2"/>
    <s v="Karachi"/>
    <x v="2"/>
    <x v="9"/>
    <x v="0"/>
    <n v="7"/>
    <n v="36179.69"/>
    <n v="0.05"/>
    <n v="240594.94"/>
    <n v="189097"/>
    <n v="51497.94"/>
    <s v="Bank Transfer"/>
    <n v="0.21404415238325461"/>
  </r>
  <r>
    <s v="ORD-2025-1265"/>
    <x v="195"/>
    <x v="2"/>
    <s v="Karachi"/>
    <x v="1"/>
    <x v="2"/>
    <x v="5"/>
    <n v="1"/>
    <n v="145411.42000000001"/>
    <n v="0"/>
    <n v="145411.42000000001"/>
    <n v="102796.76"/>
    <n v="42614.66"/>
    <s v="Cash"/>
    <n v="0.29306267692042343"/>
  </r>
  <r>
    <s v="ORD-2025-1267"/>
    <x v="273"/>
    <x v="0"/>
    <s v="Multan"/>
    <x v="3"/>
    <x v="6"/>
    <x v="2"/>
    <n v="4"/>
    <n v="4519.72"/>
    <n v="0"/>
    <n v="18078.88"/>
    <n v="8660.7900000000009"/>
    <n v="9418.09"/>
    <s v="Credit Card"/>
    <n v="0.52094432840972449"/>
  </r>
  <r>
    <s v="ORD-2025-1268"/>
    <x v="298"/>
    <x v="2"/>
    <s v="Quetta"/>
    <x v="2"/>
    <x v="5"/>
    <x v="4"/>
    <n v="8"/>
    <n v="26358.36"/>
    <n v="0"/>
    <n v="210866.88"/>
    <n v="157391.51999999999"/>
    <n v="53475.360000000001"/>
    <s v="Bank Transfer"/>
    <n v="0.25359772004024528"/>
  </r>
  <r>
    <s v="ORD-2025-1269"/>
    <x v="129"/>
    <x v="1"/>
    <s v="Rawalpindi"/>
    <x v="2"/>
    <x v="5"/>
    <x v="2"/>
    <n v="2"/>
    <n v="28489.29"/>
    <n v="0.1"/>
    <n v="51280.72"/>
    <n v="37272.97"/>
    <n v="14007.75"/>
    <s v="Digital Wallet"/>
    <n v="0.27315821618729219"/>
  </r>
  <r>
    <s v="ORD-2025-1270"/>
    <x v="81"/>
    <x v="0"/>
    <s v="Multan"/>
    <x v="3"/>
    <x v="14"/>
    <x v="5"/>
    <n v="2"/>
    <n v="5340.36"/>
    <n v="0"/>
    <n v="10680.72"/>
    <n v="5365.89"/>
    <n v="5314.83"/>
    <s v="Credit Card"/>
    <n v="0.49760971170482893"/>
  </r>
  <r>
    <s v="ORD-2025-1271"/>
    <x v="78"/>
    <x v="2"/>
    <s v="Karachi"/>
    <x v="3"/>
    <x v="13"/>
    <x v="0"/>
    <n v="6"/>
    <n v="6040.97"/>
    <n v="0.05"/>
    <n v="34433.53"/>
    <n v="22178.09"/>
    <n v="12255.44"/>
    <s v="Cash"/>
    <n v="0.35591587618231418"/>
  </r>
  <r>
    <s v="ORD-2025-1272"/>
    <x v="77"/>
    <x v="0"/>
    <s v="Multan"/>
    <x v="1"/>
    <x v="4"/>
    <x v="4"/>
    <n v="4"/>
    <n v="23647.64"/>
    <n v="0"/>
    <n v="94590.56"/>
    <n v="63285.53"/>
    <n v="31305.03"/>
    <s v="Digital Wallet"/>
    <n v="0.33095300418984724"/>
  </r>
  <r>
    <s v="ORD-2025-1273"/>
    <x v="343"/>
    <x v="2"/>
    <s v="Hyderabad"/>
    <x v="3"/>
    <x v="13"/>
    <x v="1"/>
    <n v="8"/>
    <n v="6004.79"/>
    <n v="0"/>
    <n v="48038.32"/>
    <n v="28584.17"/>
    <n v="19454.150000000001"/>
    <s v="Bank Transfer"/>
    <n v="0.40497148942760697"/>
  </r>
  <r>
    <s v="ORD-2025-1274"/>
    <x v="118"/>
    <x v="2"/>
    <s v="Hyderabad"/>
    <x v="0"/>
    <x v="10"/>
    <x v="5"/>
    <n v="4"/>
    <n v="198224.68"/>
    <n v="0.05"/>
    <n v="753253.78"/>
    <n v="586429.6"/>
    <n v="166824.18"/>
    <s v="Bank Transfer"/>
    <n v="0.22147141432200976"/>
  </r>
  <r>
    <s v="ORD-2025-1275"/>
    <x v="331"/>
    <x v="0"/>
    <s v="Lahore"/>
    <x v="0"/>
    <x v="10"/>
    <x v="1"/>
    <n v="5"/>
    <n v="181593.08"/>
    <n v="0.05"/>
    <n v="862567.13"/>
    <n v="736620.1"/>
    <n v="125947.03"/>
    <s v="Credit Card"/>
    <n v="0.14601417747045381"/>
  </r>
  <r>
    <s v="ORD-2025-1276"/>
    <x v="197"/>
    <x v="0"/>
    <s v="Faisalabad"/>
    <x v="0"/>
    <x v="1"/>
    <x v="2"/>
    <n v="2"/>
    <n v="91370.48"/>
    <n v="0"/>
    <n v="182740.96"/>
    <n v="140415.23000000001"/>
    <n v="42325.73"/>
    <s v="Cash"/>
    <n v="0.23161599895283469"/>
  </r>
  <r>
    <s v="ORD-2025-1277"/>
    <x v="140"/>
    <x v="0"/>
    <s v="Lahore"/>
    <x v="3"/>
    <x v="6"/>
    <x v="0"/>
    <n v="1"/>
    <n v="3894.4"/>
    <n v="0.05"/>
    <n v="3699.68"/>
    <n v="2067.29"/>
    <n v="1632.39"/>
    <s v="Bank Transfer"/>
    <n v="0.44122464645590975"/>
  </r>
  <r>
    <s v="ORD-2025-1278"/>
    <x v="19"/>
    <x v="1"/>
    <s v="Islamabad"/>
    <x v="1"/>
    <x v="12"/>
    <x v="6"/>
    <n v="7"/>
    <n v="34724.300000000003"/>
    <n v="0.05"/>
    <n v="230916.6"/>
    <n v="162891.35999999999"/>
    <n v="68025.240000000005"/>
    <s v="Credit Card"/>
    <n v="0.29458791615674235"/>
  </r>
  <r>
    <s v="ORD-2025-1280"/>
    <x v="17"/>
    <x v="0"/>
    <s v="Multan"/>
    <x v="1"/>
    <x v="4"/>
    <x v="7"/>
    <n v="1"/>
    <n v="24170.28"/>
    <n v="0.05"/>
    <n v="22961.77"/>
    <n v="15743.11"/>
    <n v="7218.66"/>
    <s v="Bank Transfer"/>
    <n v="0.31437733240947885"/>
  </r>
  <r>
    <s v="ORD-2025-1282"/>
    <x v="164"/>
    <x v="1"/>
    <s v="Rawalpindi"/>
    <x v="0"/>
    <x v="1"/>
    <x v="1"/>
    <n v="6"/>
    <n v="87103.64"/>
    <n v="0.15"/>
    <n v="444228.56"/>
    <n v="403085.62"/>
    <n v="41142.94"/>
    <s v="Bank Transfer"/>
    <n v="9.2616602588541361E-2"/>
  </r>
  <r>
    <s v="ORD-2025-1283"/>
    <x v="149"/>
    <x v="0"/>
    <s v="Faisalabad"/>
    <x v="1"/>
    <x v="3"/>
    <x v="0"/>
    <n v="2"/>
    <n v="28127.47"/>
    <n v="0.05"/>
    <n v="53442.19"/>
    <n v="36993.65"/>
    <n v="16448.54"/>
    <s v="Digital Wallet"/>
    <n v="0.30778192285907446"/>
  </r>
  <r>
    <s v="ORD-2025-1284"/>
    <x v="227"/>
    <x v="1"/>
    <s v="Islamabad"/>
    <x v="0"/>
    <x v="15"/>
    <x v="5"/>
    <n v="8"/>
    <n v="48749.74"/>
    <n v="0"/>
    <n v="389997.92"/>
    <n v="284017.36"/>
    <n v="105980.56"/>
    <s v="Cash"/>
    <n v="0.27174647495555876"/>
  </r>
  <r>
    <s v="ORD-2025-1285"/>
    <x v="181"/>
    <x v="0"/>
    <s v="Lahore"/>
    <x v="2"/>
    <x v="7"/>
    <x v="3"/>
    <n v="6"/>
    <n v="8415.83"/>
    <n v="0"/>
    <n v="50494.98"/>
    <n v="29427.69"/>
    <n v="21067.29"/>
    <s v="Credit Card"/>
    <n v="0.41721553310843967"/>
  </r>
  <r>
    <s v="ORD-2025-1286"/>
    <x v="277"/>
    <x v="0"/>
    <s v="Faisalabad"/>
    <x v="0"/>
    <x v="10"/>
    <x v="7"/>
    <n v="3"/>
    <n v="180303.89"/>
    <n v="0.05"/>
    <n v="513866.09"/>
    <n v="440709.26"/>
    <n v="73156.83"/>
    <s v="Credit Card"/>
    <n v="0.14236555286222524"/>
  </r>
  <r>
    <s v="ORD-2025-1287"/>
    <x v="231"/>
    <x v="0"/>
    <s v="Lahore"/>
    <x v="3"/>
    <x v="14"/>
    <x v="3"/>
    <n v="3"/>
    <n v="5571.76"/>
    <n v="0.1"/>
    <n v="15043.75"/>
    <n v="7893.09"/>
    <n v="7150.66"/>
    <s v="Bank Transfer"/>
    <n v="0.47532430411300375"/>
  </r>
  <r>
    <s v="ORD-2025-1288"/>
    <x v="345"/>
    <x v="0"/>
    <s v="Multan"/>
    <x v="3"/>
    <x v="13"/>
    <x v="5"/>
    <n v="8"/>
    <n v="6052.16"/>
    <n v="0"/>
    <n v="48417.279999999999"/>
    <n v="29148.95"/>
    <n v="19268.330000000002"/>
    <s v="Credit Card"/>
    <n v="0.39796390875323856"/>
  </r>
  <r>
    <s v="ORD-2025-1289"/>
    <x v="134"/>
    <x v="0"/>
    <s v="Faisalabad"/>
    <x v="0"/>
    <x v="10"/>
    <x v="2"/>
    <n v="2"/>
    <n v="182333.76"/>
    <n v="0.1"/>
    <n v="328200.77"/>
    <n v="275827.14"/>
    <n v="52373.63"/>
    <s v="Bank Transfer"/>
    <n v="0.159578022927856"/>
  </r>
  <r>
    <s v="ORD-2025-1290"/>
    <x v="227"/>
    <x v="1"/>
    <s v="Islamabad"/>
    <x v="0"/>
    <x v="1"/>
    <x v="0"/>
    <n v="1"/>
    <n v="90251.46"/>
    <n v="0.1"/>
    <n v="81226.31"/>
    <n v="66238.070000000007"/>
    <n v="14988.24"/>
    <s v="Credit Card"/>
    <n v="0.18452444780515082"/>
  </r>
  <r>
    <s v="ORD-2025-1291"/>
    <x v="225"/>
    <x v="0"/>
    <s v="Lahore"/>
    <x v="0"/>
    <x v="10"/>
    <x v="1"/>
    <n v="8"/>
    <n v="197941.44"/>
    <n v="0.15"/>
    <n v="1346001.79"/>
    <n v="1132619.07"/>
    <n v="213382.72"/>
    <s v="Digital Wallet"/>
    <n v="0.15853078471760426"/>
  </r>
  <r>
    <s v="ORD-2025-1292"/>
    <x v="306"/>
    <x v="0"/>
    <s v="Lahore"/>
    <x v="3"/>
    <x v="8"/>
    <x v="7"/>
    <n v="6"/>
    <n v="12383.44"/>
    <n v="0.15"/>
    <n v="63155.54"/>
    <n v="39072.11"/>
    <n v="24083.43"/>
    <s v="Bank Transfer"/>
    <n v="0.38133519244709174"/>
  </r>
  <r>
    <s v="ORD-2025-1293"/>
    <x v="299"/>
    <x v="1"/>
    <s v="Islamabad"/>
    <x v="1"/>
    <x v="12"/>
    <x v="1"/>
    <n v="7"/>
    <n v="35635.46"/>
    <n v="0"/>
    <n v="249448.22"/>
    <n v="156833.06"/>
    <n v="92615.16"/>
    <s v="Bank Transfer"/>
    <n v="0.37128009973372433"/>
  </r>
  <r>
    <s v="ORD-2025-1294"/>
    <x v="79"/>
    <x v="1"/>
    <s v="Islamabad"/>
    <x v="3"/>
    <x v="14"/>
    <x v="3"/>
    <n v="4"/>
    <n v="5605.59"/>
    <n v="0"/>
    <n v="22422.36"/>
    <n v="11111.14"/>
    <n v="11311.22"/>
    <s v="Digital Wallet"/>
    <n v="0.50446161777796805"/>
  </r>
  <r>
    <s v="ORD-2025-1295"/>
    <x v="177"/>
    <x v="2"/>
    <s v="Hyderabad"/>
    <x v="3"/>
    <x v="14"/>
    <x v="1"/>
    <n v="8"/>
    <n v="5576.38"/>
    <n v="0.05"/>
    <n v="42380.49"/>
    <n v="21501.7"/>
    <n v="20878.79"/>
    <s v="Credit Card"/>
    <n v="0.49265098161913656"/>
  </r>
  <r>
    <s v="ORD-2025-1296"/>
    <x v="78"/>
    <x v="0"/>
    <s v="Multan"/>
    <x v="2"/>
    <x v="5"/>
    <x v="2"/>
    <n v="4"/>
    <n v="29469.41"/>
    <n v="0.1"/>
    <n v="106089.88"/>
    <n v="74755.28"/>
    <n v="31334.6"/>
    <s v="Digital Wallet"/>
    <n v="0.29535899182843828"/>
  </r>
  <r>
    <s v="ORD-2025-1297"/>
    <x v="261"/>
    <x v="0"/>
    <s v="Faisalabad"/>
    <x v="1"/>
    <x v="3"/>
    <x v="7"/>
    <n v="4"/>
    <n v="26537.02"/>
    <n v="0.05"/>
    <n v="100840.68"/>
    <n v="70387.600000000006"/>
    <n v="30453.08"/>
    <s v="Bank Transfer"/>
    <n v="0.30199201354056721"/>
  </r>
  <r>
    <s v="ORD-2025-1298"/>
    <x v="13"/>
    <x v="0"/>
    <s v="Faisalabad"/>
    <x v="0"/>
    <x v="1"/>
    <x v="1"/>
    <n v="4"/>
    <n v="89610.7"/>
    <n v="0"/>
    <n v="358442.8"/>
    <n v="276399.76"/>
    <n v="82043.039999999994"/>
    <s v="Credit Card"/>
    <n v="0.22888739849147477"/>
  </r>
  <r>
    <s v="ORD-2025-1299"/>
    <x v="273"/>
    <x v="2"/>
    <s v="Karachi"/>
    <x v="2"/>
    <x v="7"/>
    <x v="1"/>
    <n v="3"/>
    <n v="8191.72"/>
    <n v="0.15"/>
    <n v="20888.89"/>
    <n v="14959.37"/>
    <n v="5929.52"/>
    <s v="Credit Card"/>
    <n v="0.28385998490106468"/>
  </r>
  <r>
    <s v="ORD-2025-1300"/>
    <x v="233"/>
    <x v="1"/>
    <s v="Rawalpindi"/>
    <x v="1"/>
    <x v="4"/>
    <x v="2"/>
    <n v="4"/>
    <n v="25942.68"/>
    <n v="0"/>
    <n v="103770.72"/>
    <n v="64677.83"/>
    <n v="39092.89"/>
    <s v="Cash"/>
    <n v="0.37672370395040139"/>
  </r>
  <r>
    <s v="ORD-2025-1301"/>
    <x v="240"/>
    <x v="0"/>
    <s v="Lahore"/>
    <x v="0"/>
    <x v="10"/>
    <x v="2"/>
    <n v="1"/>
    <n v="170456.59"/>
    <n v="0"/>
    <n v="170456.59"/>
    <n v="141035.20000000001"/>
    <n v="29421.39"/>
    <s v="Bank Transfer"/>
    <n v="0.17260341767953941"/>
  </r>
  <r>
    <s v="ORD-2025-1302"/>
    <x v="7"/>
    <x v="1"/>
    <s v="Peshawar"/>
    <x v="2"/>
    <x v="5"/>
    <x v="7"/>
    <n v="5"/>
    <n v="30053.49"/>
    <n v="0.05"/>
    <n v="142754.07999999999"/>
    <n v="96294.49"/>
    <n v="46459.59"/>
    <s v="Digital Wallet"/>
    <n v="0.32545192403607659"/>
  </r>
  <r>
    <s v="ORD-2025-1303"/>
    <x v="187"/>
    <x v="2"/>
    <s v="Quetta"/>
    <x v="2"/>
    <x v="9"/>
    <x v="5"/>
    <n v="5"/>
    <n v="35577.120000000003"/>
    <n v="0.1"/>
    <n v="160097.04"/>
    <n v="127554.29"/>
    <n v="32542.75"/>
    <s v="Digital Wallet"/>
    <n v="0.20326890490917257"/>
  </r>
  <r>
    <s v="ORD-2025-1305"/>
    <x v="299"/>
    <x v="2"/>
    <s v="Karachi"/>
    <x v="0"/>
    <x v="1"/>
    <x v="2"/>
    <n v="7"/>
    <n v="91599.81"/>
    <n v="0.05"/>
    <n v="609138.74"/>
    <n v="467399.66"/>
    <n v="141739.07999999999"/>
    <s v="Digital Wallet"/>
    <n v="0.23268767965734702"/>
  </r>
  <r>
    <s v="ORD-2025-1306"/>
    <x v="107"/>
    <x v="0"/>
    <s v="Multan"/>
    <x v="2"/>
    <x v="7"/>
    <x v="0"/>
    <n v="1"/>
    <n v="9139.6"/>
    <n v="0.15"/>
    <n v="7768.66"/>
    <n v="4947.41"/>
    <n v="2821.25"/>
    <s v="Bank Transfer"/>
    <n v="0.36315786763740465"/>
  </r>
  <r>
    <s v="ORD-2025-1307"/>
    <x v="228"/>
    <x v="1"/>
    <s v="Islamabad"/>
    <x v="2"/>
    <x v="9"/>
    <x v="3"/>
    <n v="7"/>
    <n v="40533.93"/>
    <n v="0"/>
    <n v="283737.51"/>
    <n v="189189.51"/>
    <n v="94548"/>
    <s v="Bank Transfer"/>
    <n v="0.33322347827751075"/>
  </r>
  <r>
    <s v="ORD-2025-1308"/>
    <x v="134"/>
    <x v="2"/>
    <s v="Quetta"/>
    <x v="0"/>
    <x v="0"/>
    <x v="2"/>
    <n v="8"/>
    <n v="13377.02"/>
    <n v="0.1"/>
    <n v="96314.54"/>
    <n v="65550.259999999995"/>
    <n v="30764.28"/>
    <s v="Bank Transfer"/>
    <n v="0.31941470104098507"/>
  </r>
  <r>
    <s v="ORD-2025-1309"/>
    <x v="112"/>
    <x v="1"/>
    <s v="Peshawar"/>
    <x v="1"/>
    <x v="2"/>
    <x v="4"/>
    <n v="8"/>
    <n v="131081.06"/>
    <n v="0"/>
    <n v="1048648.48"/>
    <n v="786701.75"/>
    <n v="261946.73"/>
    <s v="Bank Transfer"/>
    <n v="0.24979460228655462"/>
  </r>
  <r>
    <s v="ORD-2025-1310"/>
    <x v="95"/>
    <x v="2"/>
    <s v="Hyderabad"/>
    <x v="1"/>
    <x v="2"/>
    <x v="2"/>
    <n v="5"/>
    <n v="140399.95000000001"/>
    <n v="0.15"/>
    <n v="596699.79"/>
    <n v="506043.39"/>
    <n v="90656.4"/>
    <s v="Cash"/>
    <n v="0.15192966634025459"/>
  </r>
  <r>
    <s v="ORD-2025-1311"/>
    <x v="73"/>
    <x v="1"/>
    <s v="Peshawar"/>
    <x v="0"/>
    <x v="10"/>
    <x v="4"/>
    <n v="5"/>
    <n v="181467.87"/>
    <n v="0.05"/>
    <n v="861972.38"/>
    <n v="707586.84"/>
    <n v="154385.54"/>
    <s v="Digital Wallet"/>
    <n v="0.17910729343787096"/>
  </r>
  <r>
    <s v="ORD-2025-1312"/>
    <x v="71"/>
    <x v="2"/>
    <s v="Hyderabad"/>
    <x v="3"/>
    <x v="14"/>
    <x v="3"/>
    <n v="6"/>
    <n v="4894.1099999999997"/>
    <n v="0.05"/>
    <n v="27896.43"/>
    <n v="16529.48"/>
    <n v="11366.95"/>
    <s v="Digital Wallet"/>
    <n v="0.40746970132020477"/>
  </r>
  <r>
    <s v="ORD-2025-1313"/>
    <x v="128"/>
    <x v="2"/>
    <s v="Hyderabad"/>
    <x v="0"/>
    <x v="15"/>
    <x v="6"/>
    <n v="2"/>
    <n v="54541.55"/>
    <n v="0.05"/>
    <n v="103628.95"/>
    <n v="75212.160000000003"/>
    <n v="28416.79"/>
    <s v="Credit Card"/>
    <n v="0.2742167126078186"/>
  </r>
  <r>
    <s v="ORD-2025-1314"/>
    <x v="130"/>
    <x v="1"/>
    <s v="Islamabad"/>
    <x v="0"/>
    <x v="1"/>
    <x v="0"/>
    <n v="6"/>
    <n v="85596.2"/>
    <n v="0.1"/>
    <n v="462219.48"/>
    <n v="418649.61"/>
    <n v="43569.87"/>
    <s v="Cash"/>
    <n v="9.4262297209974796E-2"/>
  </r>
  <r>
    <s v="ORD-2025-1315"/>
    <x v="221"/>
    <x v="0"/>
    <s v="Lahore"/>
    <x v="1"/>
    <x v="2"/>
    <x v="0"/>
    <n v="3"/>
    <n v="136787.51"/>
    <n v="0.05"/>
    <n v="389844.4"/>
    <n v="307293.57"/>
    <n v="82550.83"/>
    <s v="Cash"/>
    <n v="0.21175327900054483"/>
  </r>
  <r>
    <s v="ORD-2025-1316"/>
    <x v="336"/>
    <x v="1"/>
    <s v="Peshawar"/>
    <x v="2"/>
    <x v="5"/>
    <x v="1"/>
    <n v="2"/>
    <n v="27066.22"/>
    <n v="0.15"/>
    <n v="46012.57"/>
    <n v="39390.699999999997"/>
    <n v="6621.87"/>
    <s v="Credit Card"/>
    <n v="0.14391436948642511"/>
  </r>
  <r>
    <s v="ORD-2025-1317"/>
    <x v="77"/>
    <x v="1"/>
    <s v="Islamabad"/>
    <x v="0"/>
    <x v="15"/>
    <x v="7"/>
    <n v="6"/>
    <n v="53043.76"/>
    <n v="0"/>
    <n v="318262.56"/>
    <n v="219727.76"/>
    <n v="98534.8"/>
    <s v="Credit Card"/>
    <n v="0.30960223533676096"/>
  </r>
  <r>
    <s v="ORD-2025-1318"/>
    <x v="77"/>
    <x v="2"/>
    <s v="Hyderabad"/>
    <x v="0"/>
    <x v="15"/>
    <x v="4"/>
    <n v="3"/>
    <n v="52063.1"/>
    <n v="0"/>
    <n v="156189.29999999999"/>
    <n v="107562.9"/>
    <n v="48626.400000000001"/>
    <s v="Credit Card"/>
    <n v="0.311329905441666"/>
  </r>
  <r>
    <s v="ORD-2025-1319"/>
    <x v="30"/>
    <x v="0"/>
    <s v="Multan"/>
    <x v="2"/>
    <x v="11"/>
    <x v="5"/>
    <n v="2"/>
    <n v="40854.81"/>
    <n v="0.05"/>
    <n v="77624.14"/>
    <n v="63422.28"/>
    <n v="14201.86"/>
    <s v="Digital Wallet"/>
    <n v="0.18295674515685456"/>
  </r>
  <r>
    <s v="ORD-2025-1320"/>
    <x v="314"/>
    <x v="0"/>
    <s v="Multan"/>
    <x v="1"/>
    <x v="4"/>
    <x v="6"/>
    <n v="5"/>
    <n v="23395.57"/>
    <n v="0.05"/>
    <n v="111128.96000000001"/>
    <n v="81189.31"/>
    <n v="29939.65"/>
    <s v="Bank Transfer"/>
    <n v="0.26941357140388966"/>
  </r>
  <r>
    <s v="ORD-2025-1321"/>
    <x v="96"/>
    <x v="2"/>
    <s v="Karachi"/>
    <x v="0"/>
    <x v="10"/>
    <x v="0"/>
    <n v="2"/>
    <n v="184820.12"/>
    <n v="0.15"/>
    <n v="314194.2"/>
    <n v="276680.83"/>
    <n v="37513.370000000003"/>
    <s v="Digital Wallet"/>
    <n v="0.11939548852270347"/>
  </r>
  <r>
    <s v="ORD-2025-1322"/>
    <x v="355"/>
    <x v="1"/>
    <s v="Peshawar"/>
    <x v="0"/>
    <x v="0"/>
    <x v="4"/>
    <n v="6"/>
    <n v="14959.54"/>
    <n v="0.1"/>
    <n v="80781.52"/>
    <n v="50059.71"/>
    <n v="30721.81"/>
    <s v="Bank Transfer"/>
    <n v="0.3803074019899601"/>
  </r>
  <r>
    <s v="ORD-2025-1323"/>
    <x v="17"/>
    <x v="2"/>
    <s v="Hyderabad"/>
    <x v="3"/>
    <x v="8"/>
    <x v="3"/>
    <n v="8"/>
    <n v="11132.45"/>
    <n v="0.05"/>
    <n v="84606.62"/>
    <n v="51581.05"/>
    <n v="33025.57"/>
    <s v="Credit Card"/>
    <n v="0.39034262330772701"/>
  </r>
  <r>
    <s v="ORD-2025-1324"/>
    <x v="67"/>
    <x v="1"/>
    <s v="Peshawar"/>
    <x v="1"/>
    <x v="4"/>
    <x v="7"/>
    <n v="8"/>
    <n v="25989.5"/>
    <n v="0.05"/>
    <n v="197520.2"/>
    <n v="130778.65"/>
    <n v="66741.55"/>
    <s v="Digital Wallet"/>
    <n v="0.33789733910759506"/>
  </r>
  <r>
    <s v="ORD-2025-1325"/>
    <x v="282"/>
    <x v="2"/>
    <s v="Karachi"/>
    <x v="2"/>
    <x v="7"/>
    <x v="5"/>
    <n v="7"/>
    <n v="9111.5"/>
    <n v="0"/>
    <n v="63780.5"/>
    <n v="35163.620000000003"/>
    <n v="28616.880000000001"/>
    <s v="Digital Wallet"/>
    <n v="0.44867757386662072"/>
  </r>
  <r>
    <s v="ORD-2025-1326"/>
    <x v="88"/>
    <x v="2"/>
    <s v="Karachi"/>
    <x v="3"/>
    <x v="6"/>
    <x v="1"/>
    <n v="3"/>
    <n v="4262.45"/>
    <n v="0"/>
    <n v="12787.35"/>
    <n v="6206.69"/>
    <n v="6580.66"/>
    <s v="Digital Wallet"/>
    <n v="0.51462265442018873"/>
  </r>
  <r>
    <s v="ORD-2025-1327"/>
    <x v="18"/>
    <x v="1"/>
    <s v="Rawalpindi"/>
    <x v="1"/>
    <x v="12"/>
    <x v="4"/>
    <n v="1"/>
    <n v="32985.86"/>
    <n v="0"/>
    <n v="32985.86"/>
    <n v="22303.05"/>
    <n v="10682.81"/>
    <s v="Credit Card"/>
    <n v="0.32386028437639641"/>
  </r>
  <r>
    <s v="ORD-2025-1328"/>
    <x v="322"/>
    <x v="1"/>
    <s v="Rawalpindi"/>
    <x v="3"/>
    <x v="14"/>
    <x v="6"/>
    <n v="7"/>
    <n v="5572.18"/>
    <n v="0"/>
    <n v="39005.26"/>
    <n v="18977.75"/>
    <n v="20027.509999999998"/>
    <s v="Bank Transfer"/>
    <n v="0.51345664661637935"/>
  </r>
  <r>
    <s v="ORD-2025-1329"/>
    <x v="2"/>
    <x v="1"/>
    <s v="Islamabad"/>
    <x v="1"/>
    <x v="4"/>
    <x v="1"/>
    <n v="5"/>
    <n v="23094.59"/>
    <n v="0.1"/>
    <n v="103925.65"/>
    <n v="81846.66"/>
    <n v="22078.99"/>
    <s v="Digital Wallet"/>
    <n v="0.21244986199268423"/>
  </r>
  <r>
    <s v="ORD-2025-1330"/>
    <x v="64"/>
    <x v="1"/>
    <s v="Rawalpindi"/>
    <x v="2"/>
    <x v="9"/>
    <x v="5"/>
    <n v="5"/>
    <n v="39119.07"/>
    <n v="0.05"/>
    <n v="185815.58"/>
    <n v="131665.79999999999"/>
    <n v="54149.78"/>
    <s v="Bank Transfer"/>
    <n v="0.29141679077717814"/>
  </r>
  <r>
    <s v="ORD-2025-1331"/>
    <x v="198"/>
    <x v="2"/>
    <s v="Quetta"/>
    <x v="1"/>
    <x v="12"/>
    <x v="2"/>
    <n v="6"/>
    <n v="33344.93"/>
    <n v="0.05"/>
    <n v="190066.1"/>
    <n v="131546.53"/>
    <n v="58519.57"/>
    <s v="Digital Wallet"/>
    <n v="0.30789062331473105"/>
  </r>
  <r>
    <s v="ORD-2025-1332"/>
    <x v="20"/>
    <x v="1"/>
    <s v="Islamabad"/>
    <x v="1"/>
    <x v="12"/>
    <x v="2"/>
    <n v="6"/>
    <n v="33706.839999999997"/>
    <n v="0.05"/>
    <n v="192128.99"/>
    <n v="138385.32"/>
    <n v="53743.67"/>
    <s v="Bank Transfer"/>
    <n v="0.27972702089361945"/>
  </r>
  <r>
    <s v="ORD-2025-1333"/>
    <x v="208"/>
    <x v="0"/>
    <s v="Lahore"/>
    <x v="2"/>
    <x v="9"/>
    <x v="7"/>
    <n v="4"/>
    <n v="39265.279999999999"/>
    <n v="0.1"/>
    <n v="141355.01"/>
    <n v="102605.49"/>
    <n v="38749.519999999997"/>
    <s v="Digital Wallet"/>
    <n v="0.274129088173104"/>
  </r>
  <r>
    <s v="ORD-2025-1334"/>
    <x v="45"/>
    <x v="1"/>
    <s v="Rawalpindi"/>
    <x v="0"/>
    <x v="15"/>
    <x v="4"/>
    <n v="3"/>
    <n v="53028.41"/>
    <n v="0"/>
    <n v="159085.23000000001"/>
    <n v="110271.59"/>
    <n v="48813.64"/>
    <s v="Cash"/>
    <n v="0.3068395475808785"/>
  </r>
  <r>
    <s v="ORD-2025-1335"/>
    <x v="212"/>
    <x v="2"/>
    <s v="Hyderabad"/>
    <x v="2"/>
    <x v="9"/>
    <x v="6"/>
    <n v="3"/>
    <n v="37171.800000000003"/>
    <n v="0"/>
    <n v="111515.4"/>
    <n v="78246.66"/>
    <n v="33268.74"/>
    <s v="Bank Transfer"/>
    <n v="0.29833314501853553"/>
  </r>
  <r>
    <s v="ORD-2025-1336"/>
    <x v="281"/>
    <x v="2"/>
    <s v="Quetta"/>
    <x v="3"/>
    <x v="6"/>
    <x v="3"/>
    <n v="5"/>
    <n v="4506.88"/>
    <n v="0.05"/>
    <n v="21407.68"/>
    <n v="10909.18"/>
    <n v="10498.5"/>
    <s v="Credit Card"/>
    <n v="0.49040811521846367"/>
  </r>
  <r>
    <s v="ORD-2025-1337"/>
    <x v="312"/>
    <x v="0"/>
    <s v="Multan"/>
    <x v="0"/>
    <x v="0"/>
    <x v="4"/>
    <n v="1"/>
    <n v="15046.35"/>
    <n v="0"/>
    <n v="15046.35"/>
    <n v="8254.49"/>
    <n v="6791.86"/>
    <s v="Credit Card"/>
    <n v="0.45139585347941524"/>
  </r>
  <r>
    <s v="ORD-2025-1338"/>
    <x v="261"/>
    <x v="2"/>
    <s v="Hyderabad"/>
    <x v="0"/>
    <x v="0"/>
    <x v="1"/>
    <n v="5"/>
    <n v="13813.84"/>
    <n v="0.05"/>
    <n v="65615.740000000005"/>
    <n v="39842.559999999998"/>
    <n v="25773.18"/>
    <s v="Cash"/>
    <n v="0.39278959591098112"/>
  </r>
  <r>
    <s v="ORD-2025-1339"/>
    <x v="32"/>
    <x v="2"/>
    <s v="Hyderabad"/>
    <x v="2"/>
    <x v="7"/>
    <x v="0"/>
    <n v="7"/>
    <n v="8575.16"/>
    <n v="0.1"/>
    <n v="54023.51"/>
    <n v="34337.379999999997"/>
    <n v="19686.13"/>
    <s v="Bank Transfer"/>
    <n v="0.36439931429853412"/>
  </r>
  <r>
    <s v="ORD-2025-1340"/>
    <x v="88"/>
    <x v="2"/>
    <s v="Hyderabad"/>
    <x v="2"/>
    <x v="7"/>
    <x v="0"/>
    <n v="5"/>
    <n v="8041.55"/>
    <n v="0"/>
    <n v="40207.75"/>
    <n v="24318.61"/>
    <n v="15889.14"/>
    <s v="Cash"/>
    <n v="0.39517605436762809"/>
  </r>
  <r>
    <s v="ORD-2025-1341"/>
    <x v="248"/>
    <x v="2"/>
    <s v="Quetta"/>
    <x v="3"/>
    <x v="8"/>
    <x v="1"/>
    <n v="3"/>
    <n v="11160.09"/>
    <n v="0.15"/>
    <n v="28458.23"/>
    <n v="19426.91"/>
    <n v="9031.32"/>
    <s v="Bank Transfer"/>
    <n v="0.31735353885325968"/>
  </r>
  <r>
    <s v="ORD-2025-1342"/>
    <x v="150"/>
    <x v="2"/>
    <s v="Karachi"/>
    <x v="1"/>
    <x v="2"/>
    <x v="6"/>
    <n v="5"/>
    <n v="131198.71"/>
    <n v="0.1"/>
    <n v="590394.18999999994"/>
    <n v="491242.14"/>
    <n v="99152.05"/>
    <s v="Credit Card"/>
    <n v="0.16794211677455703"/>
  </r>
  <r>
    <s v="ORD-2025-1343"/>
    <x v="243"/>
    <x v="2"/>
    <s v="Karachi"/>
    <x v="0"/>
    <x v="1"/>
    <x v="0"/>
    <n v="3"/>
    <n v="86145.17"/>
    <n v="0"/>
    <n v="258435.51"/>
    <n v="211304.95"/>
    <n v="47130.559999999998"/>
    <s v="Bank Transfer"/>
    <n v="0.18236874646212509"/>
  </r>
  <r>
    <s v="ORD-2025-1344"/>
    <x v="266"/>
    <x v="2"/>
    <s v="Hyderabad"/>
    <x v="0"/>
    <x v="15"/>
    <x v="1"/>
    <n v="6"/>
    <n v="54087.08"/>
    <n v="0.05"/>
    <n v="308296.36"/>
    <n v="218570.58"/>
    <n v="89725.78"/>
    <s v="Digital Wallet"/>
    <n v="0.29103742905041113"/>
  </r>
  <r>
    <s v="ORD-2025-1345"/>
    <x v="133"/>
    <x v="0"/>
    <s v="Lahore"/>
    <x v="0"/>
    <x v="1"/>
    <x v="6"/>
    <n v="8"/>
    <n v="86981.37"/>
    <n v="0.05"/>
    <n v="661058.41"/>
    <n v="536339.25"/>
    <n v="124719.16"/>
    <s v="Cash"/>
    <n v="0.1886658699342468"/>
  </r>
  <r>
    <s v="ORD-2025-1346"/>
    <x v="346"/>
    <x v="0"/>
    <s v="Multan"/>
    <x v="2"/>
    <x v="7"/>
    <x v="2"/>
    <n v="1"/>
    <n v="7877.36"/>
    <n v="0"/>
    <n v="7877.36"/>
    <n v="5078.84"/>
    <n v="2798.52"/>
    <s v="Bank Transfer"/>
    <n v="0.35526115348289278"/>
  </r>
  <r>
    <s v="ORD-2025-1347"/>
    <x v="174"/>
    <x v="2"/>
    <s v="Quetta"/>
    <x v="3"/>
    <x v="13"/>
    <x v="0"/>
    <n v="5"/>
    <n v="6491.92"/>
    <n v="0.15"/>
    <n v="27590.66"/>
    <n v="18360.580000000002"/>
    <n v="9230.08"/>
    <s v="Cash"/>
    <n v="0.33453639746203967"/>
  </r>
  <r>
    <s v="ORD-2025-1348"/>
    <x v="95"/>
    <x v="1"/>
    <s v="Peshawar"/>
    <x v="0"/>
    <x v="1"/>
    <x v="2"/>
    <n v="4"/>
    <n v="93217.919999999998"/>
    <n v="0"/>
    <n v="372871.67999999999"/>
    <n v="270492.21999999997"/>
    <n v="102379.46"/>
    <s v="Credit Card"/>
    <n v="0.27457022212038201"/>
  </r>
  <r>
    <s v="ORD-2025-1349"/>
    <x v="9"/>
    <x v="2"/>
    <s v="Karachi"/>
    <x v="2"/>
    <x v="11"/>
    <x v="3"/>
    <n v="5"/>
    <n v="41387.65"/>
    <n v="0.05"/>
    <n v="196591.34"/>
    <n v="155893.04"/>
    <n v="40698.300000000003"/>
    <s v="Bank Transfer"/>
    <n v="0.20701980056700364"/>
  </r>
  <r>
    <s v="ORD-2025-1350"/>
    <x v="198"/>
    <x v="2"/>
    <s v="Karachi"/>
    <x v="1"/>
    <x v="3"/>
    <x v="1"/>
    <n v="7"/>
    <n v="25354.799999999999"/>
    <n v="0.05"/>
    <n v="168609.42"/>
    <n v="126203.55"/>
    <n v="42405.87"/>
    <s v="Credit Card"/>
    <n v="0.25150356367989402"/>
  </r>
  <r>
    <s v="ORD-2025-1351"/>
    <x v="22"/>
    <x v="1"/>
    <s v="Islamabad"/>
    <x v="0"/>
    <x v="15"/>
    <x v="4"/>
    <n v="2"/>
    <n v="54020.21"/>
    <n v="0"/>
    <n v="108040.42"/>
    <n v="71832.73"/>
    <n v="36207.69"/>
    <s v="Credit Card"/>
    <n v="0.33513096302291312"/>
  </r>
  <r>
    <s v="ORD-2025-1352"/>
    <x v="332"/>
    <x v="0"/>
    <s v="Faisalabad"/>
    <x v="1"/>
    <x v="4"/>
    <x v="3"/>
    <n v="1"/>
    <n v="25079.49"/>
    <n v="0"/>
    <n v="25079.49"/>
    <n v="15952.93"/>
    <n v="9126.56"/>
    <s v="Cash"/>
    <n v="0.36390532662346797"/>
  </r>
  <r>
    <s v="ORD-2025-1353"/>
    <x v="325"/>
    <x v="2"/>
    <s v="Karachi"/>
    <x v="2"/>
    <x v="5"/>
    <x v="7"/>
    <n v="6"/>
    <n v="27160.97"/>
    <n v="0.15"/>
    <n v="138520.95000000001"/>
    <n v="113680.8"/>
    <n v="24840.15"/>
    <s v="Digital Wallet"/>
    <n v="0.17932413833430971"/>
  </r>
  <r>
    <s v="ORD-2025-1354"/>
    <x v="208"/>
    <x v="0"/>
    <s v="Lahore"/>
    <x v="3"/>
    <x v="14"/>
    <x v="0"/>
    <n v="5"/>
    <n v="5445.44"/>
    <n v="0.15"/>
    <n v="23143.119999999999"/>
    <n v="13905.2"/>
    <n v="9237.92"/>
    <s v="Cash"/>
    <n v="0.39916484899183863"/>
  </r>
  <r>
    <s v="ORD-2025-1356"/>
    <x v="285"/>
    <x v="1"/>
    <s v="Rawalpindi"/>
    <x v="2"/>
    <x v="5"/>
    <x v="6"/>
    <n v="7"/>
    <n v="29602.82"/>
    <n v="0.05"/>
    <n v="196858.75"/>
    <n v="129718.49"/>
    <n v="67140.259999999995"/>
    <s v="Bank Transfer"/>
    <n v="0.34105804288607944"/>
  </r>
  <r>
    <s v="ORD-2025-1357"/>
    <x v="354"/>
    <x v="1"/>
    <s v="Islamabad"/>
    <x v="1"/>
    <x v="12"/>
    <x v="6"/>
    <n v="5"/>
    <n v="32772.58"/>
    <n v="0"/>
    <n v="163862.9"/>
    <n v="110072.56"/>
    <n v="53790.34"/>
    <s v="Digital Wallet"/>
    <n v="0.32826429899629506"/>
  </r>
  <r>
    <s v="ORD-2025-1358"/>
    <x v="353"/>
    <x v="1"/>
    <s v="Islamabad"/>
    <x v="0"/>
    <x v="10"/>
    <x v="4"/>
    <n v="4"/>
    <n v="183675.24"/>
    <n v="0.1"/>
    <n v="661230.86"/>
    <n v="578589.96"/>
    <n v="82640.899999999994"/>
    <s v="Cash"/>
    <n v="0.12498040396965138"/>
  </r>
  <r>
    <s v="ORD-2025-1359"/>
    <x v="47"/>
    <x v="0"/>
    <s v="Multan"/>
    <x v="3"/>
    <x v="13"/>
    <x v="6"/>
    <n v="3"/>
    <n v="6204.09"/>
    <n v="0.05"/>
    <n v="17681.66"/>
    <n v="10988.58"/>
    <n v="6693.08"/>
    <s v="Digital Wallet"/>
    <n v="0.37853233237150813"/>
  </r>
  <r>
    <s v="ORD-2025-1360"/>
    <x v="236"/>
    <x v="2"/>
    <s v="Hyderabad"/>
    <x v="3"/>
    <x v="6"/>
    <x v="4"/>
    <n v="1"/>
    <n v="4251.58"/>
    <n v="0"/>
    <n v="4251.58"/>
    <n v="2133.52"/>
    <n v="2118.06"/>
    <s v="Digital Wallet"/>
    <n v="0.49818185239369833"/>
  </r>
  <r>
    <s v="ORD-2025-1361"/>
    <x v="1"/>
    <x v="1"/>
    <s v="Rawalpindi"/>
    <x v="0"/>
    <x v="0"/>
    <x v="6"/>
    <n v="4"/>
    <n v="13884.78"/>
    <n v="0.05"/>
    <n v="52762.16"/>
    <n v="33676.57"/>
    <n v="19085.59"/>
    <s v="Digital Wallet"/>
    <n v="0.36172874651075693"/>
  </r>
  <r>
    <s v="ORD-2025-1362"/>
    <x v="217"/>
    <x v="0"/>
    <s v="Multan"/>
    <x v="3"/>
    <x v="6"/>
    <x v="7"/>
    <n v="1"/>
    <n v="4056.54"/>
    <n v="0"/>
    <n v="4056.54"/>
    <n v="2124.91"/>
    <n v="1931.63"/>
    <s v="Credit Card"/>
    <n v="0.47617674175528901"/>
  </r>
  <r>
    <s v="ORD-2025-1363"/>
    <x v="359"/>
    <x v="2"/>
    <s v="Quetta"/>
    <x v="1"/>
    <x v="12"/>
    <x v="1"/>
    <n v="6"/>
    <n v="34241.83"/>
    <n v="0.05"/>
    <n v="195178.43"/>
    <n v="134796.17000000001"/>
    <n v="60382.26"/>
    <s v="Bank Transfer"/>
    <n v="0.30936953432815301"/>
  </r>
  <r>
    <s v="ORD-2025-1364"/>
    <x v="229"/>
    <x v="2"/>
    <s v="Hyderabad"/>
    <x v="1"/>
    <x v="12"/>
    <x v="0"/>
    <n v="8"/>
    <n v="33927.75"/>
    <n v="0.05"/>
    <n v="257850.9"/>
    <n v="179140.14"/>
    <n v="78710.759999999995"/>
    <s v="Bank Transfer"/>
    <n v="0.3052568751941529"/>
  </r>
  <r>
    <s v="ORD-2025-1365"/>
    <x v="181"/>
    <x v="1"/>
    <s v="Rawalpindi"/>
    <x v="1"/>
    <x v="4"/>
    <x v="2"/>
    <n v="8"/>
    <n v="25494.52"/>
    <n v="0.15"/>
    <n v="173362.74"/>
    <n v="124061.52"/>
    <n v="49301.22"/>
    <s v="Credit Card"/>
    <n v="0.28438186890677897"/>
  </r>
  <r>
    <s v="ORD-2025-1367"/>
    <x v="339"/>
    <x v="0"/>
    <s v="Lahore"/>
    <x v="0"/>
    <x v="0"/>
    <x v="7"/>
    <n v="3"/>
    <n v="15056.13"/>
    <n v="0.15"/>
    <n v="38393.129999999997"/>
    <n v="25084.19"/>
    <n v="13308.94"/>
    <s v="Cash"/>
    <n v="0.34664899683875738"/>
  </r>
  <r>
    <s v="ORD-2025-1368"/>
    <x v="140"/>
    <x v="2"/>
    <s v="Quetta"/>
    <x v="1"/>
    <x v="4"/>
    <x v="0"/>
    <n v="7"/>
    <n v="23398.76"/>
    <n v="0.05"/>
    <n v="155601.75"/>
    <n v="113087.16"/>
    <n v="42514.59"/>
    <s v="Credit Card"/>
    <n v="0.27322693992837482"/>
  </r>
  <r>
    <s v="ORD-2025-1369"/>
    <x v="137"/>
    <x v="0"/>
    <s v="Multan"/>
    <x v="3"/>
    <x v="6"/>
    <x v="5"/>
    <n v="4"/>
    <n v="4345.29"/>
    <n v="0.1"/>
    <n v="15643.04"/>
    <n v="8618.36"/>
    <n v="7024.68"/>
    <s v="Cash"/>
    <n v="0.44906105207172009"/>
  </r>
  <r>
    <s v="ORD-2025-1370"/>
    <x v="17"/>
    <x v="0"/>
    <s v="Faisalabad"/>
    <x v="2"/>
    <x v="7"/>
    <x v="6"/>
    <n v="5"/>
    <n v="8942.32"/>
    <n v="0.1"/>
    <n v="40240.44"/>
    <n v="24859.599999999999"/>
    <n v="15380.84"/>
    <s v="Cash"/>
    <n v="0.38222345481311831"/>
  </r>
  <r>
    <s v="ORD-2025-1371"/>
    <x v="332"/>
    <x v="1"/>
    <s v="Rawalpindi"/>
    <x v="0"/>
    <x v="1"/>
    <x v="7"/>
    <n v="3"/>
    <n v="96823.11"/>
    <n v="0.15"/>
    <n v="246898.93"/>
    <n v="198898.68"/>
    <n v="48000.25"/>
    <s v="Cash"/>
    <n v="0.19441254767689758"/>
  </r>
  <r>
    <s v="ORD-2025-1372"/>
    <x v="176"/>
    <x v="2"/>
    <s v="Hyderabad"/>
    <x v="3"/>
    <x v="13"/>
    <x v="7"/>
    <n v="5"/>
    <n v="6336.9"/>
    <n v="0.05"/>
    <n v="30100.27"/>
    <n v="17722.64"/>
    <n v="12377.63"/>
    <s v="Cash"/>
    <n v="0.41121325489771349"/>
  </r>
  <r>
    <s v="ORD-2025-1373"/>
    <x v="185"/>
    <x v="0"/>
    <s v="Faisalabad"/>
    <x v="0"/>
    <x v="15"/>
    <x v="0"/>
    <n v="6"/>
    <n v="50764.45"/>
    <n v="0.05"/>
    <n v="289357.36"/>
    <n v="223170.68"/>
    <n v="66186.679999999993"/>
    <s v="Digital Wallet"/>
    <n v="0.22873681180945249"/>
  </r>
  <r>
    <s v="ORD-2025-1374"/>
    <x v="130"/>
    <x v="0"/>
    <s v="Multan"/>
    <x v="1"/>
    <x v="4"/>
    <x v="7"/>
    <n v="1"/>
    <n v="24029.47"/>
    <n v="0.05"/>
    <n v="22828"/>
    <n v="16165.51"/>
    <n v="6662.49"/>
    <s v="Bank Transfer"/>
    <n v="0.2918560539688102"/>
  </r>
  <r>
    <s v="ORD-2025-1375"/>
    <x v="281"/>
    <x v="0"/>
    <s v="Lahore"/>
    <x v="0"/>
    <x v="1"/>
    <x v="7"/>
    <n v="2"/>
    <n v="91332.98"/>
    <n v="0.15"/>
    <n v="155266.07"/>
    <n v="135131.88"/>
    <n v="20134.189999999999"/>
    <s v="Cash"/>
    <n v="0.12967540171526204"/>
  </r>
  <r>
    <s v="ORD-2025-1376"/>
    <x v="258"/>
    <x v="2"/>
    <s v="Hyderabad"/>
    <x v="3"/>
    <x v="6"/>
    <x v="6"/>
    <n v="7"/>
    <n v="3927.81"/>
    <n v="0.15"/>
    <n v="23370.47"/>
    <n v="14391.11"/>
    <n v="8979.36"/>
    <s v="Digital Wallet"/>
    <n v="0.38421820357057435"/>
  </r>
  <r>
    <s v="ORD-2025-1377"/>
    <x v="3"/>
    <x v="1"/>
    <s v="Peshawar"/>
    <x v="2"/>
    <x v="7"/>
    <x v="6"/>
    <n v="5"/>
    <n v="8768.1"/>
    <n v="0.05"/>
    <n v="41648.47"/>
    <n v="25139.24"/>
    <n v="16509.23"/>
    <s v="Bank Transfer"/>
    <n v="0.39639463346432652"/>
  </r>
  <r>
    <s v="ORD-2025-1378"/>
    <x v="50"/>
    <x v="0"/>
    <s v="Lahore"/>
    <x v="3"/>
    <x v="6"/>
    <x v="2"/>
    <n v="8"/>
    <n v="4061.16"/>
    <n v="0"/>
    <n v="32489.279999999999"/>
    <n v="16342.82"/>
    <n v="16146.46"/>
    <s v="Digital Wallet"/>
    <n v="0.49697808015443862"/>
  </r>
  <r>
    <s v="ORD-2025-1379"/>
    <x v="235"/>
    <x v="1"/>
    <s v="Peshawar"/>
    <x v="2"/>
    <x v="11"/>
    <x v="5"/>
    <n v="4"/>
    <n v="42877.17"/>
    <n v="0"/>
    <n v="171508.68"/>
    <n v="120329.41"/>
    <n v="51179.27"/>
    <s v="Digital Wallet"/>
    <n v="0.2984062964043569"/>
  </r>
  <r>
    <s v="ORD-2025-1380"/>
    <x v="337"/>
    <x v="1"/>
    <s v="Rawalpindi"/>
    <x v="2"/>
    <x v="5"/>
    <x v="7"/>
    <n v="6"/>
    <n v="30166.98"/>
    <n v="0.1"/>
    <n v="162901.69"/>
    <n v="117327.4"/>
    <n v="45574.29"/>
    <s v="Cash"/>
    <n v="0.27976560586940502"/>
  </r>
  <r>
    <s v="ORD-2025-1381"/>
    <x v="96"/>
    <x v="1"/>
    <s v="Islamabad"/>
    <x v="2"/>
    <x v="5"/>
    <x v="6"/>
    <n v="1"/>
    <n v="28217.72"/>
    <n v="0.05"/>
    <n v="26806.83"/>
    <n v="19486.47"/>
    <n v="7320.36"/>
    <s v="Bank Transfer"/>
    <n v="0.27307816701937526"/>
  </r>
  <r>
    <s v="ORD-2025-1382"/>
    <x v="94"/>
    <x v="0"/>
    <s v="Multan"/>
    <x v="0"/>
    <x v="15"/>
    <x v="0"/>
    <n v="8"/>
    <n v="48119.03"/>
    <n v="0.05"/>
    <n v="365704.63"/>
    <n v="294630.84000000003"/>
    <n v="71073.789999999994"/>
    <s v="Cash"/>
    <n v="0.19434752576143211"/>
  </r>
  <r>
    <s v="ORD-2025-1383"/>
    <x v="346"/>
    <x v="1"/>
    <s v="Rawalpindi"/>
    <x v="1"/>
    <x v="4"/>
    <x v="0"/>
    <n v="7"/>
    <n v="24527.89"/>
    <n v="0"/>
    <n v="171695.23"/>
    <n v="114301.02"/>
    <n v="57394.21"/>
    <s v="Cash"/>
    <n v="0.33427958365529431"/>
  </r>
  <r>
    <s v="ORD-2025-1384"/>
    <x v="8"/>
    <x v="1"/>
    <s v="Islamabad"/>
    <x v="2"/>
    <x v="5"/>
    <x v="7"/>
    <n v="8"/>
    <n v="29228.97"/>
    <n v="0.1"/>
    <n v="210448.58"/>
    <n v="151412.09"/>
    <n v="59036.49"/>
    <s v="Cash"/>
    <n v="0.28052691065912633"/>
  </r>
  <r>
    <s v="ORD-2025-1385"/>
    <x v="308"/>
    <x v="0"/>
    <s v="Lahore"/>
    <x v="3"/>
    <x v="13"/>
    <x v="1"/>
    <n v="1"/>
    <n v="6221.54"/>
    <n v="0"/>
    <n v="6221.54"/>
    <n v="3567.69"/>
    <n v="2653.85"/>
    <s v="Cash"/>
    <n v="0.4265583762219643"/>
  </r>
  <r>
    <s v="ORD-2025-1386"/>
    <x v="346"/>
    <x v="2"/>
    <s v="Karachi"/>
    <x v="0"/>
    <x v="10"/>
    <x v="2"/>
    <n v="5"/>
    <n v="187532.96"/>
    <n v="0"/>
    <n v="937664.8"/>
    <n v="703776.2"/>
    <n v="233888.6"/>
    <s v="Credit Card"/>
    <n v="0.24943732557732784"/>
  </r>
  <r>
    <s v="ORD-2025-1387"/>
    <x v="348"/>
    <x v="2"/>
    <s v="Karachi"/>
    <x v="2"/>
    <x v="7"/>
    <x v="0"/>
    <n v="8"/>
    <n v="8471.08"/>
    <n v="0"/>
    <n v="67768.639999999999"/>
    <n v="38497.11"/>
    <n v="29271.53"/>
    <s v="Credit Card"/>
    <n v="0.43193326588817482"/>
  </r>
  <r>
    <s v="ORD-2025-1388"/>
    <x v="40"/>
    <x v="0"/>
    <s v="Lahore"/>
    <x v="2"/>
    <x v="11"/>
    <x v="1"/>
    <n v="8"/>
    <n v="43092.09"/>
    <n v="0"/>
    <n v="344736.72"/>
    <n v="250388.49"/>
    <n v="94348.23"/>
    <s v="Bank Transfer"/>
    <n v="0.27368198548735978"/>
  </r>
  <r>
    <s v="ORD-2025-1389"/>
    <x v="294"/>
    <x v="1"/>
    <s v="Rawalpindi"/>
    <x v="3"/>
    <x v="13"/>
    <x v="3"/>
    <n v="7"/>
    <n v="6024.63"/>
    <n v="0.05"/>
    <n v="40063.79"/>
    <n v="25821.03"/>
    <n v="14242.76"/>
    <s v="Bank Transfer"/>
    <n v="0.35550206308489535"/>
  </r>
  <r>
    <s v="ORD-2025-1390"/>
    <x v="102"/>
    <x v="2"/>
    <s v="Hyderabad"/>
    <x v="2"/>
    <x v="5"/>
    <x v="5"/>
    <n v="8"/>
    <n v="29023.919999999998"/>
    <n v="0.1"/>
    <n v="208972.22"/>
    <n v="156896.24"/>
    <n v="52075.98"/>
    <s v="Credit Card"/>
    <n v="0.24920049181656778"/>
  </r>
  <r>
    <s v="ORD-2025-1391"/>
    <x v="311"/>
    <x v="0"/>
    <s v="Multan"/>
    <x v="1"/>
    <x v="4"/>
    <x v="0"/>
    <n v="2"/>
    <n v="24236.35"/>
    <n v="0"/>
    <n v="48472.7"/>
    <n v="31575.1"/>
    <n v="16897.599999999999"/>
    <s v="Credit Card"/>
    <n v="0.3486003461742383"/>
  </r>
  <r>
    <s v="ORD-2025-1392"/>
    <x v="223"/>
    <x v="0"/>
    <s v="Lahore"/>
    <x v="1"/>
    <x v="3"/>
    <x v="4"/>
    <n v="7"/>
    <n v="26053.200000000001"/>
    <n v="0.15"/>
    <n v="155016.54"/>
    <n v="129336.08"/>
    <n v="25680.46"/>
    <s v="Bank Transfer"/>
    <n v="0.16566270928250623"/>
  </r>
  <r>
    <s v="ORD-2025-1393"/>
    <x v="175"/>
    <x v="2"/>
    <s v="Hyderabad"/>
    <x v="3"/>
    <x v="14"/>
    <x v="0"/>
    <n v="3"/>
    <n v="5174.4799999999996"/>
    <n v="0"/>
    <n v="15523.44"/>
    <n v="8249.0400000000009"/>
    <n v="7274.4"/>
    <s v="Bank Transfer"/>
    <n v="0.46860747360121208"/>
  </r>
  <r>
    <s v="ORD-2025-1394"/>
    <x v="204"/>
    <x v="0"/>
    <s v="Faisalabad"/>
    <x v="1"/>
    <x v="3"/>
    <x v="3"/>
    <n v="4"/>
    <n v="26192.38"/>
    <n v="0.05"/>
    <n v="99531.04"/>
    <n v="74412.38"/>
    <n v="25118.66"/>
    <s v="Bank Transfer"/>
    <n v="0.25237011489079186"/>
  </r>
  <r>
    <s v="ORD-2025-1395"/>
    <x v="207"/>
    <x v="2"/>
    <s v="Karachi"/>
    <x v="1"/>
    <x v="4"/>
    <x v="5"/>
    <n v="5"/>
    <n v="23574.53"/>
    <n v="0.05"/>
    <n v="111979.02"/>
    <n v="80333.36"/>
    <n v="31645.66"/>
    <s v="Bank Transfer"/>
    <n v="0.28260347340064235"/>
  </r>
  <r>
    <s v="ORD-2025-1396"/>
    <x v="157"/>
    <x v="1"/>
    <s v="Peshawar"/>
    <x v="1"/>
    <x v="3"/>
    <x v="4"/>
    <n v="4"/>
    <n v="28287.49"/>
    <n v="0.1"/>
    <n v="101834.96"/>
    <n v="72461.37"/>
    <n v="29373.59"/>
    <s v="Credit Card"/>
    <n v="0.28844308477167369"/>
  </r>
  <r>
    <s v="ORD-2025-1397"/>
    <x v="51"/>
    <x v="1"/>
    <s v="Peshawar"/>
    <x v="1"/>
    <x v="12"/>
    <x v="7"/>
    <n v="8"/>
    <n v="32339.99"/>
    <n v="0.05"/>
    <n v="245783.92"/>
    <n v="180702.73"/>
    <n v="65081.19"/>
    <s v="Bank Transfer"/>
    <n v="0.26479026780922038"/>
  </r>
  <r>
    <s v="ORD-2025-1398"/>
    <x v="336"/>
    <x v="1"/>
    <s v="Rawalpindi"/>
    <x v="0"/>
    <x v="0"/>
    <x v="0"/>
    <n v="2"/>
    <n v="15582.31"/>
    <n v="0.1"/>
    <n v="28048.16"/>
    <n v="17037.48"/>
    <n v="11010.68"/>
    <s v="Credit Card"/>
    <n v="0.39256336244516576"/>
  </r>
  <r>
    <s v="ORD-2025-1399"/>
    <x v="103"/>
    <x v="2"/>
    <s v="Hyderabad"/>
    <x v="3"/>
    <x v="8"/>
    <x v="7"/>
    <n v="7"/>
    <n v="10946.51"/>
    <n v="0"/>
    <n v="76625.570000000007"/>
    <n v="47261.32"/>
    <n v="29364.25"/>
    <s v="Cash"/>
    <n v="0.38321737769781022"/>
  </r>
  <r>
    <s v="ORD-2025-1400"/>
    <x v="269"/>
    <x v="2"/>
    <s v="Hyderabad"/>
    <x v="3"/>
    <x v="8"/>
    <x v="6"/>
    <n v="2"/>
    <n v="10837.1"/>
    <n v="0"/>
    <n v="21674.2"/>
    <n v="12938.81"/>
    <n v="8735.39"/>
    <s v="Cash"/>
    <n v="0.40303171512674052"/>
  </r>
  <r>
    <s v="ORD-2025-1401"/>
    <x v="28"/>
    <x v="2"/>
    <s v="Karachi"/>
    <x v="1"/>
    <x v="12"/>
    <x v="6"/>
    <n v="2"/>
    <n v="35247.949999999997"/>
    <n v="0.15"/>
    <n v="59921.51"/>
    <n v="44983.28"/>
    <n v="14938.23"/>
    <s v="Cash"/>
    <n v="0.24929662153039867"/>
  </r>
  <r>
    <s v="ORD-2025-1402"/>
    <x v="118"/>
    <x v="1"/>
    <s v="Rawalpindi"/>
    <x v="1"/>
    <x v="3"/>
    <x v="4"/>
    <n v="7"/>
    <n v="25879.74"/>
    <n v="0"/>
    <n v="181158.18"/>
    <n v="127673.51"/>
    <n v="53484.67"/>
    <s v="Bank Transfer"/>
    <n v="0.2952373997133334"/>
  </r>
  <r>
    <s v="ORD-2025-1403"/>
    <x v="136"/>
    <x v="1"/>
    <s v="Islamabad"/>
    <x v="0"/>
    <x v="0"/>
    <x v="6"/>
    <n v="4"/>
    <n v="13738.67"/>
    <n v="0.05"/>
    <n v="52206.95"/>
    <n v="32282.41"/>
    <n v="19924.54"/>
    <s v="Credit Card"/>
    <n v="0.38164535564709301"/>
  </r>
  <r>
    <s v="ORD-2025-1404"/>
    <x v="99"/>
    <x v="1"/>
    <s v="Peshawar"/>
    <x v="1"/>
    <x v="4"/>
    <x v="5"/>
    <n v="2"/>
    <n v="22915.08"/>
    <n v="0.05"/>
    <n v="43538.65"/>
    <n v="31140.79"/>
    <n v="12397.86"/>
    <s v="Credit Card"/>
    <n v="0.28475526916888788"/>
  </r>
  <r>
    <s v="ORD-2025-1405"/>
    <x v="50"/>
    <x v="1"/>
    <s v="Rawalpindi"/>
    <x v="0"/>
    <x v="10"/>
    <x v="1"/>
    <n v="4"/>
    <n v="190066.38"/>
    <n v="0.05"/>
    <n v="722252.24"/>
    <n v="574006.39"/>
    <n v="148245.85"/>
    <s v="Digital Wallet"/>
    <n v="0.20525495358795981"/>
  </r>
  <r>
    <s v="ORD-2025-1406"/>
    <x v="185"/>
    <x v="1"/>
    <s v="Islamabad"/>
    <x v="0"/>
    <x v="10"/>
    <x v="1"/>
    <n v="7"/>
    <n v="191287.78"/>
    <n v="0.05"/>
    <n v="1272063.74"/>
    <n v="974643.83"/>
    <n v="297419.90999999997"/>
    <s v="Cash"/>
    <n v="0.2338089677801837"/>
  </r>
  <r>
    <s v="ORD-2025-1407"/>
    <x v="299"/>
    <x v="0"/>
    <s v="Faisalabad"/>
    <x v="2"/>
    <x v="7"/>
    <x v="7"/>
    <n v="7"/>
    <n v="8893.84"/>
    <n v="0.1"/>
    <n v="56031.19"/>
    <n v="34092.839999999997"/>
    <n v="21938.35"/>
    <s v="Digital Wallet"/>
    <n v="0.39153817721879541"/>
  </r>
  <r>
    <s v="ORD-2025-1408"/>
    <x v="206"/>
    <x v="2"/>
    <s v="Quetta"/>
    <x v="2"/>
    <x v="9"/>
    <x v="1"/>
    <n v="3"/>
    <n v="39237.01"/>
    <n v="0.1"/>
    <n v="105939.93"/>
    <n v="80229.69"/>
    <n v="25710.240000000002"/>
    <s v="Credit Card"/>
    <n v="0.24268696420698035"/>
  </r>
  <r>
    <s v="ORD-2025-1409"/>
    <x v="257"/>
    <x v="2"/>
    <s v="Karachi"/>
    <x v="2"/>
    <x v="9"/>
    <x v="1"/>
    <n v="6"/>
    <n v="37423.019999999997"/>
    <n v="0"/>
    <n v="224538.12"/>
    <n v="159127.07999999999"/>
    <n v="65411.040000000001"/>
    <s v="Digital Wallet"/>
    <n v="0.29131374218328721"/>
  </r>
  <r>
    <s v="ORD-2025-1410"/>
    <x v="119"/>
    <x v="1"/>
    <s v="Peshawar"/>
    <x v="2"/>
    <x v="11"/>
    <x v="2"/>
    <n v="8"/>
    <n v="44465.919999999998"/>
    <n v="0"/>
    <n v="355727.35999999999"/>
    <n v="247310.78"/>
    <n v="108416.58"/>
    <s v="Digital Wallet"/>
    <n v="0.3047743642771813"/>
  </r>
  <r>
    <s v="ORD-2025-1411"/>
    <x v="300"/>
    <x v="1"/>
    <s v="Rawalpindi"/>
    <x v="3"/>
    <x v="14"/>
    <x v="2"/>
    <n v="7"/>
    <n v="4858.43"/>
    <n v="0.05"/>
    <n v="32308.560000000001"/>
    <n v="18793.71"/>
    <n v="13514.85"/>
    <s v="Bank Transfer"/>
    <n v="0.41830555122233859"/>
  </r>
  <r>
    <s v="ORD-2025-1412"/>
    <x v="337"/>
    <x v="2"/>
    <s v="Karachi"/>
    <x v="2"/>
    <x v="5"/>
    <x v="0"/>
    <n v="4"/>
    <n v="30077.32"/>
    <n v="0.05"/>
    <n v="114293.82"/>
    <n v="75659.520000000004"/>
    <n v="38634.300000000003"/>
    <s v="Credit Card"/>
    <n v="0.33802615049527612"/>
  </r>
  <r>
    <s v="ORD-2025-1413"/>
    <x v="358"/>
    <x v="1"/>
    <s v="Peshawar"/>
    <x v="0"/>
    <x v="0"/>
    <x v="5"/>
    <n v="2"/>
    <n v="14558.59"/>
    <n v="0.05"/>
    <n v="27661.32"/>
    <n v="16428.16"/>
    <n v="11233.16"/>
    <s v="Digital Wallet"/>
    <n v="0.40609631066051799"/>
  </r>
  <r>
    <s v="ORD-2025-1414"/>
    <x v="166"/>
    <x v="2"/>
    <s v="Karachi"/>
    <x v="2"/>
    <x v="7"/>
    <x v="6"/>
    <n v="5"/>
    <n v="8046.62"/>
    <n v="0"/>
    <n v="40233.1"/>
    <n v="24162.560000000001"/>
    <n v="16070.54"/>
    <s v="Credit Card"/>
    <n v="0.39943578794574619"/>
  </r>
  <r>
    <s v="ORD-2025-1415"/>
    <x v="320"/>
    <x v="2"/>
    <s v="Quetta"/>
    <x v="3"/>
    <x v="14"/>
    <x v="0"/>
    <n v="3"/>
    <n v="4980.5600000000004"/>
    <n v="0"/>
    <n v="14941.68"/>
    <n v="8198.69"/>
    <n v="6742.99"/>
    <s v="Cash"/>
    <n v="0.45128727157856408"/>
  </r>
  <r>
    <s v="ORD-2025-1416"/>
    <x v="122"/>
    <x v="2"/>
    <s v="Karachi"/>
    <x v="0"/>
    <x v="15"/>
    <x v="3"/>
    <n v="6"/>
    <n v="53857.09"/>
    <n v="0"/>
    <n v="323142.53999999998"/>
    <n v="220610.97"/>
    <n v="102531.57"/>
    <s v="Cash"/>
    <n v="0.3172951787777617"/>
  </r>
  <r>
    <s v="ORD-2025-1417"/>
    <x v="273"/>
    <x v="2"/>
    <s v="Karachi"/>
    <x v="1"/>
    <x v="2"/>
    <x v="5"/>
    <n v="1"/>
    <n v="132706.20000000001"/>
    <n v="0"/>
    <n v="132706.20000000001"/>
    <n v="98311.8"/>
    <n v="34394.400000000001"/>
    <s v="Credit Card"/>
    <n v="0.25917703920389551"/>
  </r>
  <r>
    <s v="ORD-2025-1418"/>
    <x v="208"/>
    <x v="0"/>
    <s v="Faisalabad"/>
    <x v="1"/>
    <x v="4"/>
    <x v="5"/>
    <n v="4"/>
    <n v="24323.38"/>
    <n v="0.15"/>
    <n v="82699.490000000005"/>
    <n v="61790.09"/>
    <n v="20909.400000000001"/>
    <s v="Cash"/>
    <n v="0.25283590019720797"/>
  </r>
  <r>
    <s v="ORD-2025-1419"/>
    <x v="144"/>
    <x v="1"/>
    <s v="Rawalpindi"/>
    <x v="2"/>
    <x v="11"/>
    <x v="1"/>
    <n v="5"/>
    <n v="42730.12"/>
    <n v="0.05"/>
    <n v="202968.07"/>
    <n v="157701.15"/>
    <n v="45266.92"/>
    <s v="Digital Wallet"/>
    <n v="0.22302483341345264"/>
  </r>
  <r>
    <s v="ORD-2025-1420"/>
    <x v="161"/>
    <x v="0"/>
    <s v="Multan"/>
    <x v="1"/>
    <x v="4"/>
    <x v="5"/>
    <n v="5"/>
    <n v="24592"/>
    <n v="0.05"/>
    <n v="116812"/>
    <n v="77552.929999999993"/>
    <n v="39259.07"/>
    <s v="Cash"/>
    <n v="0.33608764510495498"/>
  </r>
  <r>
    <s v="ORD-2025-1421"/>
    <x v="301"/>
    <x v="1"/>
    <s v="Islamabad"/>
    <x v="1"/>
    <x v="3"/>
    <x v="2"/>
    <n v="2"/>
    <n v="27450.99"/>
    <n v="0.05"/>
    <n v="52156.88"/>
    <n v="35884.080000000002"/>
    <n v="16272.8"/>
    <s v="Cash"/>
    <n v="0.31199719001596721"/>
  </r>
  <r>
    <s v="ORD-2025-1422"/>
    <x v="52"/>
    <x v="2"/>
    <s v="Hyderabad"/>
    <x v="2"/>
    <x v="11"/>
    <x v="5"/>
    <n v="4"/>
    <n v="42556.5"/>
    <n v="0.15"/>
    <n v="144692.1"/>
    <n v="126793.02"/>
    <n v="17899.080000000002"/>
    <s v="Bank Transfer"/>
    <n v="0.12370461137823005"/>
  </r>
  <r>
    <s v="ORD-2025-1423"/>
    <x v="42"/>
    <x v="2"/>
    <s v="Karachi"/>
    <x v="2"/>
    <x v="11"/>
    <x v="7"/>
    <n v="4"/>
    <n v="45777.21"/>
    <n v="0.05"/>
    <n v="173953.4"/>
    <n v="124505.21"/>
    <n v="49448.19"/>
    <s v="Bank Transfer"/>
    <n v="0.28426112970485201"/>
  </r>
  <r>
    <s v="ORD-2025-1424"/>
    <x v="205"/>
    <x v="1"/>
    <s v="Rawalpindi"/>
    <x v="2"/>
    <x v="7"/>
    <x v="4"/>
    <n v="1"/>
    <n v="8153.7"/>
    <n v="0"/>
    <n v="8153.7"/>
    <n v="5060.68"/>
    <n v="3093.02"/>
    <s v="Bank Transfer"/>
    <n v="0.37933944098998001"/>
  </r>
  <r>
    <s v="ORD-2025-1425"/>
    <x v="333"/>
    <x v="1"/>
    <s v="Rawalpindi"/>
    <x v="3"/>
    <x v="14"/>
    <x v="7"/>
    <n v="7"/>
    <n v="4849"/>
    <n v="0.05"/>
    <n v="32245.85"/>
    <n v="18802.37"/>
    <n v="13443.48"/>
    <s v="Cash"/>
    <n v="0.41690574135896558"/>
  </r>
  <r>
    <s v="ORD-2025-1426"/>
    <x v="205"/>
    <x v="2"/>
    <s v="Karachi"/>
    <x v="1"/>
    <x v="3"/>
    <x v="5"/>
    <n v="4"/>
    <n v="26180.68"/>
    <n v="0.1"/>
    <n v="94250.45"/>
    <n v="70676.36"/>
    <n v="23574.09"/>
    <s v="Bank Transfer"/>
    <n v="0.25012177660690216"/>
  </r>
  <r>
    <s v="ORD-2025-1427"/>
    <x v="99"/>
    <x v="1"/>
    <s v="Islamabad"/>
    <x v="2"/>
    <x v="9"/>
    <x v="2"/>
    <n v="1"/>
    <n v="37686.019999999997"/>
    <n v="0.05"/>
    <n v="35801.72"/>
    <n v="26673.29"/>
    <n v="9128.43"/>
    <s v="Bank Transfer"/>
    <n v="0.25497182816914943"/>
  </r>
  <r>
    <s v="ORD-2025-1428"/>
    <x v="73"/>
    <x v="2"/>
    <s v="Hyderabad"/>
    <x v="0"/>
    <x v="10"/>
    <x v="0"/>
    <n v="8"/>
    <n v="192651.38"/>
    <n v="0.05"/>
    <n v="1464150.49"/>
    <n v="1162644.6200000001"/>
    <n v="301505.87"/>
    <s v="Credit Card"/>
    <n v="0.20592546466996026"/>
  </r>
  <r>
    <s v="ORD-2025-1429"/>
    <x v="185"/>
    <x v="2"/>
    <s v="Hyderabad"/>
    <x v="3"/>
    <x v="8"/>
    <x v="4"/>
    <n v="3"/>
    <n v="10841.67"/>
    <n v="0"/>
    <n v="32525.01"/>
    <n v="19042.2"/>
    <n v="13482.81"/>
    <s v="Digital Wallet"/>
    <n v="0.41453669038072549"/>
  </r>
  <r>
    <s v="ORD-2025-1430"/>
    <x v="344"/>
    <x v="1"/>
    <s v="Islamabad"/>
    <x v="0"/>
    <x v="0"/>
    <x v="1"/>
    <n v="1"/>
    <n v="15552.26"/>
    <n v="0"/>
    <n v="15552.26"/>
    <n v="8194.15"/>
    <n v="7358.11"/>
    <s v="Credit Card"/>
    <n v="0.47312159133142062"/>
  </r>
  <r>
    <s v="ORD-2025-1431"/>
    <x v="23"/>
    <x v="2"/>
    <s v="Quetta"/>
    <x v="1"/>
    <x v="12"/>
    <x v="7"/>
    <n v="1"/>
    <n v="35592.620000000003"/>
    <n v="0"/>
    <n v="35592.620000000003"/>
    <n v="23177.67"/>
    <n v="12414.95"/>
    <s v="Cash"/>
    <n v="0.34880685939950473"/>
  </r>
  <r>
    <s v="ORD-2025-1432"/>
    <x v="175"/>
    <x v="1"/>
    <s v="Rawalpindi"/>
    <x v="2"/>
    <x v="7"/>
    <x v="2"/>
    <n v="2"/>
    <n v="7928.76"/>
    <n v="0.05"/>
    <n v="15064.64"/>
    <n v="10062.82"/>
    <n v="5001.82"/>
    <s v="Digital Wallet"/>
    <n v="0.3320238651570831"/>
  </r>
  <r>
    <s v="ORD-2025-1433"/>
    <x v="206"/>
    <x v="2"/>
    <s v="Quetta"/>
    <x v="1"/>
    <x v="3"/>
    <x v="4"/>
    <n v="3"/>
    <n v="27724.69"/>
    <n v="0.15"/>
    <n v="70697.960000000006"/>
    <n v="54609.37"/>
    <n v="16088.59"/>
    <s v="Credit Card"/>
    <n v="0.22756795245577099"/>
  </r>
  <r>
    <s v="ORD-2025-1434"/>
    <x v="44"/>
    <x v="1"/>
    <s v="Islamabad"/>
    <x v="3"/>
    <x v="14"/>
    <x v="6"/>
    <n v="5"/>
    <n v="5057.0200000000004"/>
    <n v="0.1"/>
    <n v="22756.59"/>
    <n v="13379.04"/>
    <n v="9377.5499999999993"/>
    <s v="Bank Transfer"/>
    <n v="0.41208063246734239"/>
  </r>
  <r>
    <s v="ORD-2025-1435"/>
    <x v="306"/>
    <x v="2"/>
    <s v="Karachi"/>
    <x v="2"/>
    <x v="5"/>
    <x v="0"/>
    <n v="4"/>
    <n v="30236.2"/>
    <n v="0"/>
    <n v="120944.8"/>
    <n v="76190.33"/>
    <n v="44754.47"/>
    <s v="Bank Transfer"/>
    <n v="0.37004046474093966"/>
  </r>
  <r>
    <s v="ORD-2025-1436"/>
    <x v="237"/>
    <x v="2"/>
    <s v="Quetta"/>
    <x v="3"/>
    <x v="14"/>
    <x v="0"/>
    <n v="6"/>
    <n v="5032.84"/>
    <n v="0"/>
    <n v="30197.040000000001"/>
    <n v="15898.21"/>
    <n v="14298.83"/>
    <s v="Bank Transfer"/>
    <n v="0.47351760304983531"/>
  </r>
  <r>
    <s v="ORD-2025-1437"/>
    <x v="85"/>
    <x v="1"/>
    <s v="Rawalpindi"/>
    <x v="3"/>
    <x v="14"/>
    <x v="0"/>
    <n v="3"/>
    <n v="5128.63"/>
    <n v="0"/>
    <n v="15385.89"/>
    <n v="8046.26"/>
    <n v="7339.63"/>
    <s v="Bank Transfer"/>
    <n v="0.477036427531979"/>
  </r>
  <r>
    <s v="ORD-2025-1438"/>
    <x v="83"/>
    <x v="1"/>
    <s v="Rawalpindi"/>
    <x v="3"/>
    <x v="14"/>
    <x v="5"/>
    <n v="4"/>
    <n v="5121.22"/>
    <n v="0"/>
    <n v="20484.88"/>
    <n v="10692.57"/>
    <n v="9792.31"/>
    <s v="Bank Transfer"/>
    <n v="0.47802623203064892"/>
  </r>
  <r>
    <s v="ORD-2025-1439"/>
    <x v="309"/>
    <x v="1"/>
    <s v="Peshawar"/>
    <x v="1"/>
    <x v="4"/>
    <x v="5"/>
    <n v="2"/>
    <n v="22934.59"/>
    <n v="0"/>
    <n v="45869.18"/>
    <n v="32413.18"/>
    <n v="13456"/>
    <s v="Digital Wallet"/>
    <n v="0.29335601813679685"/>
  </r>
  <r>
    <s v="ORD-2025-1440"/>
    <x v="81"/>
    <x v="2"/>
    <s v="Karachi"/>
    <x v="2"/>
    <x v="11"/>
    <x v="2"/>
    <n v="1"/>
    <n v="42801.91"/>
    <n v="0"/>
    <n v="42801.91"/>
    <n v="30359.66"/>
    <n v="12442.25"/>
    <s v="Cash"/>
    <n v="0.29069380315037341"/>
  </r>
  <r>
    <s v="ORD-2025-1441"/>
    <x v="28"/>
    <x v="1"/>
    <s v="Islamabad"/>
    <x v="1"/>
    <x v="3"/>
    <x v="6"/>
    <n v="2"/>
    <n v="25008.23"/>
    <n v="0.1"/>
    <n v="45014.81"/>
    <n v="35127.51"/>
    <n v="9887.2999999999993"/>
    <s v="Credit Card"/>
    <n v="0.21964549000651118"/>
  </r>
  <r>
    <s v="ORD-2025-1442"/>
    <x v="287"/>
    <x v="1"/>
    <s v="Rawalpindi"/>
    <x v="3"/>
    <x v="13"/>
    <x v="4"/>
    <n v="5"/>
    <n v="6597.1"/>
    <n v="0.1"/>
    <n v="29686.95"/>
    <n v="18514.43"/>
    <n v="11172.52"/>
    <s v="Credit Card"/>
    <n v="0.37634448806630522"/>
  </r>
  <r>
    <s v="ORD-2025-1443"/>
    <x v="153"/>
    <x v="1"/>
    <s v="Rawalpindi"/>
    <x v="1"/>
    <x v="12"/>
    <x v="1"/>
    <n v="2"/>
    <n v="32981.07"/>
    <n v="0"/>
    <n v="65962.14"/>
    <n v="45820.45"/>
    <n v="20141.689999999999"/>
    <s v="Bank Transfer"/>
    <n v="0.3053522823850166"/>
  </r>
  <r>
    <s v="ORD-2025-1444"/>
    <x v="272"/>
    <x v="0"/>
    <s v="Lahore"/>
    <x v="3"/>
    <x v="14"/>
    <x v="1"/>
    <n v="6"/>
    <n v="5575.82"/>
    <n v="0.05"/>
    <n v="31782.17"/>
    <n v="16047"/>
    <n v="15735.17"/>
    <s v="Digital Wallet"/>
    <n v="0.49509426197141354"/>
  </r>
  <r>
    <s v="ORD-2025-1445"/>
    <x v="10"/>
    <x v="1"/>
    <s v="Rawalpindi"/>
    <x v="1"/>
    <x v="12"/>
    <x v="6"/>
    <n v="4"/>
    <n v="32795.589999999997"/>
    <n v="0.15"/>
    <n v="111505.01"/>
    <n v="88277.88"/>
    <n v="23227.13"/>
    <s v="Cash"/>
    <n v="0.20830570751933031"/>
  </r>
  <r>
    <s v="ORD-2025-1446"/>
    <x v="140"/>
    <x v="1"/>
    <s v="Islamabad"/>
    <x v="3"/>
    <x v="6"/>
    <x v="2"/>
    <n v="3"/>
    <n v="4349.7"/>
    <n v="0.05"/>
    <n v="12396.64"/>
    <n v="6450.73"/>
    <n v="5945.91"/>
    <s v="Credit Card"/>
    <n v="0.47963883762051651"/>
  </r>
  <r>
    <s v="ORD-2025-1447"/>
    <x v="71"/>
    <x v="0"/>
    <s v="Faisalabad"/>
    <x v="3"/>
    <x v="14"/>
    <x v="4"/>
    <n v="2"/>
    <n v="5557.65"/>
    <n v="0.15"/>
    <n v="9448"/>
    <n v="5594.29"/>
    <n v="3853.71"/>
    <s v="Credit Card"/>
    <n v="0.40788632514817952"/>
  </r>
  <r>
    <s v="ORD-2025-1448"/>
    <x v="153"/>
    <x v="2"/>
    <s v="Quetta"/>
    <x v="0"/>
    <x v="0"/>
    <x v="4"/>
    <n v="3"/>
    <n v="14246.64"/>
    <n v="0.05"/>
    <n v="40602.92"/>
    <n v="23975.75"/>
    <n v="16627.169999999998"/>
    <s v="Digital Wallet"/>
    <n v="0.40950675468660874"/>
  </r>
  <r>
    <s v="ORD-2025-1449"/>
    <x v="106"/>
    <x v="1"/>
    <s v="Rawalpindi"/>
    <x v="3"/>
    <x v="14"/>
    <x v="1"/>
    <n v="6"/>
    <n v="5158.08"/>
    <n v="0.05"/>
    <n v="29401.06"/>
    <n v="16559.150000000001"/>
    <n v="12841.91"/>
    <s v="Bank Transfer"/>
    <n v="0.4367839118725651"/>
  </r>
  <r>
    <s v="ORD-2025-1450"/>
    <x v="339"/>
    <x v="0"/>
    <s v="Multan"/>
    <x v="2"/>
    <x v="11"/>
    <x v="5"/>
    <n v="3"/>
    <n v="46125.51"/>
    <n v="0.05"/>
    <n v="131457.70000000001"/>
    <n v="90816.84"/>
    <n v="40640.86"/>
    <s v="Cash"/>
    <n v="0.30915541653322703"/>
  </r>
  <r>
    <s v="ORD-2025-1451"/>
    <x v="309"/>
    <x v="1"/>
    <s v="Islamabad"/>
    <x v="3"/>
    <x v="8"/>
    <x v="2"/>
    <n v="4"/>
    <n v="11906.24"/>
    <n v="0.05"/>
    <n v="45243.71"/>
    <n v="25289.98"/>
    <n v="19953.73"/>
    <s v="Bank Transfer"/>
    <n v="0.4410277141286601"/>
  </r>
  <r>
    <s v="ORD-2025-1452"/>
    <x v="305"/>
    <x v="0"/>
    <s v="Faisalabad"/>
    <x v="1"/>
    <x v="2"/>
    <x v="2"/>
    <n v="2"/>
    <n v="134628.44"/>
    <n v="0.1"/>
    <n v="242331.19"/>
    <n v="198792.23"/>
    <n v="43538.96"/>
    <s v="Bank Transfer"/>
    <n v="0.17966717367252644"/>
  </r>
  <r>
    <s v="ORD-2025-1453"/>
    <x v="4"/>
    <x v="0"/>
    <s v="Faisalabad"/>
    <x v="2"/>
    <x v="7"/>
    <x v="7"/>
    <n v="1"/>
    <n v="8438.74"/>
    <n v="0.15"/>
    <n v="7172.93"/>
    <n v="4955.7"/>
    <n v="2217.23"/>
    <s v="Cash"/>
    <n v="0.30911078178652235"/>
  </r>
  <r>
    <s v="ORD-2025-1454"/>
    <x v="342"/>
    <x v="2"/>
    <s v="Hyderabad"/>
    <x v="0"/>
    <x v="15"/>
    <x v="3"/>
    <n v="2"/>
    <n v="51787.99"/>
    <n v="0.05"/>
    <n v="98397.18"/>
    <n v="75557.440000000002"/>
    <n v="22839.74"/>
    <s v="Bank Transfer"/>
    <n v="0.23211783101914102"/>
  </r>
  <r>
    <s v="ORD-2025-1455"/>
    <x v="228"/>
    <x v="0"/>
    <s v="Lahore"/>
    <x v="3"/>
    <x v="8"/>
    <x v="4"/>
    <n v="5"/>
    <n v="12220.38"/>
    <n v="0"/>
    <n v="61101.9"/>
    <n v="33383.08"/>
    <n v="27718.82"/>
    <s v="Digital Wallet"/>
    <n v="0.45364906819591533"/>
  </r>
  <r>
    <s v="ORD-2025-1456"/>
    <x v="336"/>
    <x v="2"/>
    <s v="Karachi"/>
    <x v="2"/>
    <x v="11"/>
    <x v="1"/>
    <n v="4"/>
    <n v="46109.82"/>
    <n v="0.05"/>
    <n v="175217.32"/>
    <n v="122354.35"/>
    <n v="52862.97"/>
    <s v="Cash"/>
    <n v="0.30169945528216047"/>
  </r>
  <r>
    <s v="ORD-2025-1457"/>
    <x v="359"/>
    <x v="1"/>
    <s v="Rawalpindi"/>
    <x v="3"/>
    <x v="13"/>
    <x v="3"/>
    <n v="5"/>
    <n v="6779.66"/>
    <n v="0.15"/>
    <n v="28813.56"/>
    <n v="17524.509999999998"/>
    <n v="11289.05"/>
    <s v="Bank Transfer"/>
    <n v="0.39179643195773095"/>
  </r>
  <r>
    <s v="ORD-2025-1458"/>
    <x v="176"/>
    <x v="1"/>
    <s v="Islamabad"/>
    <x v="3"/>
    <x v="8"/>
    <x v="0"/>
    <n v="3"/>
    <n v="11582.92"/>
    <n v="0"/>
    <n v="34748.76"/>
    <n v="18934.400000000001"/>
    <n v="15814.36"/>
    <s v="Bank Transfer"/>
    <n v="0.45510573614713157"/>
  </r>
  <r>
    <s v="ORD-2025-1459"/>
    <x v="134"/>
    <x v="0"/>
    <s v="Lahore"/>
    <x v="3"/>
    <x v="13"/>
    <x v="4"/>
    <n v="2"/>
    <n v="6115.07"/>
    <n v="0.15"/>
    <n v="10395.620000000001"/>
    <n v="7352.43"/>
    <n v="3043.19"/>
    <s v="Bank Transfer"/>
    <n v="0.29273771068969429"/>
  </r>
  <r>
    <s v="ORD-2025-1460"/>
    <x v="194"/>
    <x v="2"/>
    <s v="Karachi"/>
    <x v="3"/>
    <x v="6"/>
    <x v="0"/>
    <n v="3"/>
    <n v="4106.88"/>
    <n v="0.05"/>
    <n v="11704.61"/>
    <n v="6247.49"/>
    <n v="5457.12"/>
    <s v="Cash"/>
    <n v="0.46623680754847874"/>
  </r>
  <r>
    <s v="ORD-2025-1461"/>
    <x v="128"/>
    <x v="1"/>
    <s v="Islamabad"/>
    <x v="0"/>
    <x v="1"/>
    <x v="7"/>
    <n v="2"/>
    <n v="96101.95"/>
    <n v="0.05"/>
    <n v="182593.7"/>
    <n v="141108.17000000001"/>
    <n v="41485.53"/>
    <s v="Bank Transfer"/>
    <n v="0.22720132184188171"/>
  </r>
  <r>
    <s v="ORD-2025-1462"/>
    <x v="121"/>
    <x v="1"/>
    <s v="Peshawar"/>
    <x v="3"/>
    <x v="13"/>
    <x v="0"/>
    <n v="8"/>
    <n v="6674.72"/>
    <n v="0.05"/>
    <n v="50727.87"/>
    <n v="29519.56"/>
    <n v="21208.31"/>
    <s v="Bank Transfer"/>
    <n v="0.41808004160237755"/>
  </r>
  <r>
    <s v="ORD-2025-1464"/>
    <x v="223"/>
    <x v="1"/>
    <s v="Rawalpindi"/>
    <x v="2"/>
    <x v="5"/>
    <x v="1"/>
    <n v="8"/>
    <n v="30739.48"/>
    <n v="0.15"/>
    <n v="209028.46"/>
    <n v="151178.71"/>
    <n v="57849.75"/>
    <s v="Digital Wallet"/>
    <n v="0.27675537579906584"/>
  </r>
  <r>
    <s v="ORD-2025-1465"/>
    <x v="351"/>
    <x v="1"/>
    <s v="Peshawar"/>
    <x v="3"/>
    <x v="6"/>
    <x v="0"/>
    <n v="3"/>
    <n v="3991.78"/>
    <n v="0.15"/>
    <n v="10179.040000000001"/>
    <n v="6324.19"/>
    <n v="3854.85"/>
    <s v="Credit Card"/>
    <n v="0.37870467156038284"/>
  </r>
  <r>
    <s v="ORD-2025-1466"/>
    <x v="73"/>
    <x v="0"/>
    <s v="Faisalabad"/>
    <x v="3"/>
    <x v="14"/>
    <x v="7"/>
    <n v="6"/>
    <n v="5318.58"/>
    <n v="0"/>
    <n v="31911.48"/>
    <n v="16734.57"/>
    <n v="15176.91"/>
    <s v="Credit Card"/>
    <n v="0.47559404953953877"/>
  </r>
  <r>
    <s v="ORD-2025-1467"/>
    <x v="14"/>
    <x v="1"/>
    <s v="Peshawar"/>
    <x v="1"/>
    <x v="2"/>
    <x v="2"/>
    <n v="6"/>
    <n v="138212.28"/>
    <n v="0.05"/>
    <n v="787810"/>
    <n v="619623.66"/>
    <n v="168186.34"/>
    <s v="Digital Wallet"/>
    <n v="0.21348591665503103"/>
  </r>
  <r>
    <s v="ORD-2025-1468"/>
    <x v="223"/>
    <x v="1"/>
    <s v="Islamabad"/>
    <x v="0"/>
    <x v="10"/>
    <x v="0"/>
    <n v="3"/>
    <n v="184213.52"/>
    <n v="0.1"/>
    <n v="497376.5"/>
    <n v="442924.77"/>
    <n v="54451.73"/>
    <s v="Cash"/>
    <n v="0.10947789049140842"/>
  </r>
  <r>
    <s v="ORD-2025-1470"/>
    <x v="161"/>
    <x v="2"/>
    <s v="Karachi"/>
    <x v="1"/>
    <x v="3"/>
    <x v="4"/>
    <n v="7"/>
    <n v="29079.26"/>
    <n v="0.1"/>
    <n v="183199.34"/>
    <n v="125428.59"/>
    <n v="57770.75"/>
    <s v="Bank Transfer"/>
    <n v="0.3153436578974575"/>
  </r>
  <r>
    <s v="ORD-2025-1471"/>
    <x v="356"/>
    <x v="2"/>
    <s v="Karachi"/>
    <x v="0"/>
    <x v="0"/>
    <x v="0"/>
    <n v="6"/>
    <n v="13768.68"/>
    <n v="0"/>
    <n v="82612.08"/>
    <n v="50718.57"/>
    <n v="31893.51"/>
    <s v="Bank Transfer"/>
    <n v="0.38606351516630494"/>
  </r>
  <r>
    <s v="ORD-2025-1472"/>
    <x v="238"/>
    <x v="1"/>
    <s v="Islamabad"/>
    <x v="1"/>
    <x v="3"/>
    <x v="0"/>
    <n v="6"/>
    <n v="28677.919999999998"/>
    <n v="0"/>
    <n v="172067.52"/>
    <n v="109117.67"/>
    <n v="62949.85"/>
    <s v="Credit Card"/>
    <n v="0.3658438850051422"/>
  </r>
  <r>
    <s v="ORD-2025-1473"/>
    <x v="67"/>
    <x v="1"/>
    <s v="Rawalpindi"/>
    <x v="1"/>
    <x v="2"/>
    <x v="6"/>
    <n v="5"/>
    <n v="143776.5"/>
    <n v="0.15"/>
    <n v="611050.12"/>
    <n v="500368.25"/>
    <n v="110681.87"/>
    <s v="Bank Transfer"/>
    <n v="0.18113386509113197"/>
  </r>
  <r>
    <s v="ORD-2025-1474"/>
    <x v="55"/>
    <x v="2"/>
    <s v="Karachi"/>
    <x v="1"/>
    <x v="3"/>
    <x v="6"/>
    <n v="1"/>
    <n v="25431.37"/>
    <n v="0"/>
    <n v="25431.37"/>
    <n v="18655.72"/>
    <n v="6775.65"/>
    <s v="Cash"/>
    <n v="0.26642882392887207"/>
  </r>
  <r>
    <s v="ORD-2025-1475"/>
    <x v="311"/>
    <x v="2"/>
    <s v="Karachi"/>
    <x v="3"/>
    <x v="8"/>
    <x v="3"/>
    <n v="7"/>
    <n v="11577.21"/>
    <n v="0.05"/>
    <n v="76988.45"/>
    <n v="44640.800000000003"/>
    <n v="32347.65"/>
    <s v="Cash"/>
    <n v="0.42016237500560155"/>
  </r>
  <r>
    <s v="ORD-2025-1476"/>
    <x v="134"/>
    <x v="2"/>
    <s v="Karachi"/>
    <x v="2"/>
    <x v="11"/>
    <x v="3"/>
    <n v="1"/>
    <n v="42795.77"/>
    <n v="0.15"/>
    <n v="36376.400000000001"/>
    <n v="31606.71"/>
    <n v="4769.6899999999996"/>
    <s v="Digital Wallet"/>
    <n v="0.13112045172144576"/>
  </r>
  <r>
    <s v="ORD-2025-1477"/>
    <x v="129"/>
    <x v="1"/>
    <s v="Peshawar"/>
    <x v="1"/>
    <x v="12"/>
    <x v="1"/>
    <n v="8"/>
    <n v="33251.14"/>
    <n v="0"/>
    <n v="266009.12"/>
    <n v="180014.51"/>
    <n v="85994.61"/>
    <s v="Credit Card"/>
    <n v="0.32327692373855454"/>
  </r>
  <r>
    <s v="ORD-2025-1478"/>
    <x v="345"/>
    <x v="0"/>
    <s v="Faisalabad"/>
    <x v="1"/>
    <x v="12"/>
    <x v="4"/>
    <n v="7"/>
    <n v="35501.25"/>
    <n v="0.05"/>
    <n v="236083.31"/>
    <n v="162815.98000000001"/>
    <n v="73267.33"/>
    <s v="Credit Card"/>
    <n v="0.31034523363807465"/>
  </r>
  <r>
    <s v="ORD-2025-1479"/>
    <x v="17"/>
    <x v="0"/>
    <s v="Lahore"/>
    <x v="3"/>
    <x v="8"/>
    <x v="4"/>
    <n v="8"/>
    <n v="10582.67"/>
    <n v="0"/>
    <n v="84661.36"/>
    <n v="51916.18"/>
    <n v="32745.18"/>
    <s v="Credit Card"/>
    <n v="0.38677833665795114"/>
  </r>
  <r>
    <s v="ORD-2025-1480"/>
    <x v="360"/>
    <x v="0"/>
    <s v="Lahore"/>
    <x v="0"/>
    <x v="1"/>
    <x v="0"/>
    <n v="3"/>
    <n v="95106.92"/>
    <n v="0.5"/>
    <n v="285320.76"/>
    <n v="212133.51"/>
    <n v="73187.25"/>
    <s v="Digital Wallet"/>
    <n v="0.2565086746579533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C15C2CC-7021-4343-9659-E9FF20516B87}" name="PivotTable5"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A48:B53" firstHeaderRow="1" firstDataRow="1" firstDataCol="1"/>
  <pivotFields count="15">
    <pivotField showAll="0"/>
    <pivotField numFmtId="14" showAll="0"/>
    <pivotField showAll="0">
      <items count="4">
        <item x="0"/>
        <item x="1"/>
        <item x="2"/>
        <item t="default"/>
      </items>
    </pivotField>
    <pivotField showAll="0"/>
    <pivotField axis="axisRow" showAll="0">
      <items count="5">
        <item x="3"/>
        <item x="0"/>
        <item x="1"/>
        <item x="2"/>
        <item t="default"/>
      </items>
    </pivotField>
    <pivotField showAll="0"/>
    <pivotField showAll="0">
      <items count="9">
        <item x="6"/>
        <item x="3"/>
        <item x="1"/>
        <item x="2"/>
        <item x="4"/>
        <item x="0"/>
        <item x="5"/>
        <item x="7"/>
        <item t="default"/>
      </items>
    </pivotField>
    <pivotField showAll="0"/>
    <pivotField showAll="0"/>
    <pivotField showAll="0"/>
    <pivotField dataField="1" showAll="0"/>
    <pivotField showAll="0"/>
    <pivotField showAll="0"/>
    <pivotField showAll="0"/>
    <pivotField numFmtId="10" showAll="0"/>
  </pivotFields>
  <rowFields count="1">
    <field x="4"/>
  </rowFields>
  <rowItems count="5">
    <i>
      <x/>
    </i>
    <i>
      <x v="1"/>
    </i>
    <i>
      <x v="2"/>
    </i>
    <i>
      <x v="3"/>
    </i>
    <i t="grand">
      <x/>
    </i>
  </rowItems>
  <colItems count="1">
    <i/>
  </colItems>
  <dataFields count="1">
    <dataField name="Sum of Revenue" fld="10" baseField="0" baseItem="0"/>
  </dataFields>
  <chartFormats count="1">
    <chartFormat chart="3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BD82397-5844-48FE-B505-18C1D13B7DFE}" name="PivotTable4"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1:B40" firstHeaderRow="1" firstDataRow="1" firstDataCol="1"/>
  <pivotFields count="15">
    <pivotField showAll="0"/>
    <pivotField numFmtId="14" showAll="0"/>
    <pivotField showAll="0">
      <items count="4">
        <item x="0"/>
        <item x="1"/>
        <item x="2"/>
        <item t="default"/>
      </items>
    </pivotField>
    <pivotField showAll="0"/>
    <pivotField showAll="0">
      <items count="5">
        <item x="3"/>
        <item x="0"/>
        <item x="1"/>
        <item x="2"/>
        <item t="default"/>
      </items>
    </pivotField>
    <pivotField showAll="0"/>
    <pivotField axis="axisRow" showAll="0">
      <items count="9">
        <item x="6"/>
        <item x="3"/>
        <item x="1"/>
        <item x="2"/>
        <item x="4"/>
        <item x="0"/>
        <item x="5"/>
        <item x="7"/>
        <item t="default"/>
      </items>
    </pivotField>
    <pivotField showAll="0"/>
    <pivotField showAll="0"/>
    <pivotField showAll="0"/>
    <pivotField dataField="1" showAll="0"/>
    <pivotField showAll="0"/>
    <pivotField showAll="0"/>
    <pivotField showAll="0"/>
    <pivotField numFmtId="10" showAll="0"/>
  </pivotFields>
  <rowFields count="1">
    <field x="6"/>
  </rowFields>
  <rowItems count="9">
    <i>
      <x/>
    </i>
    <i>
      <x v="1"/>
    </i>
    <i>
      <x v="2"/>
    </i>
    <i>
      <x v="3"/>
    </i>
    <i>
      <x v="4"/>
    </i>
    <i>
      <x v="5"/>
    </i>
    <i>
      <x v="6"/>
    </i>
    <i>
      <x v="7"/>
    </i>
    <i t="grand">
      <x/>
    </i>
  </rowItems>
  <colItems count="1">
    <i/>
  </colItems>
  <dataFields count="1">
    <dataField name="Sum of Revenue" fld="10"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0845C46-01E5-4CE4-B928-A21F518BF5CE}"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17:B23" firstHeaderRow="1" firstDataRow="1" firstDataCol="1"/>
  <pivotFields count="15">
    <pivotField showAll="0"/>
    <pivotField numFmtId="14" showAll="0"/>
    <pivotField showAll="0">
      <items count="4">
        <item x="0"/>
        <item x="1"/>
        <item x="2"/>
        <item t="default"/>
      </items>
    </pivotField>
    <pivotField showAll="0"/>
    <pivotField showAll="0">
      <items count="5">
        <item x="3"/>
        <item x="0"/>
        <item x="1"/>
        <item x="2"/>
        <item t="default"/>
      </items>
    </pivotField>
    <pivotField axis="axisRow" showAll="0" measureFilter="1">
      <items count="17">
        <item x="2"/>
        <item x="9"/>
        <item x="0"/>
        <item x="7"/>
        <item x="10"/>
        <item x="12"/>
        <item x="15"/>
        <item x="14"/>
        <item x="5"/>
        <item x="13"/>
        <item x="11"/>
        <item x="1"/>
        <item x="6"/>
        <item x="3"/>
        <item x="4"/>
        <item x="8"/>
        <item t="default"/>
      </items>
    </pivotField>
    <pivotField showAll="0">
      <items count="9">
        <item x="6"/>
        <item x="3"/>
        <item x="1"/>
        <item x="2"/>
        <item x="4"/>
        <item x="0"/>
        <item x="5"/>
        <item x="7"/>
        <item t="default"/>
      </items>
    </pivotField>
    <pivotField showAll="0"/>
    <pivotField showAll="0"/>
    <pivotField showAll="0"/>
    <pivotField dataField="1" showAll="0"/>
    <pivotField showAll="0"/>
    <pivotField showAll="0"/>
    <pivotField showAll="0"/>
    <pivotField numFmtId="10" showAll="0"/>
  </pivotFields>
  <rowFields count="1">
    <field x="5"/>
  </rowFields>
  <rowItems count="6">
    <i>
      <x/>
    </i>
    <i>
      <x v="4"/>
    </i>
    <i>
      <x v="5"/>
    </i>
    <i>
      <x v="6"/>
    </i>
    <i>
      <x v="11"/>
    </i>
    <i t="grand">
      <x/>
    </i>
  </rowItems>
  <colItems count="1">
    <i/>
  </colItems>
  <dataFields count="1">
    <dataField name="Sum of Revenue" fld="10" baseField="0" baseItem="0"/>
  </dataFields>
  <chartFormats count="1">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6A091E6-A744-4E0B-99B3-38309CD19EEB}" name="PivotTable3" cacheId="6"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35">
  <location ref="A4:C8" firstHeaderRow="0" firstDataRow="1" firstDataCol="1"/>
  <pivotFields count="15">
    <pivotField showAll="0"/>
    <pivotField numFmtId="14" showAll="0">
      <items count="362">
        <item x="283"/>
        <item x="336"/>
        <item x="38"/>
        <item x="14"/>
        <item x="309"/>
        <item x="279"/>
        <item x="191"/>
        <item x="268"/>
        <item x="88"/>
        <item x="109"/>
        <item x="299"/>
        <item x="151"/>
        <item x="352"/>
        <item x="248"/>
        <item x="294"/>
        <item x="47"/>
        <item x="153"/>
        <item x="126"/>
        <item x="73"/>
        <item x="216"/>
        <item x="28"/>
        <item x="181"/>
        <item x="307"/>
        <item x="360"/>
        <item x="154"/>
        <item x="145"/>
        <item x="331"/>
        <item x="269"/>
        <item x="133"/>
        <item x="334"/>
        <item x="152"/>
        <item x="266"/>
        <item x="288"/>
        <item x="355"/>
        <item x="232"/>
        <item x="171"/>
        <item x="287"/>
        <item x="156"/>
        <item x="242"/>
        <item x="320"/>
        <item x="10"/>
        <item x="95"/>
        <item x="239"/>
        <item x="263"/>
        <item x="130"/>
        <item x="146"/>
        <item x="240"/>
        <item x="166"/>
        <item x="195"/>
        <item x="284"/>
        <item x="60"/>
        <item x="205"/>
        <item x="330"/>
        <item x="26"/>
        <item x="89"/>
        <item x="117"/>
        <item x="188"/>
        <item x="128"/>
        <item x="218"/>
        <item x="157"/>
        <item x="298"/>
        <item x="327"/>
        <item x="209"/>
        <item x="87"/>
        <item x="203"/>
        <item x="98"/>
        <item x="267"/>
        <item x="148"/>
        <item x="319"/>
        <item x="346"/>
        <item x="163"/>
        <item x="202"/>
        <item x="338"/>
        <item x="69"/>
        <item x="305"/>
        <item x="286"/>
        <item x="187"/>
        <item x="306"/>
        <item x="273"/>
        <item x="25"/>
        <item x="9"/>
        <item x="113"/>
        <item x="270"/>
        <item x="111"/>
        <item x="291"/>
        <item x="134"/>
        <item x="100"/>
        <item x="304"/>
        <item x="35"/>
        <item x="340"/>
        <item x="276"/>
        <item x="123"/>
        <item x="178"/>
        <item x="231"/>
        <item x="122"/>
        <item x="207"/>
        <item x="17"/>
        <item x="280"/>
        <item x="344"/>
        <item x="168"/>
        <item x="77"/>
        <item x="120"/>
        <item x="149"/>
        <item x="97"/>
        <item x="211"/>
        <item x="162"/>
        <item x="349"/>
        <item x="53"/>
        <item x="15"/>
        <item x="2"/>
        <item x="48"/>
        <item x="6"/>
        <item x="214"/>
        <item x="212"/>
        <item x="82"/>
        <item x="30"/>
        <item x="337"/>
        <item x="257"/>
        <item x="62"/>
        <item x="243"/>
        <item x="29"/>
        <item x="112"/>
        <item x="314"/>
        <item x="54"/>
        <item x="271"/>
        <item x="40"/>
        <item x="208"/>
        <item x="27"/>
        <item x="332"/>
        <item x="245"/>
        <item x="246"/>
        <item x="210"/>
        <item x="310"/>
        <item x="8"/>
        <item x="23"/>
        <item x="5"/>
        <item x="300"/>
        <item x="51"/>
        <item x="353"/>
        <item x="56"/>
        <item x="167"/>
        <item x="297"/>
        <item x="236"/>
        <item x="278"/>
        <item x="114"/>
        <item x="105"/>
        <item x="345"/>
        <item x="4"/>
        <item x="295"/>
        <item x="358"/>
        <item x="110"/>
        <item x="215"/>
        <item x="301"/>
        <item x="219"/>
        <item x="313"/>
        <item x="290"/>
        <item x="63"/>
        <item x="274"/>
        <item x="193"/>
        <item x="32"/>
        <item x="7"/>
        <item x="132"/>
        <item x="41"/>
        <item x="36"/>
        <item x="321"/>
        <item x="177"/>
        <item x="325"/>
        <item x="169"/>
        <item x="221"/>
        <item x="329"/>
        <item x="339"/>
        <item x="183"/>
        <item x="107"/>
        <item x="223"/>
        <item x="175"/>
        <item x="119"/>
        <item x="251"/>
        <item x="115"/>
        <item x="277"/>
        <item x="79"/>
        <item x="160"/>
        <item x="121"/>
        <item x="179"/>
        <item x="184"/>
        <item x="131"/>
        <item x="80"/>
        <item x="81"/>
        <item x="317"/>
        <item x="85"/>
        <item x="93"/>
        <item x="75"/>
        <item x="323"/>
        <item x="172"/>
        <item x="141"/>
        <item x="282"/>
        <item x="185"/>
        <item x="318"/>
        <item x="227"/>
        <item x="43"/>
        <item x="254"/>
        <item x="196"/>
        <item x="144"/>
        <item x="86"/>
        <item x="173"/>
        <item x="19"/>
        <item x="67"/>
        <item x="44"/>
        <item x="303"/>
        <item x="61"/>
        <item x="16"/>
        <item x="241"/>
        <item x="174"/>
        <item x="285"/>
        <item x="357"/>
        <item x="46"/>
        <item x="94"/>
        <item x="101"/>
        <item x="92"/>
        <item x="176"/>
        <item x="96"/>
        <item x="229"/>
        <item x="259"/>
        <item x="65"/>
        <item x="347"/>
        <item x="275"/>
        <item x="249"/>
        <item x="180"/>
        <item x="198"/>
        <item x="222"/>
        <item x="52"/>
        <item x="226"/>
        <item x="234"/>
        <item x="217"/>
        <item x="182"/>
        <item x="99"/>
        <item x="45"/>
        <item x="39"/>
        <item x="42"/>
        <item x="250"/>
        <item x="116"/>
        <item x="264"/>
        <item x="72"/>
        <item x="37"/>
        <item x="21"/>
        <item x="57"/>
        <item x="237"/>
        <item x="343"/>
        <item x="256"/>
        <item x="233"/>
        <item x="265"/>
        <item x="326"/>
        <item x="147"/>
        <item x="137"/>
        <item x="189"/>
        <item x="161"/>
        <item x="324"/>
        <item x="192"/>
        <item x="312"/>
        <item x="70"/>
        <item x="31"/>
        <item x="150"/>
        <item x="333"/>
        <item x="138"/>
        <item x="13"/>
        <item x="220"/>
        <item x="289"/>
        <item x="252"/>
        <item x="356"/>
        <item x="296"/>
        <item x="315"/>
        <item x="11"/>
        <item x="139"/>
        <item x="158"/>
        <item x="3"/>
        <item x="33"/>
        <item x="84"/>
        <item x="194"/>
        <item x="199"/>
        <item x="0"/>
        <item x="18"/>
        <item x="71"/>
        <item x="348"/>
        <item x="20"/>
        <item x="213"/>
        <item x="302"/>
        <item x="311"/>
        <item x="170"/>
        <item x="204"/>
        <item x="190"/>
        <item x="22"/>
        <item x="118"/>
        <item x="49"/>
        <item x="58"/>
        <item x="159"/>
        <item x="359"/>
        <item x="238"/>
        <item x="316"/>
        <item x="351"/>
        <item x="55"/>
        <item x="155"/>
        <item x="341"/>
        <item x="260"/>
        <item x="253"/>
        <item x="64"/>
        <item x="50"/>
        <item x="108"/>
        <item x="281"/>
        <item x="12"/>
        <item x="342"/>
        <item x="83"/>
        <item x="129"/>
        <item x="201"/>
        <item x="136"/>
        <item x="59"/>
        <item x="76"/>
        <item x="24"/>
        <item x="90"/>
        <item x="255"/>
        <item x="103"/>
        <item x="244"/>
        <item x="104"/>
        <item x="165"/>
        <item x="354"/>
        <item x="125"/>
        <item x="293"/>
        <item x="292"/>
        <item x="335"/>
        <item x="102"/>
        <item x="350"/>
        <item x="1"/>
        <item x="261"/>
        <item x="235"/>
        <item x="91"/>
        <item x="224"/>
        <item x="78"/>
        <item x="230"/>
        <item x="142"/>
        <item x="322"/>
        <item x="34"/>
        <item x="228"/>
        <item x="262"/>
        <item x="247"/>
        <item x="258"/>
        <item x="186"/>
        <item x="127"/>
        <item x="164"/>
        <item x="206"/>
        <item x="135"/>
        <item x="225"/>
        <item x="140"/>
        <item x="124"/>
        <item x="143"/>
        <item x="66"/>
        <item x="200"/>
        <item x="328"/>
        <item x="308"/>
        <item x="74"/>
        <item x="272"/>
        <item x="106"/>
        <item x="68"/>
        <item x="197"/>
        <item t="default"/>
      </items>
    </pivotField>
    <pivotField axis="axisRow" showAll="0">
      <items count="4">
        <item x="0"/>
        <item x="1"/>
        <item x="2"/>
        <item t="default"/>
      </items>
    </pivotField>
    <pivotField showAll="0"/>
    <pivotField showAll="0">
      <items count="5">
        <item x="3"/>
        <item x="0"/>
        <item x="1"/>
        <item x="2"/>
        <item t="default"/>
      </items>
    </pivotField>
    <pivotField showAll="0"/>
    <pivotField showAll="0">
      <items count="9">
        <item x="6"/>
        <item x="3"/>
        <item x="1"/>
        <item x="2"/>
        <item x="4"/>
        <item x="0"/>
        <item x="5"/>
        <item x="7"/>
        <item t="default"/>
      </items>
    </pivotField>
    <pivotField showAll="0"/>
    <pivotField showAll="0"/>
    <pivotField showAll="0"/>
    <pivotField dataField="1" showAll="0"/>
    <pivotField showAll="0"/>
    <pivotField dataField="1" showAll="0"/>
    <pivotField showAll="0"/>
    <pivotField numFmtId="10" showAll="0"/>
  </pivotFields>
  <rowFields count="1">
    <field x="2"/>
  </rowFields>
  <rowItems count="4">
    <i>
      <x/>
    </i>
    <i>
      <x v="1"/>
    </i>
    <i>
      <x v="2"/>
    </i>
    <i t="grand">
      <x/>
    </i>
  </rowItems>
  <colFields count="1">
    <field x="-2"/>
  </colFields>
  <colItems count="2">
    <i>
      <x/>
    </i>
    <i i="1">
      <x v="1"/>
    </i>
  </colItems>
  <dataFields count="2">
    <dataField name="  REVENUE" fld="10" baseField="2" baseItem="0"/>
    <dataField name="  PROFIT" fld="12" baseField="2" baseItem="0"/>
  </dataFields>
  <chartFormats count="12">
    <chartFormat chart="18" format="7" series="1">
      <pivotArea type="data" outline="0" fieldPosition="0">
        <references count="1">
          <reference field="4294967294" count="1" selected="0">
            <x v="0"/>
          </reference>
        </references>
      </pivotArea>
    </chartFormat>
    <chartFormat chart="18" format="8" series="1">
      <pivotArea type="data" outline="0" fieldPosition="0">
        <references count="1">
          <reference field="4294967294" count="1" selected="0">
            <x v="1"/>
          </reference>
        </references>
      </pivotArea>
    </chartFormat>
    <chartFormat chart="28" format="0" series="1">
      <pivotArea type="data" outline="0" fieldPosition="0">
        <references count="1">
          <reference field="4294967294" count="1" selected="0">
            <x v="0"/>
          </reference>
        </references>
      </pivotArea>
    </chartFormat>
    <chartFormat chart="28" format="1" series="1">
      <pivotArea type="data" outline="0" fieldPosition="0">
        <references count="1">
          <reference field="4294967294" count="1" selected="0">
            <x v="1"/>
          </reference>
        </references>
      </pivotArea>
    </chartFormat>
    <chartFormat chart="28" format="2">
      <pivotArea type="data" outline="0" fieldPosition="0">
        <references count="2">
          <reference field="4294967294" count="1" selected="0">
            <x v="1"/>
          </reference>
          <reference field="2" count="1" selected="0">
            <x v="2"/>
          </reference>
        </references>
      </pivotArea>
    </chartFormat>
    <chartFormat chart="28" format="3">
      <pivotArea type="data" outline="0" fieldPosition="0">
        <references count="2">
          <reference field="4294967294" count="1" selected="0">
            <x v="1"/>
          </reference>
          <reference field="2" count="1" selected="0">
            <x v="1"/>
          </reference>
        </references>
      </pivotArea>
    </chartFormat>
    <chartFormat chart="28" format="4">
      <pivotArea type="data" outline="0" fieldPosition="0">
        <references count="2">
          <reference field="4294967294" count="1" selected="0">
            <x v="1"/>
          </reference>
          <reference field="2" count="1" selected="0">
            <x v="0"/>
          </reference>
        </references>
      </pivotArea>
    </chartFormat>
    <chartFormat chart="34" format="10" series="1">
      <pivotArea type="data" outline="0" fieldPosition="0">
        <references count="1">
          <reference field="4294967294" count="1" selected="0">
            <x v="0"/>
          </reference>
        </references>
      </pivotArea>
    </chartFormat>
    <chartFormat chart="34" format="11" series="1">
      <pivotArea type="data" outline="0" fieldPosition="0">
        <references count="1">
          <reference field="4294967294" count="1" selected="0">
            <x v="1"/>
          </reference>
        </references>
      </pivotArea>
    </chartFormat>
    <chartFormat chart="34" format="12">
      <pivotArea type="data" outline="0" fieldPosition="0">
        <references count="2">
          <reference field="4294967294" count="1" selected="0">
            <x v="1"/>
          </reference>
          <reference field="2" count="1" selected="0">
            <x v="0"/>
          </reference>
        </references>
      </pivotArea>
    </chartFormat>
    <chartFormat chart="34" format="13">
      <pivotArea type="data" outline="0" fieldPosition="0">
        <references count="2">
          <reference field="4294967294" count="1" selected="0">
            <x v="1"/>
          </reference>
          <reference field="2" count="1" selected="0">
            <x v="1"/>
          </reference>
        </references>
      </pivotArea>
    </chartFormat>
    <chartFormat chart="34" format="14">
      <pivotArea type="data" outline="0" fieldPosition="0">
        <references count="2">
          <reference field="4294967294" count="1" selected="0">
            <x v="1"/>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708A075-14C7-4D5C-8447-9E77D3A8E8FF}" autoFormatId="16" applyNumberFormats="0" applyBorderFormats="0" applyFontFormats="0" applyPatternFormats="0" applyAlignmentFormats="0" applyWidthHeightFormats="0">
  <queryTableRefresh nextId="16" unboundColumnsRight="1">
    <queryTableFields count="15">
      <queryTableField id="1" name="Order ID" tableColumnId="1"/>
      <queryTableField id="2" name="Order Date" tableColumnId="2"/>
      <queryTableField id="3" name="Region" tableColumnId="3"/>
      <queryTableField id="4" name="City" tableColumnId="4"/>
      <queryTableField id="5" name="Product Category" tableColumnId="5"/>
      <queryTableField id="6" name="Product" tableColumnId="6"/>
      <queryTableField id="7" name="Salesperson" tableColumnId="7"/>
      <queryTableField id="8" name="Units Sold" tableColumnId="8"/>
      <queryTableField id="9" name="Unit Price" tableColumnId="9"/>
      <queryTableField id="10" name="Discount" tableColumnId="10"/>
      <queryTableField id="11" name="Revenue" tableColumnId="11"/>
      <queryTableField id="12" name="Cost" tableColumnId="12"/>
      <queryTableField id="13" name="Profit" tableColumnId="13"/>
      <queryTableField id="14" name="Payment Method" tableColumnId="14"/>
      <queryTableField id="15" dataBound="0"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78A68A6C-8AF7-4171-A6E3-C26656BCC16E}" sourceName="Product Category">
  <pivotTables>
    <pivotTable tabId="6" name="PivotTable5"/>
    <pivotTable tabId="6" name="PivotTable1"/>
    <pivotTable tabId="6" name="PivotTable3"/>
    <pivotTable tabId="6" name="PivotTable4"/>
  </pivotTables>
  <data>
    <tabular pivotCacheId="1156314230">
      <items count="4">
        <i x="3" s="1"/>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B2F1D26-DCF3-4E39-B949-5E069795BA3C}" sourceName="Region">
  <pivotTables>
    <pivotTable tabId="6" name="PivotTable5"/>
    <pivotTable tabId="6" name="PivotTable1"/>
    <pivotTable tabId="6" name="PivotTable3"/>
    <pivotTable tabId="6" name="PivotTable4"/>
  </pivotTables>
  <data>
    <tabular pivotCacheId="1156314230">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FD3E7425-1E0F-4677-ABF5-8650EDB968E9}" sourceName="Salesperson">
  <pivotTables>
    <pivotTable tabId="6" name="PivotTable5"/>
    <pivotTable tabId="6" name="PivotTable1"/>
    <pivotTable tabId="6" name="PivotTable3"/>
    <pivotTable tabId="6" name="PivotTable4"/>
  </pivotTables>
  <data>
    <tabular pivotCacheId="1156314230">
      <items count="8">
        <i x="6" s="1"/>
        <i x="3" s="1"/>
        <i x="1" s="1"/>
        <i x="2" s="1"/>
        <i x="4" s="1"/>
        <i x="0" s="1"/>
        <i x="5"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A7D1050A-8773-4A14-AB23-7EBA90BBF55B}" cache="Slicer_Product_Category" caption="Product Category" style="SlicerStyleDark2 2" rowHeight="230716"/>
  <slicer name="Region" xr10:uid="{2D3E50B6-3ACE-4B8E-B6A0-95D9A50EC8BE}" cache="Slicer_Region" caption="Region" style="SlicerStyleDark2 2" rowHeight="230716"/>
  <slicer name="Salesperson" xr10:uid="{9C2B6D45-B199-4DE4-AD31-CAD772FA97FC}" cache="Slicer_Salesperson" caption="Salesperson" style="SlicerStyleDark2 2" rowHeight="230716"/>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awSalesTable" displayName="RawSalesTable" ref="A1:N1501" totalsRowShown="0">
  <tableColumns count="14">
    <tableColumn id="1" xr3:uid="{00000000-0010-0000-0000-000001000000}" name="Order ID"/>
    <tableColumn id="2" xr3:uid="{00000000-0010-0000-0000-000002000000}" name="Order Date"/>
    <tableColumn id="3" xr3:uid="{00000000-0010-0000-0000-000003000000}" name="Region"/>
    <tableColumn id="4" xr3:uid="{00000000-0010-0000-0000-000004000000}" name="City"/>
    <tableColumn id="5" xr3:uid="{00000000-0010-0000-0000-000005000000}" name="Product Category"/>
    <tableColumn id="6" xr3:uid="{00000000-0010-0000-0000-000006000000}" name="Product"/>
    <tableColumn id="7" xr3:uid="{00000000-0010-0000-0000-000007000000}" name="Salesperson"/>
    <tableColumn id="8" xr3:uid="{00000000-0010-0000-0000-000008000000}" name="Units Sold"/>
    <tableColumn id="9" xr3:uid="{00000000-0010-0000-0000-000009000000}" name="Unit Price"/>
    <tableColumn id="10" xr3:uid="{00000000-0010-0000-0000-00000A000000}" name="Discount"/>
    <tableColumn id="11" xr3:uid="{00000000-0010-0000-0000-00000B000000}" name="Revenue"/>
    <tableColumn id="12" xr3:uid="{00000000-0010-0000-0000-00000C000000}" name="Cost"/>
    <tableColumn id="13" xr3:uid="{00000000-0010-0000-0000-00000D000000}" name="Profit"/>
    <tableColumn id="14" xr3:uid="{00000000-0010-0000-0000-00000E000000}" name="Payment Method"/>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21154A-FACA-4BD2-8AB2-55DBAF86A7F4}" name="RawSalesTable_" displayName="RawSalesTable_" ref="A1:O1437" tableType="queryTable" totalsRowShown="0">
  <autoFilter ref="A1:O1437" xr:uid="{7521154A-FACA-4BD2-8AB2-55DBAF86A7F4}"/>
  <tableColumns count="15">
    <tableColumn id="1" xr3:uid="{EB540049-3064-4A14-BA78-ED0AB3B08D7C}" uniqueName="1" name="Order ID" queryTableFieldId="1" dataDxfId="10"/>
    <tableColumn id="2" xr3:uid="{9538C8F0-D1F8-4CEA-ACF1-13C99AD7A271}" uniqueName="2" name="Order Date" queryTableFieldId="2" dataDxfId="9"/>
    <tableColumn id="3" xr3:uid="{0DCE3EAE-52A6-4AB9-BAEA-B06FBD39E878}" uniqueName="3" name="Region" queryTableFieldId="3" dataDxfId="8"/>
    <tableColumn id="4" xr3:uid="{49CD1F5C-38C8-457A-AC4A-70B9C1A9A956}" uniqueName="4" name="City" queryTableFieldId="4" dataDxfId="7"/>
    <tableColumn id="5" xr3:uid="{C7045EEB-30E4-401D-8CED-804D67012B57}" uniqueName="5" name="Product Category" queryTableFieldId="5" dataDxfId="6"/>
    <tableColumn id="6" xr3:uid="{7BDB9192-E053-40EA-86B6-666A9A388E71}" uniqueName="6" name="Product" queryTableFieldId="6" dataDxfId="5"/>
    <tableColumn id="7" xr3:uid="{81D8633E-7B9D-462C-A067-818AFD7D4567}" uniqueName="7" name="Salesperson" queryTableFieldId="7" dataDxfId="4"/>
    <tableColumn id="8" xr3:uid="{EDF36D0C-892D-489A-A69A-CBD6DADD978B}" uniqueName="8" name="Units Sold" queryTableFieldId="8"/>
    <tableColumn id="9" xr3:uid="{167A2777-7A8E-418A-9C85-8B5EF8278F20}" uniqueName="9" name="Unit Price" queryTableFieldId="9"/>
    <tableColumn id="10" xr3:uid="{BA6B2CF3-8388-425A-82D3-4F378056073D}" uniqueName="10" name="Discount" queryTableFieldId="10"/>
    <tableColumn id="11" xr3:uid="{D0E1BEAB-C948-4302-9590-86B17F965818}" uniqueName="11" name="Revenue" queryTableFieldId="11"/>
    <tableColumn id="12" xr3:uid="{56DB8707-3293-4B57-B0E2-2CCA8949CA7F}" uniqueName="12" name="Cost" queryTableFieldId="12"/>
    <tableColumn id="13" xr3:uid="{F220B9D9-F1E1-4ED9-8FE0-9D7F70E6B65A}" uniqueName="13" name="Profit" queryTableFieldId="13"/>
    <tableColumn id="14" xr3:uid="{355EE043-8686-4121-B8AE-284D5F8F04C7}" uniqueName="14" name="Payment Method" queryTableFieldId="14" dataDxfId="3"/>
    <tableColumn id="15" xr3:uid="{16FAA6E7-18E9-4054-8A74-67FB57F6650E}" uniqueName="15" name="Profit Margin" queryTableFieldId="15" dataDxfId="2">
      <calculatedColumnFormula>IFERROR(RawSalesTable_[[#This Row],[Profit]]/RawSalesTable_[[#This Row],[Revenue]],0)</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501"/>
  <sheetViews>
    <sheetView topLeftCell="A94" zoomScale="80" zoomScaleNormal="80" workbookViewId="0">
      <selection activeCell="C104" sqref="C104"/>
    </sheetView>
  </sheetViews>
  <sheetFormatPr defaultRowHeight="14"/>
  <cols>
    <col min="1" max="1" width="18" customWidth="1"/>
    <col min="2" max="2" width="14" customWidth="1"/>
    <col min="3" max="3" width="13" customWidth="1"/>
    <col min="4" max="4" width="15" customWidth="1"/>
    <col min="5" max="6" width="20" customWidth="1"/>
    <col min="7" max="7" width="18" customWidth="1"/>
    <col min="8" max="8" width="11" customWidth="1"/>
    <col min="9" max="9" width="14" customWidth="1"/>
    <col min="10" max="10" width="11" customWidth="1"/>
    <col min="11" max="13" width="15" customWidth="1"/>
    <col min="14" max="14" width="18" customWidth="1"/>
  </cols>
  <sheetData>
    <row r="1" spans="1:14" ht="18.649999999999999" customHeight="1">
      <c r="A1" s="1" t="s">
        <v>0</v>
      </c>
      <c r="B1" s="1" t="s">
        <v>1</v>
      </c>
      <c r="C1" s="1" t="s">
        <v>2</v>
      </c>
      <c r="D1" s="1" t="s">
        <v>3</v>
      </c>
      <c r="E1" s="1" t="s">
        <v>4</v>
      </c>
      <c r="F1" s="1" t="s">
        <v>5</v>
      </c>
      <c r="G1" s="1" t="s">
        <v>6</v>
      </c>
      <c r="H1" s="1" t="s">
        <v>7</v>
      </c>
      <c r="I1" s="1" t="s">
        <v>8</v>
      </c>
      <c r="J1" s="1" t="s">
        <v>9</v>
      </c>
      <c r="K1" s="1" t="s">
        <v>10</v>
      </c>
      <c r="L1" s="1" t="s">
        <v>11</v>
      </c>
      <c r="M1" s="1" t="s">
        <v>12</v>
      </c>
      <c r="N1" s="1" t="s">
        <v>13</v>
      </c>
    </row>
    <row r="2" spans="1:14" ht="12" customHeight="1">
      <c r="A2" s="2" t="s">
        <v>14</v>
      </c>
      <c r="B2" s="3">
        <v>45937</v>
      </c>
      <c r="C2" s="2" t="s">
        <v>15</v>
      </c>
      <c r="D2" s="2" t="s">
        <v>16</v>
      </c>
      <c r="E2" s="2" t="s">
        <v>17</v>
      </c>
      <c r="F2" s="2" t="s">
        <v>18</v>
      </c>
      <c r="G2" s="2" t="s">
        <v>19</v>
      </c>
      <c r="H2" s="4">
        <v>4</v>
      </c>
      <c r="I2" s="5">
        <v>13857.85</v>
      </c>
      <c r="J2" s="6">
        <v>0.15</v>
      </c>
      <c r="K2" s="5">
        <v>47116.69</v>
      </c>
      <c r="L2" s="5">
        <v>32051.33</v>
      </c>
      <c r="M2" s="5">
        <v>15065.36</v>
      </c>
      <c r="N2" s="2" t="s">
        <v>20</v>
      </c>
    </row>
    <row r="3" spans="1:14" ht="12" customHeight="1">
      <c r="A3" s="2" t="s">
        <v>21</v>
      </c>
      <c r="B3" s="3">
        <v>45990</v>
      </c>
      <c r="C3" s="2" t="s">
        <v>22</v>
      </c>
      <c r="D3" s="2" t="s">
        <v>23</v>
      </c>
      <c r="E3" s="2" t="s">
        <v>17</v>
      </c>
      <c r="F3" s="2" t="s">
        <v>24</v>
      </c>
      <c r="G3" s="2" t="s">
        <v>25</v>
      </c>
      <c r="H3" s="4">
        <v>4</v>
      </c>
      <c r="I3" s="5">
        <v>92078.83</v>
      </c>
      <c r="J3" s="6">
        <v>0</v>
      </c>
      <c r="K3" s="5">
        <v>368315.32</v>
      </c>
      <c r="L3" s="5">
        <v>274526.11</v>
      </c>
      <c r="M3" s="5">
        <v>93789.21</v>
      </c>
      <c r="N3" s="2" t="s">
        <v>26</v>
      </c>
    </row>
    <row r="4" spans="1:14" ht="12" customHeight="1">
      <c r="A4" s="2" t="s">
        <v>27</v>
      </c>
      <c r="B4" s="3">
        <v>45768</v>
      </c>
      <c r="C4" s="2" t="s">
        <v>28</v>
      </c>
      <c r="D4" s="2" t="s">
        <v>29</v>
      </c>
      <c r="E4" s="2" t="s">
        <v>30</v>
      </c>
      <c r="F4" s="2" t="s">
        <v>31</v>
      </c>
      <c r="G4" s="2" t="s">
        <v>32</v>
      </c>
      <c r="H4" s="4">
        <v>3</v>
      </c>
      <c r="I4" s="5">
        <v>139279.81</v>
      </c>
      <c r="J4" s="6">
        <v>0.05</v>
      </c>
      <c r="K4" s="5">
        <v>396947.46</v>
      </c>
      <c r="L4" s="5">
        <v>299803.65000000002</v>
      </c>
      <c r="M4" s="5">
        <v>97143.81</v>
      </c>
      <c r="N4" s="2" t="s">
        <v>33</v>
      </c>
    </row>
    <row r="5" spans="1:14" ht="12" customHeight="1">
      <c r="A5" s="2" t="s">
        <v>34</v>
      </c>
      <c r="B5" s="3">
        <v>45932</v>
      </c>
      <c r="C5" s="2" t="s">
        <v>22</v>
      </c>
      <c r="D5" s="2" t="s">
        <v>35</v>
      </c>
      <c r="E5" s="2" t="s">
        <v>17</v>
      </c>
      <c r="F5" s="2" t="s">
        <v>18</v>
      </c>
      <c r="G5" s="2" t="s">
        <v>19</v>
      </c>
      <c r="H5" s="4">
        <v>6</v>
      </c>
      <c r="I5" s="5">
        <v>14740.64</v>
      </c>
      <c r="J5" s="6">
        <v>0</v>
      </c>
      <c r="K5" s="5">
        <v>88443.839999999997</v>
      </c>
      <c r="L5" s="5">
        <v>50237.2</v>
      </c>
      <c r="M5" s="5">
        <v>38206.639999999999</v>
      </c>
      <c r="N5" s="2" t="s">
        <v>20</v>
      </c>
    </row>
    <row r="6" spans="1:14" ht="12" customHeight="1">
      <c r="A6" s="2" t="s">
        <v>36</v>
      </c>
      <c r="B6" s="3">
        <v>45806</v>
      </c>
      <c r="C6" s="2" t="s">
        <v>22</v>
      </c>
      <c r="D6" s="2" t="s">
        <v>37</v>
      </c>
      <c r="E6" s="2" t="s">
        <v>30</v>
      </c>
      <c r="F6" s="2" t="s">
        <v>38</v>
      </c>
      <c r="G6" s="2" t="s">
        <v>19</v>
      </c>
      <c r="H6" s="4">
        <v>4</v>
      </c>
      <c r="I6" s="5">
        <v>27883.75</v>
      </c>
      <c r="J6" s="6">
        <v>0</v>
      </c>
      <c r="K6" s="5">
        <v>111535</v>
      </c>
      <c r="L6" s="5">
        <v>73172.77</v>
      </c>
      <c r="M6" s="5">
        <v>38362.230000000003</v>
      </c>
      <c r="N6" s="2" t="s">
        <v>26</v>
      </c>
    </row>
    <row r="7" spans="1:14" ht="12" customHeight="1">
      <c r="A7" s="2" t="s">
        <v>39</v>
      </c>
      <c r="B7" s="3">
        <v>45794</v>
      </c>
      <c r="C7" s="2" t="s">
        <v>22</v>
      </c>
      <c r="D7" s="2" t="s">
        <v>35</v>
      </c>
      <c r="E7" s="2" t="s">
        <v>30</v>
      </c>
      <c r="F7" s="2" t="s">
        <v>40</v>
      </c>
      <c r="G7" s="2" t="s">
        <v>19</v>
      </c>
      <c r="H7" s="4">
        <v>6</v>
      </c>
      <c r="I7" s="5">
        <v>23177.599999999999</v>
      </c>
      <c r="J7" s="6">
        <v>0.05</v>
      </c>
      <c r="K7" s="5">
        <v>132112.32000000001</v>
      </c>
      <c r="L7" s="5">
        <v>93346.29</v>
      </c>
      <c r="M7" s="5">
        <v>38766.03</v>
      </c>
      <c r="N7" s="2" t="s">
        <v>41</v>
      </c>
    </row>
    <row r="8" spans="1:14" ht="12" customHeight="1">
      <c r="A8" s="2" t="s">
        <v>42</v>
      </c>
      <c r="B8" s="3">
        <v>45770</v>
      </c>
      <c r="C8" s="2" t="s">
        <v>15</v>
      </c>
      <c r="D8" s="2" t="s">
        <v>43</v>
      </c>
      <c r="E8" s="2" t="s">
        <v>44</v>
      </c>
      <c r="F8" s="2" t="s">
        <v>45</v>
      </c>
      <c r="G8" s="2" t="s">
        <v>32</v>
      </c>
      <c r="H8" s="4">
        <v>8</v>
      </c>
      <c r="I8" s="5">
        <v>27950.32</v>
      </c>
      <c r="J8" s="6">
        <v>0.15</v>
      </c>
      <c r="K8" s="5">
        <v>190062.18</v>
      </c>
      <c r="L8" s="5">
        <v>154762.04</v>
      </c>
      <c r="M8" s="5">
        <v>35300.14</v>
      </c>
      <c r="N8" s="2" t="s">
        <v>33</v>
      </c>
    </row>
    <row r="9" spans="1:14" ht="12" customHeight="1">
      <c r="A9" s="2" t="s">
        <v>46</v>
      </c>
      <c r="B9" s="3">
        <v>45819</v>
      </c>
      <c r="C9" s="2" t="s">
        <v>22</v>
      </c>
      <c r="D9" s="2" t="s">
        <v>23</v>
      </c>
      <c r="E9" s="2" t="s">
        <v>30</v>
      </c>
      <c r="F9" s="2" t="s">
        <v>40</v>
      </c>
      <c r="G9" s="2" t="s">
        <v>47</v>
      </c>
      <c r="H9" s="4">
        <v>5</v>
      </c>
      <c r="I9" s="5">
        <v>22799.46</v>
      </c>
      <c r="J9" s="6">
        <v>0.1</v>
      </c>
      <c r="K9" s="5">
        <v>102597.57</v>
      </c>
      <c r="L9" s="5">
        <v>81476.31</v>
      </c>
      <c r="M9" s="5">
        <v>21121.26</v>
      </c>
      <c r="N9" s="2" t="s">
        <v>20</v>
      </c>
    </row>
    <row r="10" spans="1:14" ht="12" customHeight="1">
      <c r="A10" s="2" t="s">
        <v>48</v>
      </c>
      <c r="B10" s="3">
        <v>45792</v>
      </c>
      <c r="C10" s="2" t="s">
        <v>28</v>
      </c>
      <c r="D10" s="2" t="s">
        <v>29</v>
      </c>
      <c r="E10" s="2" t="s">
        <v>49</v>
      </c>
      <c r="F10" s="2" t="s">
        <v>50</v>
      </c>
      <c r="G10" s="2" t="s">
        <v>25</v>
      </c>
      <c r="H10" s="4">
        <v>5</v>
      </c>
      <c r="I10" s="5">
        <v>3957.83</v>
      </c>
      <c r="J10" s="6">
        <v>0.15</v>
      </c>
      <c r="K10" s="5">
        <v>16820.78</v>
      </c>
      <c r="L10" s="5">
        <v>10597.61</v>
      </c>
      <c r="M10" s="5">
        <v>6223.17</v>
      </c>
      <c r="N10" s="2" t="s">
        <v>20</v>
      </c>
    </row>
    <row r="11" spans="1:14" ht="12" customHeight="1">
      <c r="A11" s="2" t="s">
        <v>51</v>
      </c>
      <c r="B11" s="3">
        <v>45739</v>
      </c>
      <c r="C11" s="2" t="s">
        <v>28</v>
      </c>
      <c r="D11" s="2" t="s">
        <v>52</v>
      </c>
      <c r="E11" s="2" t="s">
        <v>44</v>
      </c>
      <c r="F11" s="2" t="s">
        <v>53</v>
      </c>
      <c r="G11" s="2" t="s">
        <v>25</v>
      </c>
      <c r="H11" s="4">
        <v>2</v>
      </c>
      <c r="I11" s="5">
        <v>8847.86</v>
      </c>
      <c r="J11" s="6">
        <v>0</v>
      </c>
      <c r="K11" s="5">
        <v>17695.72</v>
      </c>
      <c r="L11" s="5">
        <v>9610.85</v>
      </c>
      <c r="M11" s="5">
        <v>8084.87</v>
      </c>
      <c r="N11" s="2" t="s">
        <v>33</v>
      </c>
    </row>
    <row r="12" spans="1:14" ht="12" customHeight="1">
      <c r="A12" s="2" t="s">
        <v>54</v>
      </c>
      <c r="B12" s="3" t="s">
        <v>55</v>
      </c>
      <c r="C12" s="2" t="s">
        <v>28</v>
      </c>
      <c r="D12" s="2" t="s">
        <v>56</v>
      </c>
      <c r="E12" s="2" t="s">
        <v>49</v>
      </c>
      <c r="F12" s="2" t="s">
        <v>57</v>
      </c>
      <c r="G12" s="2" t="s">
        <v>58</v>
      </c>
      <c r="H12" s="4">
        <v>1</v>
      </c>
      <c r="I12" s="5">
        <v>11831.72</v>
      </c>
      <c r="J12" s="6">
        <v>0</v>
      </c>
      <c r="K12" s="5">
        <v>11831.72</v>
      </c>
      <c r="L12" s="5">
        <v>6615.18</v>
      </c>
      <c r="M12" s="5">
        <v>5216.54</v>
      </c>
      <c r="N12" s="2" t="s">
        <v>59</v>
      </c>
    </row>
    <row r="13" spans="1:14" ht="12" customHeight="1">
      <c r="A13" s="2" t="s">
        <v>60</v>
      </c>
      <c r="B13" s="3">
        <v>45792</v>
      </c>
      <c r="C13" s="2" t="s">
        <v>22</v>
      </c>
      <c r="D13" s="2" t="s">
        <v>35</v>
      </c>
      <c r="E13" s="2" t="s">
        <v>49</v>
      </c>
      <c r="F13" s="2" t="s">
        <v>50</v>
      </c>
      <c r="G13" s="2" t="s">
        <v>61</v>
      </c>
      <c r="H13" s="4">
        <v>8</v>
      </c>
      <c r="I13" s="5">
        <v>3866.18</v>
      </c>
      <c r="J13" s="6">
        <v>0.15</v>
      </c>
      <c r="K13" s="5">
        <v>26290.02</v>
      </c>
      <c r="L13" s="5">
        <v>17326</v>
      </c>
      <c r="M13" s="5">
        <v>8964.02</v>
      </c>
      <c r="N13" s="2" t="s">
        <v>33</v>
      </c>
    </row>
    <row r="14" spans="1:14" ht="12" customHeight="1">
      <c r="A14" s="2" t="s">
        <v>62</v>
      </c>
      <c r="B14" s="3">
        <v>45929</v>
      </c>
      <c r="C14" s="2" t="s">
        <v>15</v>
      </c>
      <c r="D14" s="2" t="s">
        <v>63</v>
      </c>
      <c r="E14" s="2" t="s">
        <v>44</v>
      </c>
      <c r="F14" s="2" t="s">
        <v>45</v>
      </c>
      <c r="G14" s="2" t="s">
        <v>64</v>
      </c>
      <c r="H14" s="4">
        <v>6</v>
      </c>
      <c r="I14" s="5">
        <v>29697.05</v>
      </c>
      <c r="J14" s="6">
        <v>0.1</v>
      </c>
      <c r="K14" s="5">
        <v>160364.07</v>
      </c>
      <c r="L14" s="5">
        <v>118188.93</v>
      </c>
      <c r="M14" s="5">
        <v>42175.14</v>
      </c>
      <c r="N14" s="2" t="s">
        <v>59</v>
      </c>
    </row>
    <row r="15" spans="1:14" ht="12" customHeight="1">
      <c r="A15" s="2" t="s">
        <v>65</v>
      </c>
      <c r="B15" s="3">
        <v>45698</v>
      </c>
      <c r="C15" s="2" t="s">
        <v>28</v>
      </c>
      <c r="D15" s="2" t="s">
        <v>52</v>
      </c>
      <c r="E15" s="2" t="s">
        <v>17</v>
      </c>
      <c r="F15" s="2" t="s">
        <v>18</v>
      </c>
      <c r="G15" s="2" t="s">
        <v>19</v>
      </c>
      <c r="H15" s="4">
        <v>5</v>
      </c>
      <c r="I15" s="5">
        <v>13895.53</v>
      </c>
      <c r="J15" s="6">
        <v>0</v>
      </c>
      <c r="K15" s="5">
        <v>69477.649999999994</v>
      </c>
      <c r="L15" s="5">
        <v>42289.89</v>
      </c>
      <c r="M15" s="5">
        <v>27187.759999999998</v>
      </c>
      <c r="N15" s="2" t="s">
        <v>20</v>
      </c>
    </row>
    <row r="16" spans="1:14" ht="12" customHeight="1">
      <c r="A16" s="2" t="s">
        <v>66</v>
      </c>
      <c r="B16" s="3">
        <v>45968</v>
      </c>
      <c r="C16" s="2" t="s">
        <v>22</v>
      </c>
      <c r="D16" s="2" t="s">
        <v>37</v>
      </c>
      <c r="E16" s="2" t="s">
        <v>44</v>
      </c>
      <c r="F16" s="2" t="s">
        <v>45</v>
      </c>
      <c r="G16" s="2" t="s">
        <v>25</v>
      </c>
      <c r="H16" s="4">
        <v>8</v>
      </c>
      <c r="I16" s="5">
        <v>30537.63</v>
      </c>
      <c r="J16" s="6">
        <v>0</v>
      </c>
      <c r="K16" s="5">
        <v>244301.04</v>
      </c>
      <c r="L16" s="5">
        <v>150260.20000000001</v>
      </c>
      <c r="M16" s="5">
        <v>94040.84</v>
      </c>
      <c r="N16" s="2" t="s">
        <v>26</v>
      </c>
    </row>
    <row r="17" spans="1:14" ht="12" customHeight="1">
      <c r="A17" s="2" t="s">
        <v>67</v>
      </c>
      <c r="B17" s="3">
        <v>45922</v>
      </c>
      <c r="C17" s="2" t="s">
        <v>68</v>
      </c>
      <c r="D17" s="2" t="s">
        <v>43</v>
      </c>
      <c r="E17" s="2" t="s">
        <v>44</v>
      </c>
      <c r="F17" s="2" t="s">
        <v>69</v>
      </c>
      <c r="G17" s="2" t="s">
        <v>70</v>
      </c>
      <c r="H17" s="4">
        <v>7</v>
      </c>
      <c r="I17" s="5">
        <v>41010.51</v>
      </c>
      <c r="J17" s="6">
        <v>0.15</v>
      </c>
      <c r="K17" s="5">
        <v>244012.53</v>
      </c>
      <c r="L17" s="5">
        <v>181297.38</v>
      </c>
      <c r="M17" s="5">
        <v>62715.15</v>
      </c>
      <c r="N17" s="2" t="s">
        <v>33</v>
      </c>
    </row>
    <row r="18" spans="1:14" ht="12" customHeight="1">
      <c r="A18" s="2" t="s">
        <v>71</v>
      </c>
      <c r="B18" s="3">
        <v>45661</v>
      </c>
      <c r="C18" s="2" t="s">
        <v>22</v>
      </c>
      <c r="D18" s="2" t="s">
        <v>23</v>
      </c>
      <c r="E18" s="2" t="s">
        <v>17</v>
      </c>
      <c r="F18" s="2" t="s">
        <v>18</v>
      </c>
      <c r="G18" s="2" t="s">
        <v>19</v>
      </c>
      <c r="H18" s="4">
        <v>1</v>
      </c>
      <c r="I18" s="5">
        <v>14704.88</v>
      </c>
      <c r="J18" s="6">
        <v>0</v>
      </c>
      <c r="K18" s="5">
        <v>14704.88</v>
      </c>
      <c r="L18" s="5">
        <v>8291.76</v>
      </c>
      <c r="M18" s="5">
        <v>6413.12</v>
      </c>
      <c r="N18" s="2" t="s">
        <v>33</v>
      </c>
    </row>
    <row r="19" spans="1:14" ht="12" customHeight="1">
      <c r="A19" s="2" t="s">
        <v>72</v>
      </c>
      <c r="B19" s="3">
        <v>45767</v>
      </c>
      <c r="C19" s="2" t="s">
        <v>22</v>
      </c>
      <c r="D19" s="2" t="s">
        <v>23</v>
      </c>
      <c r="E19" s="2" t="s">
        <v>17</v>
      </c>
      <c r="F19" s="2" t="s">
        <v>18</v>
      </c>
      <c r="G19" s="2" t="s">
        <v>61</v>
      </c>
      <c r="H19" s="4">
        <v>2</v>
      </c>
      <c r="I19" s="5">
        <v>14532.84</v>
      </c>
      <c r="J19" s="6">
        <v>0.05</v>
      </c>
      <c r="K19" s="5">
        <v>27612.400000000001</v>
      </c>
      <c r="L19" s="5">
        <v>16675.990000000002</v>
      </c>
      <c r="M19" s="5">
        <v>10936.41</v>
      </c>
      <c r="N19" s="2" t="s">
        <v>20</v>
      </c>
    </row>
    <row r="20" spans="1:14" ht="12" customHeight="1">
      <c r="A20" s="2" t="s">
        <v>73</v>
      </c>
      <c r="B20" s="3">
        <v>45868</v>
      </c>
      <c r="C20" s="2" t="s">
        <v>22</v>
      </c>
      <c r="D20" s="2" t="s">
        <v>35</v>
      </c>
      <c r="E20" s="2" t="s">
        <v>49</v>
      </c>
      <c r="F20" s="2" t="s">
        <v>50</v>
      </c>
      <c r="G20" s="2" t="s">
        <v>70</v>
      </c>
      <c r="H20" s="4">
        <v>2</v>
      </c>
      <c r="I20" s="5">
        <v>3929.14</v>
      </c>
      <c r="J20" s="6">
        <v>0.05</v>
      </c>
      <c r="K20" s="5">
        <v>7465.37</v>
      </c>
      <c r="L20" s="5">
        <v>4178.16</v>
      </c>
      <c r="M20" s="5">
        <v>3287.21</v>
      </c>
      <c r="N20" s="2" t="s">
        <v>33</v>
      </c>
    </row>
    <row r="21" spans="1:14" ht="12" customHeight="1">
      <c r="A21" s="2" t="s">
        <v>74</v>
      </c>
      <c r="B21" s="3">
        <v>45755</v>
      </c>
      <c r="C21" s="2" t="s">
        <v>15</v>
      </c>
      <c r="D21" s="2" t="s">
        <v>43</v>
      </c>
      <c r="E21" s="2" t="s">
        <v>17</v>
      </c>
      <c r="F21" s="2" t="s">
        <v>75</v>
      </c>
      <c r="G21" s="2" t="s">
        <v>70</v>
      </c>
      <c r="H21" s="4">
        <v>7</v>
      </c>
      <c r="I21" s="5">
        <v>191755.12</v>
      </c>
      <c r="J21" s="6">
        <v>0</v>
      </c>
      <c r="K21" s="5">
        <v>1342285.84</v>
      </c>
      <c r="L21" s="5">
        <v>981481.51</v>
      </c>
      <c r="M21" s="5">
        <v>360804.33</v>
      </c>
      <c r="N21" s="2" t="s">
        <v>26</v>
      </c>
    </row>
    <row r="22" spans="1:14" ht="12" customHeight="1">
      <c r="A22" s="2" t="s">
        <v>76</v>
      </c>
      <c r="B22" s="3">
        <v>45939</v>
      </c>
      <c r="C22" s="2" t="s">
        <v>28</v>
      </c>
      <c r="D22" s="2" t="s">
        <v>52</v>
      </c>
      <c r="E22" s="2" t="s">
        <v>30</v>
      </c>
      <c r="F22" s="2" t="s">
        <v>40</v>
      </c>
      <c r="G22" s="2" t="s">
        <v>19</v>
      </c>
      <c r="H22" s="4">
        <v>4</v>
      </c>
      <c r="I22" s="5">
        <v>25967.98</v>
      </c>
      <c r="J22" s="6">
        <v>0</v>
      </c>
      <c r="K22" s="5">
        <v>103871.92</v>
      </c>
      <c r="L22" s="5">
        <v>63264.41</v>
      </c>
      <c r="M22" s="5">
        <v>40607.51</v>
      </c>
      <c r="N22" s="2" t="s">
        <v>33</v>
      </c>
    </row>
    <row r="23" spans="1:14" ht="12" customHeight="1">
      <c r="A23" s="2" t="s">
        <v>77</v>
      </c>
      <c r="B23" s="3">
        <v>45863</v>
      </c>
      <c r="C23" s="2" t="s">
        <v>15</v>
      </c>
      <c r="D23" s="2" t="s">
        <v>43</v>
      </c>
      <c r="E23" s="2" t="s">
        <v>17</v>
      </c>
      <c r="F23" s="2" t="s">
        <v>75</v>
      </c>
      <c r="G23" s="2" t="s">
        <v>64</v>
      </c>
      <c r="H23" s="4">
        <v>4</v>
      </c>
      <c r="I23" s="5">
        <v>175122.81</v>
      </c>
      <c r="J23" s="6">
        <v>0.05</v>
      </c>
      <c r="K23" s="5">
        <v>665466.68000000005</v>
      </c>
      <c r="L23" s="5">
        <v>570098.81000000006</v>
      </c>
      <c r="M23" s="5">
        <v>95367.87</v>
      </c>
      <c r="N23" s="2" t="s">
        <v>26</v>
      </c>
    </row>
    <row r="24" spans="1:14" ht="12" customHeight="1">
      <c r="A24" s="2" t="s">
        <v>78</v>
      </c>
      <c r="B24" s="3">
        <v>45942</v>
      </c>
      <c r="C24" s="2" t="s">
        <v>28</v>
      </c>
      <c r="D24" s="2" t="s">
        <v>52</v>
      </c>
      <c r="E24" s="2" t="s">
        <v>49</v>
      </c>
      <c r="F24" s="2" t="s">
        <v>57</v>
      </c>
      <c r="G24" s="2" t="s">
        <v>70</v>
      </c>
      <c r="H24" s="4">
        <v>8</v>
      </c>
      <c r="I24" s="5">
        <v>11104.86</v>
      </c>
      <c r="J24" s="6">
        <v>0.15</v>
      </c>
      <c r="K24" s="5">
        <v>75513.05</v>
      </c>
      <c r="L24" s="5">
        <v>53924.639999999999</v>
      </c>
      <c r="M24" s="5">
        <v>21588.41</v>
      </c>
      <c r="N24" s="2" t="s">
        <v>26</v>
      </c>
    </row>
    <row r="25" spans="1:14" ht="12" customHeight="1">
      <c r="A25" s="2" t="s">
        <v>79</v>
      </c>
      <c r="B25" s="3">
        <v>45902</v>
      </c>
      <c r="C25" s="2" t="s">
        <v>22</v>
      </c>
      <c r="D25" s="2" t="s">
        <v>35</v>
      </c>
      <c r="E25" s="2" t="s">
        <v>44</v>
      </c>
      <c r="F25" s="2" t="s">
        <v>80</v>
      </c>
      <c r="G25" s="2" t="s">
        <v>81</v>
      </c>
      <c r="H25" s="4">
        <v>1</v>
      </c>
      <c r="I25" s="5">
        <v>44706.07</v>
      </c>
      <c r="J25" s="6">
        <v>0</v>
      </c>
      <c r="K25" s="5">
        <v>44706.07</v>
      </c>
      <c r="L25" s="5">
        <v>30178.81</v>
      </c>
      <c r="M25" s="5">
        <v>14527.26</v>
      </c>
      <c r="N25" s="2" t="s">
        <v>33</v>
      </c>
    </row>
    <row r="26" spans="1:14" ht="12" customHeight="1">
      <c r="A26" s="2" t="s">
        <v>82</v>
      </c>
      <c r="B26" s="3">
        <v>45949</v>
      </c>
      <c r="C26" s="2" t="s">
        <v>15</v>
      </c>
      <c r="D26" s="2" t="s">
        <v>16</v>
      </c>
      <c r="E26" s="2" t="s">
        <v>44</v>
      </c>
      <c r="F26" s="2" t="s">
        <v>80</v>
      </c>
      <c r="G26" s="2" t="s">
        <v>47</v>
      </c>
      <c r="H26" s="4">
        <v>2</v>
      </c>
      <c r="I26" s="5">
        <v>44205.46</v>
      </c>
      <c r="J26" s="6">
        <v>0</v>
      </c>
      <c r="K26" s="5">
        <v>88410.92</v>
      </c>
      <c r="L26" s="5">
        <v>61892.39</v>
      </c>
      <c r="M26" s="5">
        <v>26518.53</v>
      </c>
      <c r="N26" s="2" t="s">
        <v>33</v>
      </c>
    </row>
    <row r="27" spans="1:14" ht="12" customHeight="1">
      <c r="A27" s="2" t="s">
        <v>83</v>
      </c>
      <c r="B27" s="3">
        <v>45793</v>
      </c>
      <c r="C27" s="2" t="s">
        <v>15</v>
      </c>
      <c r="D27" s="2" t="s">
        <v>16</v>
      </c>
      <c r="E27" s="2" t="s">
        <v>49</v>
      </c>
      <c r="F27" s="2" t="s">
        <v>57</v>
      </c>
      <c r="G27" s="2" t="s">
        <v>25</v>
      </c>
      <c r="H27" s="4">
        <v>5</v>
      </c>
      <c r="I27" s="5">
        <v>10955.84</v>
      </c>
      <c r="J27" s="6">
        <v>0.15</v>
      </c>
      <c r="K27" s="5">
        <v>46562.32</v>
      </c>
      <c r="L27" s="5">
        <v>32239.77</v>
      </c>
      <c r="M27" s="5">
        <v>14322.55</v>
      </c>
      <c r="N27" s="2" t="s">
        <v>26</v>
      </c>
    </row>
    <row r="28" spans="1:14" ht="12" customHeight="1">
      <c r="A28" s="2" t="s">
        <v>84</v>
      </c>
      <c r="B28" s="3">
        <v>45976</v>
      </c>
      <c r="C28" s="2" t="s">
        <v>15</v>
      </c>
      <c r="D28" s="2" t="s">
        <v>43</v>
      </c>
      <c r="E28" s="2" t="s">
        <v>30</v>
      </c>
      <c r="F28" s="2" t="s">
        <v>40</v>
      </c>
      <c r="G28" s="2" t="s">
        <v>19</v>
      </c>
      <c r="H28" s="4">
        <v>6</v>
      </c>
      <c r="I28" s="5">
        <v>26181.75</v>
      </c>
      <c r="J28" s="6">
        <v>0</v>
      </c>
      <c r="K28" s="5">
        <v>157090.5</v>
      </c>
      <c r="L28" s="5">
        <v>92017.82</v>
      </c>
      <c r="M28" s="5">
        <v>65072.68</v>
      </c>
      <c r="N28" s="2" t="s">
        <v>33</v>
      </c>
    </row>
    <row r="29" spans="1:14" ht="12" customHeight="1">
      <c r="A29" s="2" t="s">
        <v>85</v>
      </c>
      <c r="B29" s="3">
        <v>45738</v>
      </c>
      <c r="C29" s="2" t="s">
        <v>15</v>
      </c>
      <c r="D29" s="2" t="s">
        <v>16</v>
      </c>
      <c r="E29" s="2" t="s">
        <v>30</v>
      </c>
      <c r="F29" s="2" t="s">
        <v>86</v>
      </c>
      <c r="G29" s="2" t="s">
        <v>70</v>
      </c>
      <c r="H29" s="4">
        <v>6</v>
      </c>
      <c r="I29" s="5">
        <v>35010.959999999999</v>
      </c>
      <c r="J29" s="6">
        <v>0</v>
      </c>
      <c r="K29" s="5">
        <v>210065.76</v>
      </c>
      <c r="L29" s="5">
        <v>134442.03</v>
      </c>
      <c r="M29" s="5">
        <v>75623.73</v>
      </c>
      <c r="N29" s="2" t="s">
        <v>59</v>
      </c>
    </row>
    <row r="30" spans="1:14" ht="12" customHeight="1">
      <c r="A30" s="2" t="s">
        <v>87</v>
      </c>
      <c r="B30" s="3">
        <v>45712</v>
      </c>
      <c r="C30" s="2" t="s">
        <v>15</v>
      </c>
      <c r="D30" s="2" t="s">
        <v>43</v>
      </c>
      <c r="E30" s="2" t="s">
        <v>17</v>
      </c>
      <c r="F30" s="2" t="s">
        <v>18</v>
      </c>
      <c r="G30" s="2" t="s">
        <v>61</v>
      </c>
      <c r="H30" s="4">
        <v>2</v>
      </c>
      <c r="I30" s="5">
        <v>15518.32</v>
      </c>
      <c r="J30" s="6">
        <v>0</v>
      </c>
      <c r="K30" s="5">
        <v>31036.639999999999</v>
      </c>
      <c r="L30" s="5">
        <v>16211.61</v>
      </c>
      <c r="M30" s="5">
        <v>14825.03</v>
      </c>
      <c r="N30" s="2" t="s">
        <v>59</v>
      </c>
    </row>
    <row r="31" spans="1:14" ht="12" customHeight="1">
      <c r="A31" s="2" t="s">
        <v>88</v>
      </c>
      <c r="B31" s="3">
        <v>45786</v>
      </c>
      <c r="C31" s="2" t="s">
        <v>28</v>
      </c>
      <c r="D31" s="2" t="s">
        <v>29</v>
      </c>
      <c r="E31" s="2" t="s">
        <v>44</v>
      </c>
      <c r="F31" s="2" t="s">
        <v>69</v>
      </c>
      <c r="G31" s="2" t="s">
        <v>64</v>
      </c>
      <c r="H31" s="4">
        <v>4</v>
      </c>
      <c r="I31" s="5">
        <v>39139.980000000003</v>
      </c>
      <c r="J31" s="6">
        <v>0.05</v>
      </c>
      <c r="K31" s="5">
        <v>148731.92000000001</v>
      </c>
      <c r="L31" s="5">
        <v>104559.38</v>
      </c>
      <c r="M31" s="5">
        <v>44172.54</v>
      </c>
      <c r="N31" s="2" t="s">
        <v>33</v>
      </c>
    </row>
    <row r="32" spans="1:14" ht="12" customHeight="1">
      <c r="A32" s="2" t="s">
        <v>89</v>
      </c>
      <c r="B32" s="3">
        <v>45792</v>
      </c>
      <c r="C32" s="2" t="s">
        <v>15</v>
      </c>
      <c r="D32" s="2" t="s">
        <v>63</v>
      </c>
      <c r="E32" s="2" t="s">
        <v>30</v>
      </c>
      <c r="F32" s="2" t="s">
        <v>31</v>
      </c>
      <c r="G32" s="2" t="s">
        <v>61</v>
      </c>
      <c r="H32" s="4">
        <v>1</v>
      </c>
      <c r="I32" s="5">
        <v>131404.82</v>
      </c>
      <c r="J32" s="6">
        <v>0</v>
      </c>
      <c r="K32" s="5">
        <v>131404.82</v>
      </c>
      <c r="L32" s="5">
        <v>102474.39</v>
      </c>
      <c r="M32" s="5">
        <v>28930.43</v>
      </c>
      <c r="N32" s="2" t="s">
        <v>20</v>
      </c>
    </row>
    <row r="33" spans="1:14" ht="12" customHeight="1">
      <c r="A33" s="2" t="s">
        <v>90</v>
      </c>
      <c r="B33" s="3">
        <v>45937</v>
      </c>
      <c r="C33" s="2" t="s">
        <v>15</v>
      </c>
      <c r="D33" s="2" t="s">
        <v>43</v>
      </c>
      <c r="E33" s="2" t="s">
        <v>49</v>
      </c>
      <c r="F33" s="2" t="s">
        <v>91</v>
      </c>
      <c r="G33" s="2" t="s">
        <v>64</v>
      </c>
      <c r="H33" s="4">
        <v>2</v>
      </c>
      <c r="I33" s="5">
        <v>6058.25</v>
      </c>
      <c r="J33" s="6">
        <v>0.15</v>
      </c>
      <c r="K33" s="5">
        <v>10299.02</v>
      </c>
      <c r="L33" s="5">
        <v>7439.58</v>
      </c>
      <c r="M33" s="5">
        <v>2859.44</v>
      </c>
      <c r="N33" s="2" t="s">
        <v>59</v>
      </c>
    </row>
    <row r="34" spans="1:14" ht="12" customHeight="1">
      <c r="A34" s="2" t="s">
        <v>92</v>
      </c>
      <c r="B34" s="3">
        <v>45678</v>
      </c>
      <c r="C34" s="2" t="s">
        <v>15</v>
      </c>
      <c r="D34" s="2" t="s">
        <v>43</v>
      </c>
      <c r="E34" s="2" t="s">
        <v>44</v>
      </c>
      <c r="F34" s="2" t="s">
        <v>53</v>
      </c>
      <c r="G34" s="2" t="s">
        <v>32</v>
      </c>
      <c r="H34" s="4">
        <v>3</v>
      </c>
      <c r="I34" s="5">
        <v>7876.89</v>
      </c>
      <c r="J34" s="6">
        <v>0.05</v>
      </c>
      <c r="K34" s="5">
        <v>22449.14</v>
      </c>
      <c r="L34" s="5">
        <v>15184.05</v>
      </c>
      <c r="M34" s="5">
        <v>7265.09</v>
      </c>
      <c r="N34" s="2" t="s">
        <v>26</v>
      </c>
    </row>
    <row r="35" spans="1:14" ht="12" customHeight="1">
      <c r="A35" s="2" t="s">
        <v>93</v>
      </c>
      <c r="B35" s="3">
        <v>45779</v>
      </c>
      <c r="C35" s="2" t="s">
        <v>15</v>
      </c>
      <c r="D35" s="2" t="s">
        <v>16</v>
      </c>
      <c r="E35" s="2" t="s">
        <v>17</v>
      </c>
      <c r="F35" s="2" t="s">
        <v>18</v>
      </c>
      <c r="G35" s="2" t="s">
        <v>61</v>
      </c>
      <c r="H35" s="4">
        <v>7</v>
      </c>
      <c r="I35" s="5">
        <v>15599.3</v>
      </c>
      <c r="J35" s="6">
        <v>0.15</v>
      </c>
      <c r="K35" s="5">
        <v>92815.83</v>
      </c>
      <c r="L35" s="5">
        <v>56299</v>
      </c>
      <c r="M35" s="5">
        <v>36516.83</v>
      </c>
      <c r="N35" s="2" t="s">
        <v>26</v>
      </c>
    </row>
    <row r="36" spans="1:14" ht="12" customHeight="1">
      <c r="A36" s="2" t="s">
        <v>94</v>
      </c>
      <c r="B36" s="3">
        <v>45794</v>
      </c>
      <c r="C36" s="2" t="s">
        <v>28</v>
      </c>
      <c r="D36" s="2" t="s">
        <v>52</v>
      </c>
      <c r="E36" s="2" t="s">
        <v>44</v>
      </c>
      <c r="F36" s="2" t="s">
        <v>69</v>
      </c>
      <c r="G36" s="2" t="s">
        <v>61</v>
      </c>
      <c r="H36" s="4">
        <v>7</v>
      </c>
      <c r="I36" s="5">
        <v>39837.589999999997</v>
      </c>
      <c r="J36" s="6">
        <v>0.15</v>
      </c>
      <c r="K36" s="5">
        <v>237033.66</v>
      </c>
      <c r="L36" s="5">
        <v>186868.95</v>
      </c>
      <c r="M36" s="5">
        <v>50164.71</v>
      </c>
      <c r="N36" s="2"/>
    </row>
    <row r="37" spans="1:14" ht="12" customHeight="1">
      <c r="A37" s="2" t="s">
        <v>95</v>
      </c>
      <c r="B37" s="3">
        <v>45774</v>
      </c>
      <c r="C37" s="2" t="s">
        <v>28</v>
      </c>
      <c r="D37" s="2" t="s">
        <v>52</v>
      </c>
      <c r="E37" s="2" t="s">
        <v>49</v>
      </c>
      <c r="F37" s="2" t="s">
        <v>50</v>
      </c>
      <c r="G37" s="2" t="s">
        <v>47</v>
      </c>
      <c r="H37" s="4">
        <v>4</v>
      </c>
      <c r="I37" s="5">
        <v>4412.75</v>
      </c>
      <c r="J37" s="6">
        <v>0.05</v>
      </c>
      <c r="K37" s="5">
        <v>16768.45</v>
      </c>
      <c r="L37" s="5">
        <v>8353.6</v>
      </c>
      <c r="M37" s="5">
        <v>8414.85</v>
      </c>
      <c r="N37" s="2" t="s">
        <v>33</v>
      </c>
    </row>
    <row r="38" spans="1:14" ht="12" customHeight="1">
      <c r="A38" s="2" t="s">
        <v>96</v>
      </c>
      <c r="B38" s="3">
        <v>45918</v>
      </c>
      <c r="C38" s="2" t="s">
        <v>15</v>
      </c>
      <c r="D38" s="2" t="s">
        <v>16</v>
      </c>
      <c r="E38" s="2" t="s">
        <v>49</v>
      </c>
      <c r="F38" s="2" t="s">
        <v>57</v>
      </c>
      <c r="G38" s="2" t="s">
        <v>25</v>
      </c>
      <c r="H38" s="4">
        <v>5</v>
      </c>
      <c r="I38" s="5">
        <v>12170.41</v>
      </c>
      <c r="J38" s="6">
        <v>0.05</v>
      </c>
      <c r="K38" s="5">
        <v>57809.45</v>
      </c>
      <c r="L38" s="5">
        <v>32323.86</v>
      </c>
      <c r="M38" s="5">
        <v>25485.59</v>
      </c>
      <c r="N38" s="2" t="s">
        <v>59</v>
      </c>
    </row>
    <row r="39" spans="1:14" ht="12" customHeight="1">
      <c r="A39" s="2" t="s">
        <v>97</v>
      </c>
      <c r="B39" s="3">
        <v>45818</v>
      </c>
      <c r="C39" s="2" t="s">
        <v>22</v>
      </c>
      <c r="D39" s="2" t="s">
        <v>23</v>
      </c>
      <c r="E39" s="2" t="s">
        <v>30</v>
      </c>
      <c r="F39" s="2" t="s">
        <v>86</v>
      </c>
      <c r="G39" s="2" t="s">
        <v>25</v>
      </c>
      <c r="H39" s="4">
        <v>5</v>
      </c>
      <c r="I39" s="5">
        <v>30562</v>
      </c>
      <c r="J39" s="6">
        <v>0.1</v>
      </c>
      <c r="K39" s="5">
        <v>137529</v>
      </c>
      <c r="L39" s="5">
        <v>112547.19</v>
      </c>
      <c r="M39" s="5">
        <v>24981.81</v>
      </c>
      <c r="N39" s="2" t="s">
        <v>33</v>
      </c>
    </row>
    <row r="40" spans="1:14" ht="12" customHeight="1">
      <c r="A40" s="2" t="s">
        <v>98</v>
      </c>
      <c r="B40" s="3">
        <v>45933</v>
      </c>
      <c r="C40" s="2" t="s">
        <v>28</v>
      </c>
      <c r="D40" s="2" t="s">
        <v>29</v>
      </c>
      <c r="E40" s="2" t="s">
        <v>44</v>
      </c>
      <c r="F40" s="2" t="s">
        <v>69</v>
      </c>
      <c r="G40" s="2" t="s">
        <v>47</v>
      </c>
      <c r="H40" s="4">
        <v>1</v>
      </c>
      <c r="I40" s="5">
        <v>39269.410000000003</v>
      </c>
      <c r="J40" s="6">
        <v>0</v>
      </c>
      <c r="K40" s="5">
        <v>39269.410000000003</v>
      </c>
      <c r="L40" s="5">
        <v>26166.26</v>
      </c>
      <c r="M40" s="5">
        <v>13103.15</v>
      </c>
      <c r="N40" s="2" t="s">
        <v>59</v>
      </c>
    </row>
    <row r="41" spans="1:14" ht="12" customHeight="1">
      <c r="A41" s="2" t="s">
        <v>99</v>
      </c>
      <c r="B41" s="3">
        <v>45999</v>
      </c>
      <c r="C41" s="2" t="s">
        <v>28</v>
      </c>
      <c r="D41" s="2" t="s">
        <v>52</v>
      </c>
      <c r="E41" s="2" t="s">
        <v>30</v>
      </c>
      <c r="F41" s="2" t="s">
        <v>38</v>
      </c>
      <c r="G41" s="2" t="s">
        <v>25</v>
      </c>
      <c r="H41" s="4">
        <v>2</v>
      </c>
      <c r="I41" s="5">
        <v>27949.34</v>
      </c>
      <c r="J41" s="6">
        <v>0.05</v>
      </c>
      <c r="K41" s="5">
        <v>53103.75</v>
      </c>
      <c r="L41" s="5">
        <v>36197.949999999997</v>
      </c>
      <c r="M41" s="5">
        <v>16905.8</v>
      </c>
      <c r="N41" s="2" t="s">
        <v>59</v>
      </c>
    </row>
    <row r="42" spans="1:14" ht="12" customHeight="1">
      <c r="A42" s="2" t="s">
        <v>100</v>
      </c>
      <c r="B42" s="3">
        <v>45747</v>
      </c>
      <c r="C42" s="2" t="s">
        <v>28</v>
      </c>
      <c r="D42" s="2" t="s">
        <v>29</v>
      </c>
      <c r="E42" s="2" t="s">
        <v>30</v>
      </c>
      <c r="F42" s="2" t="s">
        <v>86</v>
      </c>
      <c r="G42" s="2" t="s">
        <v>58</v>
      </c>
      <c r="H42" s="4">
        <v>4</v>
      </c>
      <c r="I42" s="5">
        <v>32579.96</v>
      </c>
      <c r="J42" s="6">
        <v>0.05</v>
      </c>
      <c r="K42" s="5">
        <v>123803.85</v>
      </c>
      <c r="L42" s="5">
        <v>91567.1</v>
      </c>
      <c r="M42" s="5">
        <v>32236.75</v>
      </c>
      <c r="N42" s="2" t="s">
        <v>20</v>
      </c>
    </row>
    <row r="43" spans="1:14" ht="12" customHeight="1">
      <c r="A43" s="2" t="s">
        <v>101</v>
      </c>
      <c r="B43" s="3">
        <v>45822</v>
      </c>
      <c r="C43" s="2" t="s">
        <v>15</v>
      </c>
      <c r="D43" s="2" t="s">
        <v>16</v>
      </c>
      <c r="E43" s="2" t="s">
        <v>30</v>
      </c>
      <c r="F43" s="2" t="s">
        <v>38</v>
      </c>
      <c r="G43" s="2" t="s">
        <v>70</v>
      </c>
      <c r="H43" s="4">
        <v>4</v>
      </c>
      <c r="I43" s="5">
        <v>26697.119999999999</v>
      </c>
      <c r="J43" s="6">
        <v>0.1</v>
      </c>
      <c r="K43" s="5">
        <v>96109.63</v>
      </c>
      <c r="L43" s="5">
        <v>72897.570000000007</v>
      </c>
      <c r="M43" s="5">
        <v>23212.06</v>
      </c>
      <c r="N43" s="2" t="s">
        <v>20</v>
      </c>
    </row>
    <row r="44" spans="1:14" ht="12" customHeight="1">
      <c r="A44" s="2" t="s">
        <v>102</v>
      </c>
      <c r="B44" s="3">
        <v>45982</v>
      </c>
      <c r="C44" s="2" t="s">
        <v>28</v>
      </c>
      <c r="D44" s="2" t="s">
        <v>29</v>
      </c>
      <c r="E44" s="2" t="s">
        <v>44</v>
      </c>
      <c r="F44" s="2" t="s">
        <v>53</v>
      </c>
      <c r="G44" s="2" t="s">
        <v>32</v>
      </c>
      <c r="H44" s="4"/>
      <c r="I44" s="5">
        <v>8716.0400000000009</v>
      </c>
      <c r="J44" s="6">
        <v>0.05</v>
      </c>
      <c r="K44" s="5">
        <v>24840.71</v>
      </c>
      <c r="L44" s="5">
        <v>14789.4</v>
      </c>
      <c r="M44" s="5">
        <v>10051.31</v>
      </c>
      <c r="N44" s="2" t="s">
        <v>33</v>
      </c>
    </row>
    <row r="45" spans="1:14" ht="12" customHeight="1">
      <c r="A45" s="2" t="s">
        <v>103</v>
      </c>
      <c r="B45" s="3">
        <v>45901</v>
      </c>
      <c r="C45" s="2" t="s">
        <v>22</v>
      </c>
      <c r="D45" s="2" t="s">
        <v>37</v>
      </c>
      <c r="E45" s="2" t="s">
        <v>30</v>
      </c>
      <c r="F45" s="2" t="s">
        <v>86</v>
      </c>
      <c r="G45" s="2" t="s">
        <v>19</v>
      </c>
      <c r="H45" s="4">
        <v>4</v>
      </c>
      <c r="I45" s="5">
        <v>31138.03</v>
      </c>
      <c r="J45" s="6">
        <v>0</v>
      </c>
      <c r="K45" s="5">
        <v>124552.12</v>
      </c>
      <c r="L45" s="5">
        <v>88842.51</v>
      </c>
      <c r="M45" s="5">
        <v>35709.61</v>
      </c>
      <c r="N45" s="2" t="s">
        <v>20</v>
      </c>
    </row>
    <row r="46" spans="1:14" ht="12" customHeight="1">
      <c r="A46" s="2" t="s">
        <v>104</v>
      </c>
      <c r="B46" s="3">
        <v>45660</v>
      </c>
      <c r="C46" s="2" t="s">
        <v>28</v>
      </c>
      <c r="D46" s="2" t="s">
        <v>29</v>
      </c>
      <c r="E46" s="2" t="s">
        <v>44</v>
      </c>
      <c r="F46" s="2" t="s">
        <v>53</v>
      </c>
      <c r="G46" s="2" t="s">
        <v>19</v>
      </c>
      <c r="H46" s="4">
        <v>8</v>
      </c>
      <c r="I46" s="5">
        <v>8363.5300000000007</v>
      </c>
      <c r="J46" s="6">
        <v>0</v>
      </c>
      <c r="K46" s="5">
        <v>66908.240000000005</v>
      </c>
      <c r="L46" s="5">
        <v>39824.22</v>
      </c>
      <c r="M46" s="5">
        <v>27084.02</v>
      </c>
      <c r="N46" s="2" t="s">
        <v>20</v>
      </c>
    </row>
    <row r="47" spans="1:14" ht="12" customHeight="1">
      <c r="A47" s="2" t="s">
        <v>105</v>
      </c>
      <c r="B47" s="3">
        <v>45895</v>
      </c>
      <c r="C47" s="2" t="s">
        <v>22</v>
      </c>
      <c r="D47" s="2" t="s">
        <v>23</v>
      </c>
      <c r="E47" s="2" t="s">
        <v>49</v>
      </c>
      <c r="F47" s="2" t="s">
        <v>91</v>
      </c>
      <c r="G47" s="2" t="s">
        <v>32</v>
      </c>
      <c r="H47" s="4">
        <v>4</v>
      </c>
      <c r="I47" s="5">
        <v>6934.17</v>
      </c>
      <c r="J47" s="6">
        <v>0</v>
      </c>
      <c r="K47" s="5">
        <v>27736.68</v>
      </c>
      <c r="L47" s="5">
        <v>14428.11</v>
      </c>
      <c r="M47" s="5">
        <v>13308.57</v>
      </c>
      <c r="N47" s="2" t="s">
        <v>20</v>
      </c>
    </row>
    <row r="48" spans="1:14" ht="12" customHeight="1">
      <c r="A48" s="2" t="s">
        <v>106</v>
      </c>
      <c r="B48" s="3">
        <v>45784</v>
      </c>
      <c r="C48" s="2" t="s">
        <v>15</v>
      </c>
      <c r="D48" s="2" t="s">
        <v>43</v>
      </c>
      <c r="E48" s="2" t="s">
        <v>49</v>
      </c>
      <c r="F48" s="2" t="s">
        <v>107</v>
      </c>
      <c r="G48" s="2" t="s">
        <v>58</v>
      </c>
      <c r="H48" s="4">
        <v>3</v>
      </c>
      <c r="I48" s="5">
        <v>5402.72</v>
      </c>
      <c r="J48" s="6">
        <v>0.05</v>
      </c>
      <c r="K48" s="5">
        <v>15397.75</v>
      </c>
      <c r="L48" s="5">
        <v>8112.19</v>
      </c>
      <c r="M48" s="5">
        <v>7285.56</v>
      </c>
      <c r="N48" s="2" t="s">
        <v>20</v>
      </c>
    </row>
    <row r="49" spans="1:14" ht="12" customHeight="1">
      <c r="A49" s="2" t="s">
        <v>108</v>
      </c>
      <c r="B49" s="3">
        <v>45821</v>
      </c>
      <c r="C49" s="2" t="s">
        <v>15</v>
      </c>
      <c r="D49" s="2" t="s">
        <v>16</v>
      </c>
      <c r="E49" s="2" t="s">
        <v>30</v>
      </c>
      <c r="F49" s="2" t="s">
        <v>40</v>
      </c>
      <c r="G49" s="2" t="s">
        <v>19</v>
      </c>
      <c r="H49" s="4">
        <v>2</v>
      </c>
      <c r="I49" s="5">
        <v>25337.1</v>
      </c>
      <c r="J49" s="6">
        <v>0</v>
      </c>
      <c r="K49" s="5">
        <v>50674.2</v>
      </c>
      <c r="L49" s="5">
        <v>31253.03</v>
      </c>
      <c r="M49" s="5">
        <v>19421.169999999998</v>
      </c>
      <c r="N49" s="2" t="s">
        <v>26</v>
      </c>
    </row>
    <row r="50" spans="1:14" ht="12" customHeight="1">
      <c r="A50" s="2" t="s">
        <v>109</v>
      </c>
      <c r="B50" s="3">
        <v>45896</v>
      </c>
      <c r="C50" s="2" t="s">
        <v>22</v>
      </c>
      <c r="D50" s="2" t="s">
        <v>23</v>
      </c>
      <c r="E50" s="2" t="s">
        <v>49</v>
      </c>
      <c r="F50" s="2" t="s">
        <v>50</v>
      </c>
      <c r="G50" s="2" t="s">
        <v>25</v>
      </c>
      <c r="H50" s="4">
        <v>4</v>
      </c>
      <c r="I50" s="5">
        <v>3907.16</v>
      </c>
      <c r="J50" s="6">
        <v>0.05</v>
      </c>
      <c r="K50" s="5">
        <v>14847.21</v>
      </c>
      <c r="L50" s="5">
        <v>8342.56</v>
      </c>
      <c r="M50" s="5">
        <v>6504.65</v>
      </c>
      <c r="N50" s="2" t="s">
        <v>33</v>
      </c>
    </row>
    <row r="51" spans="1:14" ht="12" customHeight="1">
      <c r="A51" s="2" t="s">
        <v>110</v>
      </c>
      <c r="B51" s="3">
        <v>45857</v>
      </c>
      <c r="C51" s="2" t="s">
        <v>22</v>
      </c>
      <c r="D51" s="2" t="s">
        <v>35</v>
      </c>
      <c r="E51" s="2" t="s">
        <v>49</v>
      </c>
      <c r="F51" s="2" t="s">
        <v>91</v>
      </c>
      <c r="G51" s="2" t="s">
        <v>111</v>
      </c>
      <c r="H51" s="4">
        <v>7</v>
      </c>
      <c r="I51" s="5">
        <v>6476.06</v>
      </c>
      <c r="J51" s="6">
        <v>0.05</v>
      </c>
      <c r="K51" s="5">
        <v>43065.8</v>
      </c>
      <c r="L51" s="5">
        <v>24970.75</v>
      </c>
      <c r="M51" s="5">
        <v>18095.05</v>
      </c>
      <c r="N51" s="2" t="s">
        <v>26</v>
      </c>
    </row>
    <row r="52" spans="1:14" ht="12" customHeight="1">
      <c r="A52" s="2" t="s">
        <v>112</v>
      </c>
      <c r="B52" s="3">
        <v>45865</v>
      </c>
      <c r="C52" s="2" t="s">
        <v>28</v>
      </c>
      <c r="D52" s="2" t="s">
        <v>52</v>
      </c>
      <c r="E52" s="2" t="s">
        <v>30</v>
      </c>
      <c r="F52" s="2" t="s">
        <v>40</v>
      </c>
      <c r="G52" s="2" t="s">
        <v>61</v>
      </c>
      <c r="H52" s="4">
        <v>8</v>
      </c>
      <c r="I52" s="5">
        <v>22653.78</v>
      </c>
      <c r="J52" s="6">
        <v>0.05</v>
      </c>
      <c r="K52" s="5">
        <v>172168.73</v>
      </c>
      <c r="L52" s="5">
        <v>128526.19</v>
      </c>
      <c r="M52" s="5">
        <v>43642.54</v>
      </c>
      <c r="N52" s="2" t="s">
        <v>20</v>
      </c>
    </row>
    <row r="53" spans="1:14" ht="12" customHeight="1">
      <c r="A53" s="2" t="s">
        <v>113</v>
      </c>
      <c r="B53" s="3">
        <v>45894</v>
      </c>
      <c r="C53" s="2" t="s">
        <v>22</v>
      </c>
      <c r="D53" s="2" t="s">
        <v>37</v>
      </c>
      <c r="E53" s="2" t="s">
        <v>17</v>
      </c>
      <c r="F53" s="2" t="s">
        <v>114</v>
      </c>
      <c r="G53" s="2" t="s">
        <v>61</v>
      </c>
      <c r="H53" s="4">
        <v>1</v>
      </c>
      <c r="I53" s="5">
        <v>48538.44</v>
      </c>
      <c r="J53" s="6">
        <v>0.05</v>
      </c>
      <c r="K53" s="5">
        <v>46111.519999999997</v>
      </c>
      <c r="L53" s="5">
        <v>35751.71</v>
      </c>
      <c r="M53" s="5">
        <v>10359.81</v>
      </c>
      <c r="N53" s="2" t="s">
        <v>33</v>
      </c>
    </row>
    <row r="54" spans="1:14" ht="12" customHeight="1">
      <c r="A54" s="2" t="s">
        <v>115</v>
      </c>
      <c r="B54" s="3">
        <v>45873</v>
      </c>
      <c r="C54" s="2" t="s">
        <v>28</v>
      </c>
      <c r="D54" s="2" t="s">
        <v>56</v>
      </c>
      <c r="E54" s="2" t="s">
        <v>30</v>
      </c>
      <c r="F54" s="2" t="s">
        <v>86</v>
      </c>
      <c r="G54" s="2" t="s">
        <v>58</v>
      </c>
      <c r="H54" s="4">
        <v>8</v>
      </c>
      <c r="I54" s="5">
        <v>32085.75</v>
      </c>
      <c r="J54" s="6">
        <v>0.05</v>
      </c>
      <c r="K54" s="5">
        <v>243851.7</v>
      </c>
      <c r="L54" s="5">
        <v>178106.03</v>
      </c>
      <c r="M54" s="5">
        <v>65745.67</v>
      </c>
      <c r="N54" s="2" t="s">
        <v>33</v>
      </c>
    </row>
    <row r="55" spans="1:14" ht="12" customHeight="1">
      <c r="A55" s="2" t="s">
        <v>116</v>
      </c>
      <c r="B55" s="3">
        <v>45673</v>
      </c>
      <c r="C55" s="2" t="s">
        <v>28</v>
      </c>
      <c r="D55" s="2" t="s">
        <v>52</v>
      </c>
      <c r="E55" s="2" t="s">
        <v>17</v>
      </c>
      <c r="F55" s="2" t="s">
        <v>18</v>
      </c>
      <c r="G55" s="2" t="s">
        <v>47</v>
      </c>
      <c r="H55" s="4">
        <v>4</v>
      </c>
      <c r="I55" s="5">
        <v>14848.33</v>
      </c>
      <c r="J55" s="6">
        <v>0.15</v>
      </c>
      <c r="K55" s="5">
        <v>50484.32</v>
      </c>
      <c r="L55" s="5">
        <v>31908.43</v>
      </c>
      <c r="M55" s="5">
        <v>18575.89</v>
      </c>
      <c r="N55" s="2" t="s">
        <v>117</v>
      </c>
    </row>
    <row r="56" spans="1:14" ht="12" customHeight="1">
      <c r="A56" s="2" t="s">
        <v>118</v>
      </c>
      <c r="B56" s="3">
        <v>45769</v>
      </c>
      <c r="C56" s="2" t="s">
        <v>22</v>
      </c>
      <c r="D56" s="2" t="s">
        <v>37</v>
      </c>
      <c r="E56" s="2" t="s">
        <v>44</v>
      </c>
      <c r="F56" s="2" t="s">
        <v>45</v>
      </c>
      <c r="G56" s="2" t="s">
        <v>70</v>
      </c>
      <c r="H56" s="4">
        <v>3</v>
      </c>
      <c r="I56" s="5">
        <v>28379.439999999999</v>
      </c>
      <c r="J56" s="6">
        <v>0</v>
      </c>
      <c r="K56" s="5">
        <v>85138.32</v>
      </c>
      <c r="L56" s="5">
        <v>57540.24</v>
      </c>
      <c r="M56" s="5">
        <v>27598.080000000002</v>
      </c>
      <c r="N56" s="2" t="s">
        <v>59</v>
      </c>
    </row>
    <row r="57" spans="1:14" ht="12" customHeight="1">
      <c r="A57" s="2" t="s">
        <v>119</v>
      </c>
      <c r="B57" s="3">
        <v>45952</v>
      </c>
      <c r="C57" s="2" t="s">
        <v>28</v>
      </c>
      <c r="D57" s="2" t="s">
        <v>52</v>
      </c>
      <c r="E57" s="2" t="s">
        <v>17</v>
      </c>
      <c r="F57" s="2" t="s">
        <v>24</v>
      </c>
      <c r="G57" s="2" t="s">
        <v>120</v>
      </c>
      <c r="H57" s="4">
        <v>5</v>
      </c>
      <c r="I57" s="5">
        <v>86231.21</v>
      </c>
      <c r="J57" s="6">
        <v>0</v>
      </c>
      <c r="K57" s="5">
        <v>431156.05</v>
      </c>
      <c r="L57" s="5">
        <v>351907.51</v>
      </c>
      <c r="M57" s="5">
        <v>79248.539999999994</v>
      </c>
      <c r="N57" s="2" t="s">
        <v>20</v>
      </c>
    </row>
    <row r="58" spans="1:14" ht="12" customHeight="1">
      <c r="A58" s="2" t="s">
        <v>121</v>
      </c>
      <c r="B58" s="3">
        <v>45965</v>
      </c>
      <c r="C58" s="2" t="s">
        <v>15</v>
      </c>
      <c r="D58" s="2" t="s">
        <v>16</v>
      </c>
      <c r="E58" s="2" t="s">
        <v>17</v>
      </c>
      <c r="F58" s="2" t="s">
        <v>24</v>
      </c>
      <c r="G58" s="2" t="s">
        <v>19</v>
      </c>
      <c r="H58" s="4">
        <v>2</v>
      </c>
      <c r="I58" s="5">
        <v>94902.68</v>
      </c>
      <c r="J58" s="6">
        <v>0.05</v>
      </c>
      <c r="K58" s="5">
        <v>180315.09</v>
      </c>
      <c r="L58" s="5">
        <v>140014.79</v>
      </c>
      <c r="M58" s="5">
        <v>40300.300000000003</v>
      </c>
      <c r="N58" s="2" t="s">
        <v>33</v>
      </c>
    </row>
    <row r="59" spans="1:14" ht="12" customHeight="1">
      <c r="A59" s="2" t="s">
        <v>122</v>
      </c>
      <c r="B59" s="3">
        <v>45873</v>
      </c>
      <c r="C59" s="2" t="s">
        <v>28</v>
      </c>
      <c r="D59" s="2" t="s">
        <v>29</v>
      </c>
      <c r="E59" s="2" t="s">
        <v>49</v>
      </c>
      <c r="F59" s="2" t="s">
        <v>57</v>
      </c>
      <c r="G59" s="2" t="s">
        <v>70</v>
      </c>
      <c r="H59" s="4">
        <v>2</v>
      </c>
      <c r="I59" s="5">
        <v>11510.97</v>
      </c>
      <c r="J59" s="6">
        <v>0.05</v>
      </c>
      <c r="K59" s="5">
        <v>21870.84</v>
      </c>
      <c r="L59" s="5">
        <v>12621.51</v>
      </c>
      <c r="M59" s="5">
        <v>9249.33</v>
      </c>
      <c r="N59" s="2" t="s">
        <v>33</v>
      </c>
    </row>
    <row r="60" spans="1:14" ht="12" customHeight="1">
      <c r="A60" s="2" t="s">
        <v>123</v>
      </c>
      <c r="B60" s="3">
        <v>45796</v>
      </c>
      <c r="C60" s="2" t="s">
        <v>28</v>
      </c>
      <c r="D60" s="2" t="s">
        <v>56</v>
      </c>
      <c r="E60" s="2" t="s">
        <v>49</v>
      </c>
      <c r="F60" s="2" t="s">
        <v>50</v>
      </c>
      <c r="G60" s="2" t="s">
        <v>70</v>
      </c>
      <c r="H60" s="4">
        <v>7</v>
      </c>
      <c r="I60" s="5">
        <v>3982.36</v>
      </c>
      <c r="J60" s="6">
        <v>0.1</v>
      </c>
      <c r="K60" s="5">
        <v>25088.87</v>
      </c>
      <c r="L60" s="5">
        <v>15252.47</v>
      </c>
      <c r="M60" s="5">
        <v>9836.4</v>
      </c>
      <c r="N60" s="2" t="s">
        <v>20</v>
      </c>
    </row>
    <row r="61" spans="1:14" ht="12" customHeight="1">
      <c r="A61" s="2" t="s">
        <v>124</v>
      </c>
      <c r="B61" s="3">
        <v>45888</v>
      </c>
      <c r="C61" s="2" t="s">
        <v>28</v>
      </c>
      <c r="D61" s="2" t="s">
        <v>29</v>
      </c>
      <c r="E61" s="2" t="s">
        <v>30</v>
      </c>
      <c r="F61" s="2" t="s">
        <v>38</v>
      </c>
      <c r="G61" s="2" t="s">
        <v>47</v>
      </c>
      <c r="H61" s="4">
        <v>4</v>
      </c>
      <c r="I61" s="5">
        <v>28428.76</v>
      </c>
      <c r="J61" s="6">
        <v>0</v>
      </c>
      <c r="K61" s="5">
        <v>113715.04</v>
      </c>
      <c r="L61" s="5">
        <v>71245.8</v>
      </c>
      <c r="M61" s="5">
        <v>42469.24</v>
      </c>
      <c r="N61" s="2" t="s">
        <v>20</v>
      </c>
    </row>
    <row r="62" spans="1:14" ht="12" customHeight="1">
      <c r="A62" s="2" t="s">
        <v>125</v>
      </c>
      <c r="B62" s="3">
        <v>45766</v>
      </c>
      <c r="C62" s="2" t="s">
        <v>15</v>
      </c>
      <c r="D62" s="2" t="s">
        <v>43</v>
      </c>
      <c r="E62" s="2" t="s">
        <v>49</v>
      </c>
      <c r="F62" s="2" t="s">
        <v>57</v>
      </c>
      <c r="G62" s="2" t="s">
        <v>32</v>
      </c>
      <c r="H62" s="4">
        <v>1</v>
      </c>
      <c r="I62" s="5">
        <v>11489.52</v>
      </c>
      <c r="J62" s="6">
        <v>0.05</v>
      </c>
      <c r="K62" s="5">
        <v>10915.04</v>
      </c>
      <c r="L62" s="5">
        <v>6387.74</v>
      </c>
      <c r="M62" s="5">
        <v>4527.3</v>
      </c>
      <c r="N62" s="2" t="s">
        <v>59</v>
      </c>
    </row>
    <row r="63" spans="1:14" ht="12" customHeight="1">
      <c r="A63" s="2" t="s">
        <v>126</v>
      </c>
      <c r="B63" s="3">
        <v>45942</v>
      </c>
      <c r="C63" s="2" t="s">
        <v>28</v>
      </c>
      <c r="D63" s="2" t="s">
        <v>56</v>
      </c>
      <c r="E63" s="2" t="s">
        <v>30</v>
      </c>
      <c r="F63" s="2" t="s">
        <v>31</v>
      </c>
      <c r="G63" s="2" t="s">
        <v>47</v>
      </c>
      <c r="H63" s="4">
        <v>4</v>
      </c>
      <c r="I63" s="5">
        <v>126049.24</v>
      </c>
      <c r="J63" s="6">
        <v>0.15</v>
      </c>
      <c r="K63" s="5">
        <v>428567.42</v>
      </c>
      <c r="L63" s="5">
        <v>403373.79</v>
      </c>
      <c r="M63" s="5">
        <v>25193.63</v>
      </c>
      <c r="N63" s="2" t="s">
        <v>20</v>
      </c>
    </row>
    <row r="64" spans="1:14" ht="12" customHeight="1">
      <c r="A64" s="2" t="s">
        <v>127</v>
      </c>
      <c r="B64" s="3">
        <v>45782</v>
      </c>
      <c r="C64" s="2" t="s">
        <v>15</v>
      </c>
      <c r="D64" s="2" t="s">
        <v>43</v>
      </c>
      <c r="E64" s="2" t="s">
        <v>49</v>
      </c>
      <c r="F64" s="2" t="s">
        <v>107</v>
      </c>
      <c r="G64" s="2" t="s">
        <v>58</v>
      </c>
      <c r="H64" s="4">
        <v>1</v>
      </c>
      <c r="I64" s="5">
        <v>4861.42</v>
      </c>
      <c r="J64" s="6">
        <v>0</v>
      </c>
      <c r="K64" s="5">
        <v>4861.42</v>
      </c>
      <c r="L64" s="5">
        <v>2695.43</v>
      </c>
      <c r="M64" s="5">
        <v>2165.9899999999998</v>
      </c>
      <c r="N64" s="2" t="s">
        <v>59</v>
      </c>
    </row>
    <row r="65" spans="1:14" ht="12" customHeight="1">
      <c r="A65" s="2" t="s">
        <v>128</v>
      </c>
      <c r="B65" s="3">
        <v>45786</v>
      </c>
      <c r="C65" s="2" t="s">
        <v>28</v>
      </c>
      <c r="D65" s="2" t="s">
        <v>29</v>
      </c>
      <c r="E65" s="2" t="s">
        <v>30</v>
      </c>
      <c r="F65" s="2" t="s">
        <v>40</v>
      </c>
      <c r="G65" s="2" t="s">
        <v>47</v>
      </c>
      <c r="H65" s="4">
        <v>6</v>
      </c>
      <c r="I65" s="5">
        <v>23919.1</v>
      </c>
      <c r="J65" s="6">
        <v>0.05</v>
      </c>
      <c r="K65" s="5">
        <v>136338.87</v>
      </c>
      <c r="L65" s="5">
        <v>93753.8</v>
      </c>
      <c r="M65" s="5">
        <v>42585.07</v>
      </c>
      <c r="N65" s="2" t="s">
        <v>33</v>
      </c>
    </row>
    <row r="66" spans="1:14" ht="12" customHeight="1">
      <c r="A66" s="2" t="s">
        <v>129</v>
      </c>
      <c r="B66" s="3">
        <v>45959</v>
      </c>
      <c r="C66" s="2" t="s">
        <v>15</v>
      </c>
      <c r="D66" s="2" t="s">
        <v>16</v>
      </c>
      <c r="E66" s="2" t="s">
        <v>30</v>
      </c>
      <c r="F66" s="2" t="s">
        <v>31</v>
      </c>
      <c r="G66" s="2" t="s">
        <v>58</v>
      </c>
      <c r="H66" s="4">
        <v>3</v>
      </c>
      <c r="I66" s="5">
        <v>128337.29</v>
      </c>
      <c r="J66" s="6">
        <v>0.15</v>
      </c>
      <c r="K66" s="5">
        <v>327260.09000000003</v>
      </c>
      <c r="L66" s="5">
        <v>304179.84999999998</v>
      </c>
      <c r="M66" s="5">
        <v>23080.240000000002</v>
      </c>
      <c r="N66" s="2" t="s">
        <v>33</v>
      </c>
    </row>
    <row r="67" spans="1:14" ht="12" customHeight="1">
      <c r="A67" s="2" t="s">
        <v>130</v>
      </c>
      <c r="B67" s="3">
        <v>45798</v>
      </c>
      <c r="C67" s="2" t="s">
        <v>22</v>
      </c>
      <c r="D67" s="2" t="s">
        <v>35</v>
      </c>
      <c r="E67" s="2" t="s">
        <v>44</v>
      </c>
      <c r="F67" s="2" t="s">
        <v>69</v>
      </c>
      <c r="G67" s="2" t="s">
        <v>64</v>
      </c>
      <c r="H67" s="4">
        <v>3</v>
      </c>
      <c r="I67" s="5">
        <v>36797.79</v>
      </c>
      <c r="J67" s="6">
        <v>0.15</v>
      </c>
      <c r="K67" s="5">
        <v>93834.36</v>
      </c>
      <c r="L67" s="5">
        <v>78576.38</v>
      </c>
      <c r="M67" s="5">
        <v>15257.98</v>
      </c>
      <c r="N67" s="2" t="s">
        <v>33</v>
      </c>
    </row>
    <row r="68" spans="1:14" ht="12" customHeight="1">
      <c r="A68" s="2" t="s">
        <v>131</v>
      </c>
      <c r="B68" s="3">
        <v>45903</v>
      </c>
      <c r="C68" s="2" t="s">
        <v>15</v>
      </c>
      <c r="D68" s="2" t="s">
        <v>63</v>
      </c>
      <c r="E68" s="2" t="s">
        <v>44</v>
      </c>
      <c r="F68" s="2" t="s">
        <v>53</v>
      </c>
      <c r="G68" s="2" t="s">
        <v>70</v>
      </c>
      <c r="H68" s="4">
        <v>2</v>
      </c>
      <c r="I68" s="5">
        <v>9006.9</v>
      </c>
      <c r="J68" s="6">
        <v>0.1</v>
      </c>
      <c r="K68" s="5">
        <v>16212.42</v>
      </c>
      <c r="L68" s="5">
        <v>9701.06</v>
      </c>
      <c r="M68" s="5">
        <v>6511.36</v>
      </c>
      <c r="N68" s="2" t="s">
        <v>59</v>
      </c>
    </row>
    <row r="69" spans="1:14" ht="12" customHeight="1">
      <c r="A69" s="2" t="s">
        <v>132</v>
      </c>
      <c r="B69" s="3">
        <v>45953</v>
      </c>
      <c r="C69" s="2" t="s">
        <v>22</v>
      </c>
      <c r="D69" s="2" t="s">
        <v>23</v>
      </c>
      <c r="E69" s="2" t="s">
        <v>30</v>
      </c>
      <c r="F69" s="2" t="s">
        <v>40</v>
      </c>
      <c r="G69" s="2" t="s">
        <v>133</v>
      </c>
      <c r="H69" s="4">
        <v>2</v>
      </c>
      <c r="I69" s="5">
        <v>25762.69</v>
      </c>
      <c r="J69" s="6">
        <v>0.05</v>
      </c>
      <c r="K69" s="5">
        <v>48949.11</v>
      </c>
      <c r="L69" s="5">
        <v>31739.74</v>
      </c>
      <c r="M69" s="5">
        <v>17209.37</v>
      </c>
      <c r="N69" s="2" t="s">
        <v>26</v>
      </c>
    </row>
    <row r="70" spans="1:14" ht="12" customHeight="1">
      <c r="A70" s="2" t="s">
        <v>134</v>
      </c>
      <c r="B70" s="3">
        <v>45974</v>
      </c>
      <c r="C70" s="2" t="s">
        <v>22</v>
      </c>
      <c r="D70" s="2" t="s">
        <v>37</v>
      </c>
      <c r="E70" s="2" t="s">
        <v>30</v>
      </c>
      <c r="F70" s="2" t="s">
        <v>31</v>
      </c>
      <c r="G70" s="2" t="s">
        <v>47</v>
      </c>
      <c r="H70" s="4">
        <v>4</v>
      </c>
      <c r="I70" s="5">
        <v>126758.55</v>
      </c>
      <c r="J70" s="6">
        <v>0.05</v>
      </c>
      <c r="K70" s="5">
        <v>481682.49</v>
      </c>
      <c r="L70" s="5">
        <v>409026.66</v>
      </c>
      <c r="M70" s="5">
        <v>72655.83</v>
      </c>
      <c r="N70" s="2" t="s">
        <v>20</v>
      </c>
    </row>
    <row r="71" spans="1:14" ht="12" customHeight="1">
      <c r="A71" s="2" t="s">
        <v>135</v>
      </c>
      <c r="B71" s="3">
        <v>45708</v>
      </c>
      <c r="C71" s="2" t="s">
        <v>28</v>
      </c>
      <c r="D71" s="2" t="s">
        <v>56</v>
      </c>
      <c r="E71" s="2" t="s">
        <v>30</v>
      </c>
      <c r="F71" s="2" t="s">
        <v>40</v>
      </c>
      <c r="G71" s="2" t="s">
        <v>47</v>
      </c>
      <c r="H71" s="4">
        <v>5</v>
      </c>
      <c r="I71" s="5">
        <v>24769.03</v>
      </c>
      <c r="J71" s="6">
        <v>0</v>
      </c>
      <c r="K71" s="5">
        <v>123845.15</v>
      </c>
      <c r="L71" s="5">
        <v>80001.259999999995</v>
      </c>
      <c r="M71" s="5">
        <v>43843.89</v>
      </c>
      <c r="N71" s="2" t="s">
        <v>26</v>
      </c>
    </row>
    <row r="72" spans="1:14" ht="12" customHeight="1">
      <c r="A72" s="2" t="s">
        <v>136</v>
      </c>
      <c r="B72" s="3">
        <v>45867</v>
      </c>
      <c r="C72" s="2" t="s">
        <v>28</v>
      </c>
      <c r="D72" s="2" t="s">
        <v>29</v>
      </c>
      <c r="E72" s="2" t="s">
        <v>17</v>
      </c>
      <c r="F72" s="2" t="s">
        <v>24</v>
      </c>
      <c r="G72" s="2" t="s">
        <v>70</v>
      </c>
      <c r="H72" s="4">
        <v>4</v>
      </c>
      <c r="I72" s="5">
        <v>87198.54</v>
      </c>
      <c r="J72" s="6">
        <v>0</v>
      </c>
      <c r="K72" s="5">
        <v>348794.16</v>
      </c>
      <c r="L72" s="5">
        <v>266820.38</v>
      </c>
      <c r="M72" s="5">
        <v>81973.78</v>
      </c>
      <c r="N72" s="2" t="s">
        <v>20</v>
      </c>
    </row>
    <row r="73" spans="1:14" ht="12" customHeight="1">
      <c r="A73" s="2" t="s">
        <v>137</v>
      </c>
      <c r="B73" s="3">
        <v>45777</v>
      </c>
      <c r="C73" s="2" t="s">
        <v>138</v>
      </c>
      <c r="D73" s="2" t="s">
        <v>52</v>
      </c>
      <c r="E73" s="2" t="s">
        <v>44</v>
      </c>
      <c r="F73" s="2" t="s">
        <v>69</v>
      </c>
      <c r="G73" s="2" t="s">
        <v>58</v>
      </c>
      <c r="H73" s="4">
        <v>5</v>
      </c>
      <c r="I73" s="5">
        <v>39234.160000000003</v>
      </c>
      <c r="J73" s="6">
        <v>0.05</v>
      </c>
      <c r="K73" s="5">
        <v>186362.26</v>
      </c>
      <c r="L73" s="5">
        <v>126747.74</v>
      </c>
      <c r="M73" s="5">
        <v>59614.52</v>
      </c>
      <c r="N73" s="2" t="s">
        <v>26</v>
      </c>
    </row>
    <row r="74" spans="1:14" ht="12" customHeight="1">
      <c r="A74" s="2" t="s">
        <v>139</v>
      </c>
      <c r="B74" s="3">
        <v>45815</v>
      </c>
      <c r="C74" s="2" t="s">
        <v>28</v>
      </c>
      <c r="D74" s="2" t="s">
        <v>52</v>
      </c>
      <c r="E74" s="2" t="s">
        <v>44</v>
      </c>
      <c r="F74" s="2" t="s">
        <v>45</v>
      </c>
      <c r="G74" s="2" t="s">
        <v>58</v>
      </c>
      <c r="H74" s="4">
        <v>5</v>
      </c>
      <c r="I74" s="5">
        <v>29989.439999999999</v>
      </c>
      <c r="J74" s="6">
        <v>0</v>
      </c>
      <c r="K74" s="5">
        <v>149947.20000000001</v>
      </c>
      <c r="L74" s="5">
        <v>92546.59</v>
      </c>
      <c r="M74" s="5">
        <v>57400.61</v>
      </c>
      <c r="N74" s="2" t="s">
        <v>20</v>
      </c>
    </row>
    <row r="75" spans="1:14" ht="12" customHeight="1">
      <c r="A75" s="2" t="s">
        <v>140</v>
      </c>
      <c r="B75" s="3">
        <v>45964</v>
      </c>
      <c r="C75" s="2" t="s">
        <v>22</v>
      </c>
      <c r="D75" s="2" t="s">
        <v>35</v>
      </c>
      <c r="E75" s="2" t="s">
        <v>30</v>
      </c>
      <c r="F75" s="2" t="s">
        <v>40</v>
      </c>
      <c r="G75" s="2" t="s">
        <v>64</v>
      </c>
      <c r="H75" s="4">
        <v>5</v>
      </c>
      <c r="I75" s="5">
        <v>24501.85</v>
      </c>
      <c r="J75" s="6">
        <v>0.05</v>
      </c>
      <c r="K75" s="5">
        <v>116383.79</v>
      </c>
      <c r="L75" s="5">
        <v>79050.81</v>
      </c>
      <c r="M75" s="5">
        <v>37332.980000000003</v>
      </c>
      <c r="N75" s="2" t="s">
        <v>20</v>
      </c>
    </row>
    <row r="76" spans="1:14" ht="12" customHeight="1">
      <c r="A76" s="2" t="s">
        <v>141</v>
      </c>
      <c r="B76" s="3">
        <v>45952</v>
      </c>
      <c r="C76" s="2" t="s">
        <v>15</v>
      </c>
      <c r="D76" s="2" t="s">
        <v>63</v>
      </c>
      <c r="E76" s="2" t="s">
        <v>30</v>
      </c>
      <c r="F76" s="2" t="s">
        <v>31</v>
      </c>
      <c r="G76" s="2" t="s">
        <v>64</v>
      </c>
      <c r="H76" s="4">
        <v>2</v>
      </c>
      <c r="I76" s="5">
        <v>129144.77</v>
      </c>
      <c r="J76" s="6">
        <v>0.15</v>
      </c>
      <c r="K76" s="5">
        <v>219546.11</v>
      </c>
      <c r="L76" s="5">
        <v>207760.45</v>
      </c>
      <c r="M76" s="5">
        <v>11785.66</v>
      </c>
      <c r="N76" s="2" t="s">
        <v>59</v>
      </c>
    </row>
    <row r="77" spans="1:14" ht="12" customHeight="1">
      <c r="A77" s="2" t="s">
        <v>142</v>
      </c>
      <c r="B77" s="3">
        <v>45881</v>
      </c>
      <c r="C77" s="2" t="s">
        <v>15</v>
      </c>
      <c r="D77" s="2" t="s">
        <v>16</v>
      </c>
      <c r="E77" s="2" t="s">
        <v>44</v>
      </c>
      <c r="F77" s="2" t="s">
        <v>53</v>
      </c>
      <c r="G77" s="2" t="s">
        <v>70</v>
      </c>
      <c r="H77" s="4">
        <v>8</v>
      </c>
      <c r="I77" s="5">
        <v>9065.86</v>
      </c>
      <c r="J77" s="6">
        <v>0</v>
      </c>
      <c r="K77" s="5">
        <v>72526.880000000005</v>
      </c>
      <c r="L77" s="5">
        <v>40759.620000000003</v>
      </c>
      <c r="M77" s="5">
        <v>31767.26</v>
      </c>
      <c r="N77" s="2" t="s">
        <v>33</v>
      </c>
    </row>
    <row r="78" spans="1:14" ht="12" customHeight="1">
      <c r="A78" s="2" t="s">
        <v>143</v>
      </c>
      <c r="B78" s="3">
        <v>46013</v>
      </c>
      <c r="C78" s="2" t="s">
        <v>28</v>
      </c>
      <c r="D78" s="2" t="s">
        <v>56</v>
      </c>
      <c r="E78" s="2" t="s">
        <v>49</v>
      </c>
      <c r="F78" s="2" t="s">
        <v>57</v>
      </c>
      <c r="G78" s="2" t="s">
        <v>70</v>
      </c>
      <c r="H78" s="4">
        <v>6</v>
      </c>
      <c r="I78" s="5">
        <v>11813.05</v>
      </c>
      <c r="J78" s="6">
        <v>0</v>
      </c>
      <c r="K78" s="5">
        <v>70878.3</v>
      </c>
      <c r="L78" s="5">
        <v>38730.36</v>
      </c>
      <c r="M78" s="5">
        <v>32147.94</v>
      </c>
      <c r="N78" s="2" t="s">
        <v>59</v>
      </c>
    </row>
    <row r="79" spans="1:14" ht="12" customHeight="1">
      <c r="A79" s="2" t="s">
        <v>144</v>
      </c>
      <c r="B79" s="3">
        <v>45864</v>
      </c>
      <c r="C79" s="2" t="s">
        <v>15</v>
      </c>
      <c r="D79" s="2" t="s">
        <v>63</v>
      </c>
      <c r="E79" s="2" t="s">
        <v>17</v>
      </c>
      <c r="F79" s="2" t="s">
        <v>114</v>
      </c>
      <c r="G79" s="2" t="s">
        <v>64</v>
      </c>
      <c r="H79" s="4">
        <v>2</v>
      </c>
      <c r="I79" s="5">
        <v>50456.78</v>
      </c>
      <c r="J79" s="6">
        <v>0.05</v>
      </c>
      <c r="K79" s="5">
        <v>95867.88</v>
      </c>
      <c r="L79" s="5">
        <v>71402.36</v>
      </c>
      <c r="M79" s="5">
        <v>24465.52</v>
      </c>
      <c r="N79" s="2" t="s">
        <v>20</v>
      </c>
    </row>
    <row r="80" spans="1:14" ht="12" customHeight="1">
      <c r="A80" s="2" t="s">
        <v>145</v>
      </c>
      <c r="B80" s="3">
        <v>45939</v>
      </c>
      <c r="C80" s="2" t="s">
        <v>28</v>
      </c>
      <c r="D80" s="2" t="s">
        <v>52</v>
      </c>
      <c r="E80" s="2" t="s">
        <v>44</v>
      </c>
      <c r="F80" s="2" t="s">
        <v>69</v>
      </c>
      <c r="G80" s="2" t="s">
        <v>61</v>
      </c>
      <c r="H80" s="4">
        <v>8</v>
      </c>
      <c r="I80" s="5">
        <v>38762.49</v>
      </c>
      <c r="J80" s="6">
        <v>0</v>
      </c>
      <c r="K80" s="5">
        <v>310099.92</v>
      </c>
      <c r="L80" s="5">
        <v>204723.81</v>
      </c>
      <c r="M80" s="5">
        <v>105376.11</v>
      </c>
      <c r="N80" s="2" t="s">
        <v>59</v>
      </c>
    </row>
    <row r="81" spans="1:14" ht="12" customHeight="1">
      <c r="A81" s="2" t="s">
        <v>146</v>
      </c>
      <c r="B81" s="3">
        <v>46021</v>
      </c>
      <c r="C81" s="2" t="s">
        <v>28</v>
      </c>
      <c r="D81" s="2" t="s">
        <v>29</v>
      </c>
      <c r="E81" s="2" t="s">
        <v>49</v>
      </c>
      <c r="F81" s="2" t="s">
        <v>91</v>
      </c>
      <c r="G81" s="2" t="s">
        <v>61</v>
      </c>
      <c r="H81" s="4">
        <v>1</v>
      </c>
      <c r="I81" s="5">
        <v>6992.07</v>
      </c>
      <c r="J81" s="6">
        <v>0.1</v>
      </c>
      <c r="K81" s="5">
        <v>6292.86</v>
      </c>
      <c r="L81" s="5">
        <v>3693.43</v>
      </c>
      <c r="M81" s="5">
        <v>2599.4299999999998</v>
      </c>
      <c r="N81" s="2" t="s">
        <v>59</v>
      </c>
    </row>
    <row r="82" spans="1:14" ht="12" customHeight="1">
      <c r="A82" s="2" t="s">
        <v>147</v>
      </c>
      <c r="B82" s="3">
        <v>45718</v>
      </c>
      <c r="C82" s="2" t="s">
        <v>15</v>
      </c>
      <c r="D82" s="2"/>
      <c r="E82" s="2" t="s">
        <v>49</v>
      </c>
      <c r="F82" s="2" t="s">
        <v>91</v>
      </c>
      <c r="G82" s="2" t="s">
        <v>61</v>
      </c>
      <c r="H82" s="4">
        <v>4</v>
      </c>
      <c r="I82" s="5">
        <v>7011.95</v>
      </c>
      <c r="J82" s="6">
        <v>0</v>
      </c>
      <c r="K82" s="5">
        <v>28047.8</v>
      </c>
      <c r="L82" s="5">
        <v>14433.14</v>
      </c>
      <c r="M82" s="5">
        <v>13614.66</v>
      </c>
      <c r="N82" s="2" t="s">
        <v>20</v>
      </c>
    </row>
    <row r="83" spans="1:14" ht="12" customHeight="1">
      <c r="A83" s="2" t="s">
        <v>148</v>
      </c>
      <c r="B83" s="3">
        <v>45732</v>
      </c>
      <c r="C83" s="2" t="s">
        <v>15</v>
      </c>
      <c r="D83" s="2" t="s">
        <v>63</v>
      </c>
      <c r="E83" s="2" t="s">
        <v>30</v>
      </c>
      <c r="F83" s="2" t="s">
        <v>40</v>
      </c>
      <c r="G83" s="2" t="s">
        <v>25</v>
      </c>
      <c r="H83" s="4">
        <v>8</v>
      </c>
      <c r="I83" s="5">
        <v>26382.560000000001</v>
      </c>
      <c r="J83" s="6">
        <v>0</v>
      </c>
      <c r="K83" s="5">
        <v>211060.48000000001</v>
      </c>
      <c r="L83" s="5">
        <v>126649.65</v>
      </c>
      <c r="M83" s="5">
        <v>84410.83</v>
      </c>
      <c r="N83" s="2" t="s">
        <v>26</v>
      </c>
    </row>
    <row r="84" spans="1:14" ht="12" customHeight="1">
      <c r="A84" s="2" t="s">
        <v>149</v>
      </c>
      <c r="B84" s="3">
        <v>45917</v>
      </c>
      <c r="C84" s="2" t="s">
        <v>15</v>
      </c>
      <c r="D84" s="2" t="s">
        <v>43</v>
      </c>
      <c r="E84" s="2" t="s">
        <v>44</v>
      </c>
      <c r="F84" s="2" t="s">
        <v>80</v>
      </c>
      <c r="G84" s="2" t="s">
        <v>58</v>
      </c>
      <c r="H84" s="4">
        <v>5</v>
      </c>
      <c r="I84" s="5">
        <v>44876</v>
      </c>
      <c r="J84" s="6">
        <v>0.05</v>
      </c>
      <c r="K84" s="5">
        <v>213161</v>
      </c>
      <c r="L84" s="5">
        <v>154037.65</v>
      </c>
      <c r="M84" s="5">
        <v>59123.35</v>
      </c>
      <c r="N84" s="2" t="s">
        <v>150</v>
      </c>
    </row>
    <row r="85" spans="1:14" ht="12" customHeight="1">
      <c r="A85" s="2" t="s">
        <v>151</v>
      </c>
      <c r="B85" s="3">
        <v>45940</v>
      </c>
      <c r="C85" s="2" t="s">
        <v>28</v>
      </c>
      <c r="D85" s="2" t="s">
        <v>29</v>
      </c>
      <c r="E85" s="2" t="s">
        <v>30</v>
      </c>
      <c r="F85" s="2" t="s">
        <v>40</v>
      </c>
      <c r="G85" s="2" t="s">
        <v>25</v>
      </c>
      <c r="H85" s="4">
        <v>3</v>
      </c>
      <c r="I85" s="5">
        <v>24290.47</v>
      </c>
      <c r="J85" s="6">
        <v>0.05</v>
      </c>
      <c r="K85" s="5">
        <v>69227.839999999997</v>
      </c>
      <c r="L85" s="5">
        <v>47123.12</v>
      </c>
      <c r="M85" s="5">
        <v>22104.720000000001</v>
      </c>
      <c r="N85" s="2" t="s">
        <v>20</v>
      </c>
    </row>
    <row r="86" spans="1:14" ht="12" customHeight="1">
      <c r="A86" s="2" t="s">
        <v>152</v>
      </c>
      <c r="B86" s="3">
        <v>45900</v>
      </c>
      <c r="C86" s="2" t="s">
        <v>28</v>
      </c>
      <c r="D86" s="2" t="s">
        <v>52</v>
      </c>
      <c r="E86" s="2" t="s">
        <v>44</v>
      </c>
      <c r="F86" s="2" t="s">
        <v>53</v>
      </c>
      <c r="G86" s="2" t="s">
        <v>25</v>
      </c>
      <c r="H86" s="4">
        <v>4</v>
      </c>
      <c r="I86" s="5">
        <v>8984.18</v>
      </c>
      <c r="J86" s="6">
        <v>0.05</v>
      </c>
      <c r="K86" s="5">
        <v>34139.879999999997</v>
      </c>
      <c r="L86" s="5">
        <v>19071.88</v>
      </c>
      <c r="M86" s="5">
        <v>15068</v>
      </c>
      <c r="N86" s="2" t="s">
        <v>20</v>
      </c>
    </row>
    <row r="87" spans="1:14" ht="12" customHeight="1">
      <c r="A87" s="2" t="s">
        <v>153</v>
      </c>
      <c r="B87" s="3">
        <v>45709</v>
      </c>
      <c r="C87" s="2" t="s">
        <v>15</v>
      </c>
      <c r="D87" s="2"/>
      <c r="E87" s="2" t="s">
        <v>44</v>
      </c>
      <c r="F87" s="2" t="s">
        <v>53</v>
      </c>
      <c r="G87" s="2" t="s">
        <v>70</v>
      </c>
      <c r="H87" s="4">
        <v>1</v>
      </c>
      <c r="I87" s="5">
        <v>7991.69</v>
      </c>
      <c r="J87" s="6">
        <v>0.1</v>
      </c>
      <c r="K87" s="5">
        <v>7192.52</v>
      </c>
      <c r="L87" s="5">
        <v>4866.87</v>
      </c>
      <c r="M87" s="5">
        <v>2325.65</v>
      </c>
      <c r="N87" s="2" t="s">
        <v>33</v>
      </c>
    </row>
    <row r="88" spans="1:14" ht="12" customHeight="1">
      <c r="A88" s="2" t="s">
        <v>154</v>
      </c>
      <c r="B88" s="3">
        <v>45793</v>
      </c>
      <c r="C88" s="2" t="s">
        <v>15</v>
      </c>
      <c r="D88" s="2" t="s">
        <v>63</v>
      </c>
      <c r="E88" s="2" t="s">
        <v>17</v>
      </c>
      <c r="F88" s="2" t="s">
        <v>24</v>
      </c>
      <c r="G88" s="2" t="s">
        <v>32</v>
      </c>
      <c r="H88" s="4">
        <v>7</v>
      </c>
      <c r="I88" s="5">
        <v>97460.13</v>
      </c>
      <c r="J88" s="6">
        <v>0</v>
      </c>
      <c r="K88" s="5">
        <v>682220.91</v>
      </c>
      <c r="L88" s="5">
        <v>464213.28</v>
      </c>
      <c r="M88" s="5">
        <v>218007.63</v>
      </c>
      <c r="N88" s="2" t="s">
        <v>155</v>
      </c>
    </row>
    <row r="89" spans="1:14" ht="12" customHeight="1">
      <c r="A89" s="2" t="s">
        <v>156</v>
      </c>
      <c r="B89" s="3">
        <v>45676</v>
      </c>
      <c r="C89" s="2" t="s">
        <v>15</v>
      </c>
      <c r="D89" s="2" t="s">
        <v>16</v>
      </c>
      <c r="E89" s="2" t="s">
        <v>30</v>
      </c>
      <c r="F89" s="2" t="s">
        <v>40</v>
      </c>
      <c r="G89" s="2" t="s">
        <v>19</v>
      </c>
      <c r="H89" s="4">
        <v>6</v>
      </c>
      <c r="I89" s="5">
        <v>24997.05</v>
      </c>
      <c r="J89" s="6">
        <v>0.05</v>
      </c>
      <c r="K89" s="5">
        <v>142483.18</v>
      </c>
      <c r="L89" s="5">
        <v>97745.13</v>
      </c>
      <c r="M89" s="5">
        <v>44738.05</v>
      </c>
      <c r="N89" s="2" t="s">
        <v>26</v>
      </c>
    </row>
    <row r="90" spans="1:14" ht="12" customHeight="1">
      <c r="A90" s="2" t="s">
        <v>157</v>
      </c>
      <c r="B90" s="3">
        <v>46018</v>
      </c>
      <c r="C90" s="2" t="s">
        <v>15</v>
      </c>
      <c r="D90" s="2" t="s">
        <v>43</v>
      </c>
      <c r="E90" s="2" t="s">
        <v>30</v>
      </c>
      <c r="F90" s="2" t="s">
        <v>86</v>
      </c>
      <c r="G90" s="2" t="s">
        <v>19</v>
      </c>
      <c r="H90" s="4">
        <v>2</v>
      </c>
      <c r="I90" s="5">
        <v>32651.37</v>
      </c>
      <c r="J90" s="6">
        <v>0</v>
      </c>
      <c r="K90" s="5">
        <v>65302.74</v>
      </c>
      <c r="L90" s="5">
        <v>46045.16</v>
      </c>
      <c r="M90" s="5">
        <v>19257.580000000002</v>
      </c>
      <c r="N90" s="2" t="s">
        <v>20</v>
      </c>
    </row>
    <row r="91" spans="1:14" ht="12" customHeight="1">
      <c r="A91" s="2" t="s">
        <v>158</v>
      </c>
      <c r="B91" s="3">
        <v>45849</v>
      </c>
      <c r="C91" s="2" t="s">
        <v>22</v>
      </c>
      <c r="D91" s="2" t="s">
        <v>37</v>
      </c>
      <c r="E91" s="2" t="s">
        <v>30</v>
      </c>
      <c r="F91" s="2" t="s">
        <v>31</v>
      </c>
      <c r="G91" s="2" t="s">
        <v>25</v>
      </c>
      <c r="H91" s="4">
        <v>1</v>
      </c>
      <c r="I91" s="5">
        <v>131206.49</v>
      </c>
      <c r="J91" s="6">
        <v>0</v>
      </c>
      <c r="K91" s="5">
        <v>131206.49</v>
      </c>
      <c r="L91" s="5">
        <v>100044.11</v>
      </c>
      <c r="M91" s="5">
        <v>31162.38</v>
      </c>
      <c r="N91" s="2" t="s">
        <v>26</v>
      </c>
    </row>
    <row r="92" spans="1:14" ht="12" customHeight="1">
      <c r="A92" s="2" t="s">
        <v>159</v>
      </c>
      <c r="B92" s="3">
        <v>45975</v>
      </c>
      <c r="C92" s="2" t="s">
        <v>22</v>
      </c>
      <c r="D92" s="2" t="s">
        <v>37</v>
      </c>
      <c r="E92" s="2" t="s">
        <v>49</v>
      </c>
      <c r="F92" s="2" t="s">
        <v>50</v>
      </c>
      <c r="G92" s="2" t="s">
        <v>47</v>
      </c>
      <c r="H92" s="4">
        <v>3</v>
      </c>
      <c r="I92" s="5">
        <v>3981.65</v>
      </c>
      <c r="J92" s="6">
        <v>0.1</v>
      </c>
      <c r="K92" s="5">
        <v>10750.46</v>
      </c>
      <c r="L92" s="5">
        <v>6495.04</v>
      </c>
      <c r="M92" s="5">
        <v>4255.42</v>
      </c>
      <c r="N92" s="2" t="s">
        <v>160</v>
      </c>
    </row>
    <row r="93" spans="1:14" ht="12" customHeight="1">
      <c r="A93" s="2" t="s">
        <v>161</v>
      </c>
      <c r="B93" s="3">
        <v>45896</v>
      </c>
      <c r="C93" s="2" t="s">
        <v>15</v>
      </c>
      <c r="D93" s="2" t="s">
        <v>16</v>
      </c>
      <c r="E93" s="2" t="s">
        <v>44</v>
      </c>
      <c r="F93" s="2" t="s">
        <v>53</v>
      </c>
      <c r="G93" s="2" t="s">
        <v>58</v>
      </c>
      <c r="H93" s="4">
        <v>5</v>
      </c>
      <c r="I93" s="5">
        <v>8445.02</v>
      </c>
      <c r="J93" s="6">
        <v>0.15</v>
      </c>
      <c r="K93" s="5">
        <v>35891.339999999997</v>
      </c>
      <c r="L93" s="5">
        <v>23781.119999999999</v>
      </c>
      <c r="M93" s="5">
        <v>12110.22</v>
      </c>
      <c r="N93" s="2" t="s">
        <v>26</v>
      </c>
    </row>
    <row r="94" spans="1:14" ht="12" customHeight="1">
      <c r="A94" s="2" t="s">
        <v>162</v>
      </c>
      <c r="B94" s="3">
        <v>45759</v>
      </c>
      <c r="C94" s="2" t="s">
        <v>22</v>
      </c>
      <c r="D94" s="2" t="s">
        <v>35</v>
      </c>
      <c r="E94" s="2" t="s">
        <v>30</v>
      </c>
      <c r="F94" s="2" t="s">
        <v>38</v>
      </c>
      <c r="G94" s="2" t="s">
        <v>25</v>
      </c>
      <c r="H94" s="4">
        <v>7</v>
      </c>
      <c r="I94" s="5">
        <v>27822.15</v>
      </c>
      <c r="J94" s="6">
        <v>0.05</v>
      </c>
      <c r="K94" s="5">
        <v>185017.3</v>
      </c>
      <c r="L94" s="5">
        <v>129675.58</v>
      </c>
      <c r="M94" s="5">
        <v>55341.72</v>
      </c>
      <c r="N94" s="2" t="s">
        <v>20</v>
      </c>
    </row>
    <row r="95" spans="1:14" ht="12" customHeight="1">
      <c r="A95" s="2" t="s">
        <v>163</v>
      </c>
      <c r="B95" s="3">
        <v>45995</v>
      </c>
      <c r="C95" s="2" t="s">
        <v>22</v>
      </c>
      <c r="D95" s="2" t="s">
        <v>23</v>
      </c>
      <c r="E95" s="2" t="s">
        <v>49</v>
      </c>
      <c r="F95" s="2" t="s">
        <v>57</v>
      </c>
      <c r="G95" s="2" t="s">
        <v>25</v>
      </c>
      <c r="H95" s="4">
        <v>5</v>
      </c>
      <c r="I95" s="5">
        <v>12406.55</v>
      </c>
      <c r="J95" s="6">
        <v>0.05</v>
      </c>
      <c r="K95" s="5">
        <v>58931.11</v>
      </c>
      <c r="L95" s="5">
        <v>31574.91</v>
      </c>
      <c r="M95" s="5">
        <v>27356.2</v>
      </c>
      <c r="N95" s="2" t="s">
        <v>59</v>
      </c>
    </row>
    <row r="96" spans="1:14" ht="12" customHeight="1">
      <c r="A96" s="2" t="s">
        <v>164</v>
      </c>
      <c r="B96" s="3">
        <v>45838</v>
      </c>
      <c r="C96" s="2" t="s">
        <v>22</v>
      </c>
      <c r="D96" s="2" t="s">
        <v>37</v>
      </c>
      <c r="E96" s="2" t="s">
        <v>17</v>
      </c>
      <c r="F96" s="2" t="s">
        <v>114</v>
      </c>
      <c r="G96" s="2" t="s">
        <v>47</v>
      </c>
      <c r="H96" s="4">
        <v>5</v>
      </c>
      <c r="I96" s="5">
        <v>54294.16</v>
      </c>
      <c r="J96" s="6">
        <v>0</v>
      </c>
      <c r="K96" s="5">
        <v>271470.8</v>
      </c>
      <c r="L96" s="5">
        <v>184780.26</v>
      </c>
      <c r="M96" s="5">
        <v>86690.54</v>
      </c>
      <c r="N96" s="2" t="s">
        <v>26</v>
      </c>
    </row>
    <row r="97" spans="1:14" ht="12" customHeight="1">
      <c r="A97" s="2" t="s">
        <v>165</v>
      </c>
      <c r="B97" s="3">
        <v>45844</v>
      </c>
      <c r="C97" s="2" t="s">
        <v>15</v>
      </c>
      <c r="D97" s="2" t="s">
        <v>63</v>
      </c>
      <c r="E97" s="2" t="s">
        <v>44</v>
      </c>
      <c r="F97" s="2" t="s">
        <v>80</v>
      </c>
      <c r="G97" s="2" t="s">
        <v>61</v>
      </c>
      <c r="H97" s="4">
        <v>1</v>
      </c>
      <c r="I97" s="5">
        <v>41685.46</v>
      </c>
      <c r="J97" s="6">
        <v>0.05</v>
      </c>
      <c r="K97" s="5">
        <v>39601.19</v>
      </c>
      <c r="L97" s="5">
        <v>30142.400000000001</v>
      </c>
      <c r="M97" s="5">
        <v>9458.7900000000009</v>
      </c>
      <c r="N97" s="2" t="s">
        <v>33</v>
      </c>
    </row>
    <row r="98" spans="1:14" ht="12" customHeight="1">
      <c r="A98" s="2" t="s">
        <v>166</v>
      </c>
      <c r="B98" s="3" t="s">
        <v>167</v>
      </c>
      <c r="C98" s="2" t="s">
        <v>28</v>
      </c>
      <c r="D98" s="2" t="s">
        <v>56</v>
      </c>
      <c r="E98" s="2" t="s">
        <v>49</v>
      </c>
      <c r="F98" s="2" t="s">
        <v>50</v>
      </c>
      <c r="G98" s="2" t="s">
        <v>58</v>
      </c>
      <c r="H98" s="4">
        <v>4</v>
      </c>
      <c r="I98" s="5">
        <v>3952.81</v>
      </c>
      <c r="J98" s="6">
        <v>0.1</v>
      </c>
      <c r="K98" s="5">
        <v>14230.12</v>
      </c>
      <c r="L98" s="5">
        <v>8663.36</v>
      </c>
      <c r="M98" s="5">
        <v>5566.76</v>
      </c>
      <c r="N98" s="2" t="s">
        <v>26</v>
      </c>
    </row>
    <row r="99" spans="1:14" ht="12" customHeight="1">
      <c r="A99" s="2" t="s">
        <v>168</v>
      </c>
      <c r="B99" s="3">
        <v>45773</v>
      </c>
      <c r="C99" s="2" t="s">
        <v>28</v>
      </c>
      <c r="D99" s="2" t="s">
        <v>56</v>
      </c>
      <c r="E99" s="2" t="s">
        <v>30</v>
      </c>
      <c r="F99" s="2" t="s">
        <v>38</v>
      </c>
      <c r="G99" s="2" t="s">
        <v>25</v>
      </c>
      <c r="H99" s="4">
        <v>2</v>
      </c>
      <c r="I99" s="5">
        <v>26863.19</v>
      </c>
      <c r="J99" s="6">
        <v>0</v>
      </c>
      <c r="K99" s="5">
        <v>53726.38</v>
      </c>
      <c r="L99" s="5">
        <v>35274.71</v>
      </c>
      <c r="M99" s="5">
        <v>18451.669999999998</v>
      </c>
      <c r="N99" s="2" t="s">
        <v>59</v>
      </c>
    </row>
    <row r="100" spans="1:14" ht="12" customHeight="1">
      <c r="A100" s="2" t="s">
        <v>169</v>
      </c>
      <c r="B100" s="3">
        <v>45792</v>
      </c>
      <c r="C100" s="2" t="s">
        <v>22</v>
      </c>
      <c r="D100" s="2" t="s">
        <v>35</v>
      </c>
      <c r="E100" s="2" t="s">
        <v>17</v>
      </c>
      <c r="F100" s="2" t="s">
        <v>18</v>
      </c>
      <c r="G100" s="2" t="s">
        <v>25</v>
      </c>
      <c r="H100" s="4">
        <v>2</v>
      </c>
      <c r="I100" s="5">
        <v>14395.1</v>
      </c>
      <c r="J100" s="6">
        <v>0.15</v>
      </c>
      <c r="K100" s="5">
        <v>24471.67</v>
      </c>
      <c r="L100" s="5">
        <v>16767.87</v>
      </c>
      <c r="M100" s="5">
        <v>7703.8</v>
      </c>
      <c r="N100" s="2" t="s">
        <v>59</v>
      </c>
    </row>
    <row r="101" spans="1:14" ht="12" customHeight="1">
      <c r="A101" s="2" t="s">
        <v>170</v>
      </c>
      <c r="B101" s="3">
        <v>45970</v>
      </c>
      <c r="C101" s="2" t="s">
        <v>22</v>
      </c>
      <c r="D101" s="2" t="s">
        <v>37</v>
      </c>
      <c r="E101" s="2" t="s">
        <v>44</v>
      </c>
      <c r="F101" s="2" t="s">
        <v>53</v>
      </c>
      <c r="G101" s="2" t="s">
        <v>47</v>
      </c>
      <c r="H101" s="4">
        <v>1</v>
      </c>
      <c r="I101" s="5">
        <v>8662.58</v>
      </c>
      <c r="J101" s="6">
        <v>0.1</v>
      </c>
      <c r="K101" s="5">
        <v>7796.32</v>
      </c>
      <c r="L101" s="5">
        <v>4865.51</v>
      </c>
      <c r="M101" s="5">
        <v>2930.81</v>
      </c>
      <c r="N101" s="2" t="s">
        <v>33</v>
      </c>
    </row>
    <row r="102" spans="1:14" ht="12" customHeight="1">
      <c r="A102" s="2" t="s">
        <v>171</v>
      </c>
      <c r="B102" s="3">
        <v>45910</v>
      </c>
      <c r="C102" s="2" t="s">
        <v>15</v>
      </c>
      <c r="D102" s="2"/>
      <c r="E102" s="2" t="s">
        <v>30</v>
      </c>
      <c r="F102" s="2" t="s">
        <v>40</v>
      </c>
      <c r="G102" s="2" t="s">
        <v>19</v>
      </c>
      <c r="H102" s="4">
        <v>2</v>
      </c>
      <c r="I102" s="5">
        <v>23087.93</v>
      </c>
      <c r="J102" s="6">
        <v>0</v>
      </c>
      <c r="K102" s="5">
        <v>46175.86</v>
      </c>
      <c r="L102" s="5">
        <v>31325.25</v>
      </c>
      <c r="M102" s="5">
        <v>14850.61</v>
      </c>
      <c r="N102" s="2" t="s">
        <v>150</v>
      </c>
    </row>
    <row r="103" spans="1:14" ht="12" customHeight="1">
      <c r="A103" s="2" t="s">
        <v>172</v>
      </c>
      <c r="B103" s="3">
        <v>45934</v>
      </c>
      <c r="C103" s="2" t="s">
        <v>22</v>
      </c>
      <c r="D103" s="2" t="s">
        <v>37</v>
      </c>
      <c r="E103" s="2" t="s">
        <v>44</v>
      </c>
      <c r="F103" s="2" t="s">
        <v>53</v>
      </c>
      <c r="G103" s="2" t="s">
        <v>25</v>
      </c>
      <c r="H103" s="4">
        <v>8</v>
      </c>
      <c r="I103" s="5">
        <v>8324.58</v>
      </c>
      <c r="J103" s="6">
        <v>0.15</v>
      </c>
      <c r="K103" s="5">
        <v>56607.14</v>
      </c>
      <c r="L103" s="5">
        <v>39935.15</v>
      </c>
      <c r="M103" s="5">
        <v>16671.990000000002</v>
      </c>
      <c r="N103" s="2" t="s">
        <v>26</v>
      </c>
    </row>
    <row r="104" spans="1:14" ht="12" customHeight="1">
      <c r="A104" s="2" t="s">
        <v>173</v>
      </c>
      <c r="B104" s="3">
        <v>45847</v>
      </c>
      <c r="C104" s="2" t="s">
        <v>28</v>
      </c>
      <c r="D104" s="2" t="s">
        <v>29</v>
      </c>
      <c r="E104" s="2" t="s">
        <v>17</v>
      </c>
      <c r="F104" s="2" t="s">
        <v>114</v>
      </c>
      <c r="G104" s="2" t="s">
        <v>47</v>
      </c>
      <c r="H104" s="4">
        <v>7</v>
      </c>
      <c r="I104" s="5">
        <v>55652.92</v>
      </c>
      <c r="J104" s="6">
        <v>0.05</v>
      </c>
      <c r="K104" s="5">
        <v>370091.92</v>
      </c>
      <c r="L104" s="5">
        <v>248420.13</v>
      </c>
      <c r="M104" s="5">
        <v>121671.79</v>
      </c>
      <c r="N104" s="2" t="s">
        <v>20</v>
      </c>
    </row>
    <row r="105" spans="1:14" ht="12" customHeight="1">
      <c r="A105" s="2" t="s">
        <v>174</v>
      </c>
      <c r="B105" s="3">
        <v>45861</v>
      </c>
      <c r="C105" s="2" t="s">
        <v>28</v>
      </c>
      <c r="D105" s="2" t="s">
        <v>52</v>
      </c>
      <c r="E105" s="2" t="s">
        <v>175</v>
      </c>
      <c r="F105" s="2" t="s">
        <v>31</v>
      </c>
      <c r="G105" s="2" t="s">
        <v>58</v>
      </c>
      <c r="H105" s="4">
        <v>6</v>
      </c>
      <c r="I105" s="5">
        <v>135960.46</v>
      </c>
      <c r="J105" s="6">
        <v>0.15</v>
      </c>
      <c r="K105" s="5">
        <v>693398.35</v>
      </c>
      <c r="L105" s="5">
        <v>603034.93999999994</v>
      </c>
      <c r="M105" s="5">
        <v>90363.41</v>
      </c>
      <c r="N105" s="2" t="s">
        <v>26</v>
      </c>
    </row>
    <row r="106" spans="1:14" ht="12" customHeight="1">
      <c r="A106" s="2" t="s">
        <v>176</v>
      </c>
      <c r="B106" s="3">
        <v>45722</v>
      </c>
      <c r="C106" s="2" t="s">
        <v>22</v>
      </c>
      <c r="D106" s="2" t="s">
        <v>35</v>
      </c>
      <c r="E106" s="2" t="s">
        <v>17</v>
      </c>
      <c r="F106" s="2" t="s">
        <v>24</v>
      </c>
      <c r="G106" s="2" t="s">
        <v>47</v>
      </c>
      <c r="H106" s="4">
        <v>1</v>
      </c>
      <c r="I106" s="5">
        <v>85384.52</v>
      </c>
      <c r="J106" s="6">
        <v>0.05</v>
      </c>
      <c r="K106" s="5">
        <v>81115.289999999994</v>
      </c>
      <c r="L106" s="5">
        <v>67119.39</v>
      </c>
      <c r="M106" s="5">
        <v>13995.9</v>
      </c>
      <c r="N106" s="2" t="s">
        <v>33</v>
      </c>
    </row>
    <row r="107" spans="1:14" ht="12" customHeight="1">
      <c r="A107" s="2" t="s">
        <v>177</v>
      </c>
      <c r="B107" s="3">
        <v>45732</v>
      </c>
      <c r="C107" s="2" t="s">
        <v>15</v>
      </c>
      <c r="D107" s="2" t="s">
        <v>16</v>
      </c>
      <c r="E107" s="2" t="s">
        <v>44</v>
      </c>
      <c r="F107" s="2" t="s">
        <v>45</v>
      </c>
      <c r="G107" s="2" t="s">
        <v>61</v>
      </c>
      <c r="H107" s="4">
        <v>6</v>
      </c>
      <c r="I107" s="5">
        <v>29751.119999999999</v>
      </c>
      <c r="J107" s="6">
        <v>0.1</v>
      </c>
      <c r="K107" s="5">
        <v>160656.04999999999</v>
      </c>
      <c r="L107" s="5">
        <v>110602.63</v>
      </c>
      <c r="M107" s="5">
        <v>50053.42</v>
      </c>
      <c r="N107" s="2" t="s">
        <v>59</v>
      </c>
    </row>
    <row r="108" spans="1:14" ht="12" customHeight="1">
      <c r="A108" s="2" t="s">
        <v>178</v>
      </c>
      <c r="B108" s="3">
        <v>45666</v>
      </c>
      <c r="C108" s="2" t="s">
        <v>22</v>
      </c>
      <c r="D108" s="2" t="s">
        <v>23</v>
      </c>
      <c r="E108" s="2" t="s">
        <v>17</v>
      </c>
      <c r="F108" s="2" t="s">
        <v>24</v>
      </c>
      <c r="G108" s="2" t="s">
        <v>61</v>
      </c>
      <c r="H108" s="4">
        <v>1</v>
      </c>
      <c r="I108" s="5">
        <v>89913.33</v>
      </c>
      <c r="J108" s="6">
        <v>0</v>
      </c>
      <c r="K108" s="5">
        <v>89913.33</v>
      </c>
      <c r="L108" s="5">
        <v>68762.94</v>
      </c>
      <c r="M108" s="5">
        <v>21150.39</v>
      </c>
      <c r="N108" s="2" t="s">
        <v>59</v>
      </c>
    </row>
    <row r="109" spans="1:14" ht="12" customHeight="1">
      <c r="A109" s="2" t="s">
        <v>179</v>
      </c>
      <c r="B109" s="3">
        <v>45713</v>
      </c>
      <c r="C109" s="2" t="s">
        <v>22</v>
      </c>
      <c r="D109" s="2" t="s">
        <v>23</v>
      </c>
      <c r="E109" s="2" t="s">
        <v>49</v>
      </c>
      <c r="F109" s="2" t="s">
        <v>91</v>
      </c>
      <c r="G109" s="2" t="s">
        <v>70</v>
      </c>
      <c r="H109" s="4">
        <v>2</v>
      </c>
      <c r="I109" s="5">
        <v>6475.3</v>
      </c>
      <c r="J109" s="6">
        <v>0.05</v>
      </c>
      <c r="K109" s="5">
        <v>12303.07</v>
      </c>
      <c r="L109" s="5">
        <v>7242.67</v>
      </c>
      <c r="M109" s="5">
        <v>5060.3999999999996</v>
      </c>
      <c r="N109" s="2" t="s">
        <v>26</v>
      </c>
    </row>
    <row r="110" spans="1:14" ht="12" customHeight="1">
      <c r="A110" s="2" t="s">
        <v>180</v>
      </c>
      <c r="B110" s="3">
        <v>45876</v>
      </c>
      <c r="C110" s="2" t="s">
        <v>15</v>
      </c>
      <c r="D110" s="2"/>
      <c r="E110" s="2" t="s">
        <v>181</v>
      </c>
      <c r="F110" s="2" t="s">
        <v>40</v>
      </c>
      <c r="G110" s="2" t="s">
        <v>19</v>
      </c>
      <c r="H110" s="4">
        <v>1</v>
      </c>
      <c r="I110" s="5">
        <v>22778.44</v>
      </c>
      <c r="J110" s="6">
        <v>0.05</v>
      </c>
      <c r="K110" s="5">
        <v>21639.52</v>
      </c>
      <c r="L110" s="5">
        <v>16263.11</v>
      </c>
      <c r="M110" s="5">
        <v>5376.41</v>
      </c>
      <c r="N110" s="2" t="s">
        <v>20</v>
      </c>
    </row>
    <row r="111" spans="1:14" ht="12" customHeight="1">
      <c r="A111" s="2" t="s">
        <v>182</v>
      </c>
      <c r="B111" s="3">
        <v>45977</v>
      </c>
      <c r="C111" s="2" t="s">
        <v>15</v>
      </c>
      <c r="D111" s="2" t="s">
        <v>63</v>
      </c>
      <c r="E111" s="2" t="s">
        <v>17</v>
      </c>
      <c r="F111" s="2" t="s">
        <v>75</v>
      </c>
      <c r="G111" s="2" t="s">
        <v>32</v>
      </c>
      <c r="H111" s="4">
        <v>6</v>
      </c>
      <c r="I111" s="5">
        <v>188205.6</v>
      </c>
      <c r="J111" s="6">
        <v>0</v>
      </c>
      <c r="K111" s="5">
        <v>1129233.6000000001</v>
      </c>
      <c r="L111" s="5">
        <v>833966.07</v>
      </c>
      <c r="M111" s="5">
        <v>295267.53000000003</v>
      </c>
      <c r="N111" s="2" t="s">
        <v>20</v>
      </c>
    </row>
    <row r="112" spans="1:14" ht="12" customHeight="1">
      <c r="A112" s="2" t="s">
        <v>183</v>
      </c>
      <c r="B112" s="3">
        <v>45993</v>
      </c>
      <c r="C112" s="2" t="s">
        <v>15</v>
      </c>
      <c r="D112" s="2" t="s">
        <v>43</v>
      </c>
      <c r="E112" s="2" t="s">
        <v>181</v>
      </c>
      <c r="F112" s="2" t="s">
        <v>40</v>
      </c>
      <c r="G112" s="2" t="s">
        <v>47</v>
      </c>
      <c r="H112" s="4">
        <v>7</v>
      </c>
      <c r="I112" s="5">
        <v>22928.78</v>
      </c>
      <c r="J112" s="6">
        <v>0.15</v>
      </c>
      <c r="K112" s="5">
        <v>136426.23999999999</v>
      </c>
      <c r="L112" s="5">
        <v>108167.79</v>
      </c>
      <c r="M112" s="5">
        <v>28258.45</v>
      </c>
      <c r="N112" s="2" t="s">
        <v>20</v>
      </c>
    </row>
    <row r="113" spans="1:14" ht="12" customHeight="1">
      <c r="A113" s="2" t="s">
        <v>184</v>
      </c>
      <c r="B113" s="3">
        <v>45876</v>
      </c>
      <c r="C113" s="2" t="s">
        <v>28</v>
      </c>
      <c r="D113" s="2" t="s">
        <v>52</v>
      </c>
      <c r="E113" s="2" t="s">
        <v>49</v>
      </c>
      <c r="F113" s="2" t="s">
        <v>57</v>
      </c>
      <c r="G113" s="2" t="s">
        <v>32</v>
      </c>
      <c r="H113" s="4">
        <v>8</v>
      </c>
      <c r="I113" s="5">
        <v>11313.66</v>
      </c>
      <c r="J113" s="6">
        <v>0.15</v>
      </c>
      <c r="K113" s="5">
        <v>76932.89</v>
      </c>
      <c r="L113" s="5">
        <v>50786.11</v>
      </c>
      <c r="M113" s="5">
        <v>26146.78</v>
      </c>
      <c r="N113" s="2" t="s">
        <v>59</v>
      </c>
    </row>
    <row r="114" spans="1:14" ht="12" customHeight="1">
      <c r="A114" s="2" t="s">
        <v>185</v>
      </c>
      <c r="B114" s="3">
        <v>45848</v>
      </c>
      <c r="C114" s="2" t="s">
        <v>28</v>
      </c>
      <c r="D114" s="2" t="s">
        <v>52</v>
      </c>
      <c r="E114" s="2" t="s">
        <v>49</v>
      </c>
      <c r="F114" s="2" t="s">
        <v>91</v>
      </c>
      <c r="G114" s="2" t="s">
        <v>61</v>
      </c>
      <c r="H114" s="4">
        <v>2</v>
      </c>
      <c r="I114" s="5">
        <v>6845.04</v>
      </c>
      <c r="J114" s="6">
        <v>0</v>
      </c>
      <c r="K114" s="5">
        <v>13690.08</v>
      </c>
      <c r="L114" s="5">
        <v>7201.67</v>
      </c>
      <c r="M114" s="5">
        <v>6488.41</v>
      </c>
      <c r="N114" s="2" t="s">
        <v>33</v>
      </c>
    </row>
    <row r="115" spans="1:14" ht="12" customHeight="1">
      <c r="A115" s="2" t="s">
        <v>186</v>
      </c>
      <c r="B115" s="3">
        <v>45874</v>
      </c>
      <c r="C115" s="2" t="s">
        <v>15</v>
      </c>
      <c r="D115" s="2" t="s">
        <v>43</v>
      </c>
      <c r="E115" s="2" t="s">
        <v>30</v>
      </c>
      <c r="F115" s="2" t="s">
        <v>31</v>
      </c>
      <c r="G115" s="2" t="s">
        <v>64</v>
      </c>
      <c r="H115" s="4">
        <v>7</v>
      </c>
      <c r="I115" s="5">
        <v>131837.72</v>
      </c>
      <c r="J115" s="6">
        <v>0.15</v>
      </c>
      <c r="K115" s="5">
        <v>784434.43</v>
      </c>
      <c r="L115" s="5">
        <v>732366.52</v>
      </c>
      <c r="M115" s="5">
        <v>52067.91</v>
      </c>
      <c r="N115" s="2" t="s">
        <v>59</v>
      </c>
    </row>
    <row r="116" spans="1:14" ht="12" customHeight="1">
      <c r="A116" s="2" t="s">
        <v>187</v>
      </c>
      <c r="B116" s="3">
        <v>45713</v>
      </c>
      <c r="C116" s="2" t="s">
        <v>15</v>
      </c>
      <c r="D116" s="2" t="s">
        <v>63</v>
      </c>
      <c r="E116" s="2" t="s">
        <v>30</v>
      </c>
      <c r="F116" s="2" t="s">
        <v>31</v>
      </c>
      <c r="G116" s="2" t="s">
        <v>32</v>
      </c>
      <c r="H116" s="4">
        <v>4</v>
      </c>
      <c r="I116" s="5">
        <v>127542.17</v>
      </c>
      <c r="J116" s="6">
        <v>0.05</v>
      </c>
      <c r="K116" s="5">
        <v>484660.25</v>
      </c>
      <c r="L116" s="5">
        <v>398221.64</v>
      </c>
      <c r="M116" s="5">
        <v>86438.61</v>
      </c>
      <c r="N116" s="2" t="s">
        <v>59</v>
      </c>
    </row>
    <row r="117" spans="1:14" ht="12" customHeight="1">
      <c r="A117" s="2" t="s">
        <v>188</v>
      </c>
      <c r="B117" s="3">
        <v>45794</v>
      </c>
      <c r="C117" s="2" t="s">
        <v>22</v>
      </c>
      <c r="D117" s="2" t="s">
        <v>35</v>
      </c>
      <c r="E117" s="2" t="s">
        <v>44</v>
      </c>
      <c r="F117" s="2" t="s">
        <v>53</v>
      </c>
      <c r="G117" s="2" t="s">
        <v>64</v>
      </c>
      <c r="H117" s="4">
        <v>1</v>
      </c>
      <c r="I117" s="5">
        <v>8648.23</v>
      </c>
      <c r="J117" s="6">
        <v>0.15</v>
      </c>
      <c r="K117" s="5">
        <v>7351</v>
      </c>
      <c r="L117" s="5">
        <v>5037.51</v>
      </c>
      <c r="M117" s="5">
        <v>2313.4899999999998</v>
      </c>
      <c r="N117" s="2" t="s">
        <v>26</v>
      </c>
    </row>
    <row r="118" spans="1:14" ht="12" customHeight="1">
      <c r="A118" s="2" t="s">
        <v>189</v>
      </c>
      <c r="B118" s="3">
        <v>45863</v>
      </c>
      <c r="C118" s="2" t="s">
        <v>28</v>
      </c>
      <c r="D118" s="2" t="s">
        <v>29</v>
      </c>
      <c r="E118" s="2" t="s">
        <v>30</v>
      </c>
      <c r="F118" s="2" t="s">
        <v>38</v>
      </c>
      <c r="G118" s="2" t="s">
        <v>19</v>
      </c>
      <c r="H118" s="4">
        <v>6</v>
      </c>
      <c r="I118" s="5">
        <v>24866.38</v>
      </c>
      <c r="J118" s="6">
        <v>0</v>
      </c>
      <c r="K118" s="5">
        <v>149198.28</v>
      </c>
      <c r="L118" s="5">
        <v>109041.39</v>
      </c>
      <c r="M118" s="5">
        <v>40156.89</v>
      </c>
      <c r="N118" s="2" t="s">
        <v>26</v>
      </c>
    </row>
    <row r="119" spans="1:14" ht="12" customHeight="1">
      <c r="A119" s="2" t="s">
        <v>190</v>
      </c>
      <c r="B119" s="3">
        <v>45847</v>
      </c>
      <c r="C119" s="2" t="s">
        <v>15</v>
      </c>
      <c r="D119" s="2" t="s">
        <v>43</v>
      </c>
      <c r="E119" s="2" t="s">
        <v>17</v>
      </c>
      <c r="F119" s="2" t="s">
        <v>75</v>
      </c>
      <c r="G119" s="2" t="s">
        <v>58</v>
      </c>
      <c r="H119" s="4">
        <v>4</v>
      </c>
      <c r="I119" s="5">
        <v>181335.35</v>
      </c>
      <c r="J119" s="6">
        <v>0.05</v>
      </c>
      <c r="K119" s="5">
        <v>689074.33</v>
      </c>
      <c r="L119" s="5">
        <v>564514.02</v>
      </c>
      <c r="M119" s="5">
        <v>124560.31</v>
      </c>
      <c r="N119" s="2" t="s">
        <v>59</v>
      </c>
    </row>
    <row r="120" spans="1:14" ht="12" customHeight="1">
      <c r="A120" s="2" t="s">
        <v>191</v>
      </c>
      <c r="B120" s="3">
        <v>45699</v>
      </c>
      <c r="C120" s="2" t="s">
        <v>15</v>
      </c>
      <c r="D120" s="2" t="s">
        <v>43</v>
      </c>
      <c r="E120" s="2" t="s">
        <v>17</v>
      </c>
      <c r="F120" s="2" t="s">
        <v>75</v>
      </c>
      <c r="G120" s="2" t="s">
        <v>58</v>
      </c>
      <c r="H120" s="4">
        <v>3</v>
      </c>
      <c r="I120" s="5">
        <v>174859.33</v>
      </c>
      <c r="J120" s="6">
        <v>0.1</v>
      </c>
      <c r="K120" s="5">
        <v>472120.19</v>
      </c>
      <c r="L120" s="5">
        <v>414703.92</v>
      </c>
      <c r="M120" s="5">
        <v>57416.27</v>
      </c>
      <c r="N120" s="2" t="s">
        <v>20</v>
      </c>
    </row>
    <row r="121" spans="1:14" ht="12" customHeight="1">
      <c r="A121" s="2" t="s">
        <v>192</v>
      </c>
      <c r="B121" s="3">
        <v>45878</v>
      </c>
      <c r="C121" s="2" t="s">
        <v>15</v>
      </c>
      <c r="D121" s="2" t="s">
        <v>63</v>
      </c>
      <c r="E121" s="2" t="s">
        <v>49</v>
      </c>
      <c r="F121" s="2" t="s">
        <v>107</v>
      </c>
      <c r="G121" s="2" t="s">
        <v>19</v>
      </c>
      <c r="H121" s="4">
        <v>7</v>
      </c>
      <c r="I121" s="5">
        <v>5011.2700000000004</v>
      </c>
      <c r="J121" s="6">
        <v>0.1</v>
      </c>
      <c r="K121" s="5">
        <v>31571</v>
      </c>
      <c r="L121" s="5">
        <v>18483.580000000002</v>
      </c>
      <c r="M121" s="5">
        <v>13087.42</v>
      </c>
      <c r="N121" s="2" t="s">
        <v>59</v>
      </c>
    </row>
    <row r="122" spans="1:14" ht="12" customHeight="1">
      <c r="A122" s="2" t="s">
        <v>193</v>
      </c>
      <c r="B122" s="3">
        <v>45762</v>
      </c>
      <c r="C122" s="2" t="s">
        <v>15</v>
      </c>
      <c r="D122" s="2" t="s">
        <v>43</v>
      </c>
      <c r="E122" s="2" t="s">
        <v>49</v>
      </c>
      <c r="F122" s="2" t="s">
        <v>57</v>
      </c>
      <c r="G122" s="2" t="s">
        <v>58</v>
      </c>
      <c r="H122" s="4">
        <v>1</v>
      </c>
      <c r="I122" s="5">
        <v>10985.75</v>
      </c>
      <c r="J122" s="6">
        <v>0.1</v>
      </c>
      <c r="K122" s="5">
        <v>9887.18</v>
      </c>
      <c r="L122" s="5">
        <v>6329.93</v>
      </c>
      <c r="M122" s="5">
        <v>3557.25</v>
      </c>
      <c r="N122" s="2" t="s">
        <v>26</v>
      </c>
    </row>
    <row r="123" spans="1:14" ht="12" customHeight="1">
      <c r="A123" s="2" t="s">
        <v>194</v>
      </c>
      <c r="B123" s="3">
        <v>45724</v>
      </c>
      <c r="C123" s="2" t="s">
        <v>22</v>
      </c>
      <c r="D123" s="2" t="s">
        <v>35</v>
      </c>
      <c r="E123" s="2" t="s">
        <v>30</v>
      </c>
      <c r="F123" s="2" t="s">
        <v>38</v>
      </c>
      <c r="G123" s="2" t="s">
        <v>25</v>
      </c>
      <c r="H123" s="4">
        <v>2</v>
      </c>
      <c r="I123" s="5">
        <v>24873.39</v>
      </c>
      <c r="J123" s="6">
        <v>0.15</v>
      </c>
      <c r="K123" s="5">
        <v>42284.76</v>
      </c>
      <c r="L123" s="5">
        <v>36005.25</v>
      </c>
      <c r="M123" s="5">
        <v>6279.51</v>
      </c>
      <c r="N123" s="2" t="s">
        <v>26</v>
      </c>
    </row>
    <row r="124" spans="1:14" ht="12" customHeight="1">
      <c r="A124" s="2" t="s">
        <v>195</v>
      </c>
      <c r="B124" s="3">
        <v>45893</v>
      </c>
      <c r="C124" s="2" t="s">
        <v>15</v>
      </c>
      <c r="D124" s="2" t="s">
        <v>43</v>
      </c>
      <c r="E124" s="2" t="s">
        <v>30</v>
      </c>
      <c r="F124" s="2" t="s">
        <v>31</v>
      </c>
      <c r="G124" s="2" t="s">
        <v>19</v>
      </c>
      <c r="H124" s="4">
        <v>7</v>
      </c>
      <c r="I124" s="5">
        <v>142814.10999999999</v>
      </c>
      <c r="J124" s="6">
        <v>0</v>
      </c>
      <c r="K124" s="5">
        <v>999698.77</v>
      </c>
      <c r="L124" s="5">
        <v>707378.51</v>
      </c>
      <c r="M124" s="5">
        <v>292320.26</v>
      </c>
      <c r="N124" s="2" t="s">
        <v>59</v>
      </c>
    </row>
    <row r="125" spans="1:14" ht="12" customHeight="1">
      <c r="A125" s="2" t="s">
        <v>196</v>
      </c>
      <c r="B125" s="3">
        <v>45745</v>
      </c>
      <c r="C125" s="2" t="s">
        <v>15</v>
      </c>
      <c r="D125" s="2" t="s">
        <v>63</v>
      </c>
      <c r="E125" s="2" t="s">
        <v>49</v>
      </c>
      <c r="F125" s="2" t="s">
        <v>107</v>
      </c>
      <c r="G125" s="2" t="s">
        <v>70</v>
      </c>
      <c r="H125" s="4">
        <v>5</v>
      </c>
      <c r="I125" s="5">
        <v>4879.82</v>
      </c>
      <c r="J125" s="6">
        <v>0</v>
      </c>
      <c r="K125" s="5">
        <v>24399.1</v>
      </c>
      <c r="L125" s="5">
        <v>14008.06</v>
      </c>
      <c r="M125" s="5">
        <v>10391.040000000001</v>
      </c>
      <c r="N125" s="2" t="s">
        <v>59</v>
      </c>
    </row>
    <row r="126" spans="1:14" ht="12" customHeight="1">
      <c r="A126" s="2" t="s">
        <v>197</v>
      </c>
      <c r="B126" s="3" t="s">
        <v>198</v>
      </c>
      <c r="C126" s="2" t="s">
        <v>22</v>
      </c>
      <c r="D126" s="2" t="s">
        <v>35</v>
      </c>
      <c r="E126" s="2" t="s">
        <v>17</v>
      </c>
      <c r="F126" s="2" t="s">
        <v>24</v>
      </c>
      <c r="G126" s="2" t="s">
        <v>32</v>
      </c>
      <c r="H126" s="4">
        <v>7</v>
      </c>
      <c r="I126" s="5">
        <v>93308.19</v>
      </c>
      <c r="J126" s="6">
        <v>0.1</v>
      </c>
      <c r="K126" s="5">
        <v>587841.6</v>
      </c>
      <c r="L126" s="5">
        <v>464340.52</v>
      </c>
      <c r="M126" s="5">
        <v>123501.08</v>
      </c>
      <c r="N126" s="2" t="s">
        <v>26</v>
      </c>
    </row>
    <row r="127" spans="1:14" ht="12" customHeight="1">
      <c r="A127" s="2" t="s">
        <v>199</v>
      </c>
      <c r="B127" s="3">
        <v>45988</v>
      </c>
      <c r="C127" s="2" t="s">
        <v>28</v>
      </c>
      <c r="D127" s="2" t="s">
        <v>52</v>
      </c>
      <c r="E127" s="2" t="s">
        <v>17</v>
      </c>
      <c r="F127" s="2" t="s">
        <v>75</v>
      </c>
      <c r="G127" s="2" t="s">
        <v>61</v>
      </c>
      <c r="H127" s="4">
        <v>4</v>
      </c>
      <c r="I127" s="5">
        <v>197015.31</v>
      </c>
      <c r="J127" s="6">
        <v>0.05</v>
      </c>
      <c r="K127" s="5">
        <v>748658.18</v>
      </c>
      <c r="L127" s="5">
        <v>564919.73</v>
      </c>
      <c r="M127" s="5">
        <v>183738.45</v>
      </c>
      <c r="N127" s="2" t="s">
        <v>26</v>
      </c>
    </row>
    <row r="128" spans="1:14" ht="12" customHeight="1">
      <c r="A128" s="2" t="s">
        <v>200</v>
      </c>
      <c r="B128" s="3">
        <v>45979</v>
      </c>
      <c r="C128" s="2" t="s">
        <v>22</v>
      </c>
      <c r="D128" s="2" t="s">
        <v>23</v>
      </c>
      <c r="E128" s="2" t="s">
        <v>30</v>
      </c>
      <c r="F128" s="2" t="s">
        <v>86</v>
      </c>
      <c r="G128" s="2" t="s">
        <v>70</v>
      </c>
      <c r="H128" s="4">
        <v>3</v>
      </c>
      <c r="I128" s="5">
        <v>33540.67</v>
      </c>
      <c r="J128" s="6">
        <v>0.15</v>
      </c>
      <c r="K128" s="5">
        <v>85528.71</v>
      </c>
      <c r="L128" s="5">
        <v>65831.039999999994</v>
      </c>
      <c r="M128" s="5">
        <v>19697.669999999998</v>
      </c>
      <c r="N128" s="2" t="s">
        <v>20</v>
      </c>
    </row>
    <row r="129" spans="1:14" ht="12" customHeight="1">
      <c r="A129" s="2" t="s">
        <v>201</v>
      </c>
      <c r="B129" s="3">
        <v>45981</v>
      </c>
      <c r="C129" s="2" t="s">
        <v>15</v>
      </c>
      <c r="D129" s="2" t="s">
        <v>43</v>
      </c>
      <c r="E129" s="2" t="s">
        <v>49</v>
      </c>
      <c r="F129" s="2" t="s">
        <v>57</v>
      </c>
      <c r="G129" s="2" t="s">
        <v>58</v>
      </c>
      <c r="H129" s="4">
        <v>6</v>
      </c>
      <c r="I129" s="5">
        <v>10857.76</v>
      </c>
      <c r="J129" s="6">
        <v>0</v>
      </c>
      <c r="K129" s="5">
        <v>65146.559999999998</v>
      </c>
      <c r="L129" s="5">
        <v>39110.15</v>
      </c>
      <c r="M129" s="5">
        <v>26036.41</v>
      </c>
      <c r="N129" s="2" t="s">
        <v>59</v>
      </c>
    </row>
    <row r="130" spans="1:14" ht="12" customHeight="1">
      <c r="A130" s="2" t="s">
        <v>202</v>
      </c>
      <c r="B130" s="3">
        <v>45804</v>
      </c>
      <c r="C130" s="2" t="s">
        <v>15</v>
      </c>
      <c r="D130" s="2" t="s">
        <v>16</v>
      </c>
      <c r="E130" s="2" t="s">
        <v>30</v>
      </c>
      <c r="F130" s="2" t="s">
        <v>31</v>
      </c>
      <c r="G130" s="2" t="s">
        <v>19</v>
      </c>
      <c r="H130" s="4">
        <v>5</v>
      </c>
      <c r="I130" s="5">
        <v>134173.64000000001</v>
      </c>
      <c r="J130" s="6">
        <v>0</v>
      </c>
      <c r="K130" s="5">
        <v>670868.19999999995</v>
      </c>
      <c r="L130" s="5">
        <v>491861.06</v>
      </c>
      <c r="M130" s="5">
        <v>179007.14</v>
      </c>
      <c r="N130" s="2" t="s">
        <v>33</v>
      </c>
    </row>
    <row r="131" spans="1:14" ht="12" customHeight="1">
      <c r="A131" s="2" t="s">
        <v>203</v>
      </c>
      <c r="B131" s="3">
        <v>45822</v>
      </c>
      <c r="C131" s="2" t="s">
        <v>15</v>
      </c>
      <c r="D131" s="2" t="s">
        <v>43</v>
      </c>
      <c r="E131" s="2" t="s">
        <v>49</v>
      </c>
      <c r="F131" s="2" t="s">
        <v>107</v>
      </c>
      <c r="G131" s="2" t="s">
        <v>70</v>
      </c>
      <c r="H131" s="4">
        <v>1</v>
      </c>
      <c r="I131" s="5">
        <v>5158.18</v>
      </c>
      <c r="J131" s="6">
        <v>0.1</v>
      </c>
      <c r="K131" s="5">
        <v>4642.3599999999997</v>
      </c>
      <c r="L131" s="5">
        <v>2742.2</v>
      </c>
      <c r="M131" s="5">
        <v>1900.16</v>
      </c>
      <c r="N131" s="2" t="s">
        <v>26</v>
      </c>
    </row>
    <row r="132" spans="1:14" ht="12" customHeight="1">
      <c r="A132" s="2" t="s">
        <v>204</v>
      </c>
      <c r="B132" s="3">
        <v>46020</v>
      </c>
      <c r="C132" s="2" t="s">
        <v>22</v>
      </c>
      <c r="D132" s="2" t="s">
        <v>35</v>
      </c>
      <c r="E132" s="2" t="s">
        <v>17</v>
      </c>
      <c r="F132" s="2" t="s">
        <v>18</v>
      </c>
      <c r="G132" s="2" t="s">
        <v>70</v>
      </c>
      <c r="H132" s="4">
        <v>2</v>
      </c>
      <c r="I132" s="5">
        <v>14510.55</v>
      </c>
      <c r="J132" s="6">
        <v>0</v>
      </c>
      <c r="K132" s="5">
        <v>29021.1</v>
      </c>
      <c r="L132" s="5">
        <v>15952.94</v>
      </c>
      <c r="M132" s="5">
        <v>13068.16</v>
      </c>
      <c r="N132" s="2" t="s">
        <v>20</v>
      </c>
    </row>
    <row r="133" spans="1:14" ht="12" customHeight="1">
      <c r="A133" s="2" t="s">
        <v>205</v>
      </c>
      <c r="B133" s="3">
        <v>45831</v>
      </c>
      <c r="C133" s="2" t="s">
        <v>15</v>
      </c>
      <c r="D133" s="2" t="s">
        <v>43</v>
      </c>
      <c r="E133" s="2" t="s">
        <v>44</v>
      </c>
      <c r="F133" s="2" t="s">
        <v>69</v>
      </c>
      <c r="G133" s="2" t="s">
        <v>64</v>
      </c>
      <c r="H133" s="4">
        <v>6</v>
      </c>
      <c r="I133" s="5">
        <v>40541.06</v>
      </c>
      <c r="J133" s="6">
        <v>0.05</v>
      </c>
      <c r="K133" s="5">
        <v>231084.04</v>
      </c>
      <c r="L133" s="5">
        <v>155783.76</v>
      </c>
      <c r="M133" s="5">
        <v>75300.28</v>
      </c>
      <c r="N133" s="2" t="s">
        <v>59</v>
      </c>
    </row>
    <row r="134" spans="1:14" ht="12" customHeight="1">
      <c r="A134" s="2" t="s">
        <v>206</v>
      </c>
      <c r="B134" s="3" t="s">
        <v>207</v>
      </c>
      <c r="C134" s="2" t="s">
        <v>22</v>
      </c>
      <c r="D134" s="2" t="s">
        <v>35</v>
      </c>
      <c r="E134" s="2" t="s">
        <v>17</v>
      </c>
      <c r="F134" s="2" t="s">
        <v>114</v>
      </c>
      <c r="G134" s="2" t="s">
        <v>61</v>
      </c>
      <c r="H134" s="4">
        <v>5</v>
      </c>
      <c r="I134" s="5">
        <v>49936.6</v>
      </c>
      <c r="J134" s="6">
        <v>0.15</v>
      </c>
      <c r="K134" s="5">
        <v>212230.55</v>
      </c>
      <c r="L134" s="5">
        <v>189345.34</v>
      </c>
      <c r="M134" s="5">
        <v>22885.21</v>
      </c>
      <c r="N134" s="2" t="s">
        <v>59</v>
      </c>
    </row>
    <row r="135" spans="1:14" ht="12" customHeight="1">
      <c r="A135" s="2" t="s">
        <v>208</v>
      </c>
      <c r="B135" s="3">
        <v>45724</v>
      </c>
      <c r="C135" s="2" t="s">
        <v>22</v>
      </c>
      <c r="D135" s="2" t="s">
        <v>37</v>
      </c>
      <c r="E135" s="2" t="s">
        <v>44</v>
      </c>
      <c r="F135" s="2" t="s">
        <v>69</v>
      </c>
      <c r="G135" s="2" t="s">
        <v>19</v>
      </c>
      <c r="H135" s="4">
        <v>5</v>
      </c>
      <c r="I135" s="5">
        <v>40843.589999999997</v>
      </c>
      <c r="J135" s="6">
        <v>0.15</v>
      </c>
      <c r="K135" s="5">
        <v>173585.26</v>
      </c>
      <c r="L135" s="5">
        <v>132125.43</v>
      </c>
      <c r="M135" s="5">
        <v>41459.83</v>
      </c>
      <c r="N135" s="2" t="s">
        <v>59</v>
      </c>
    </row>
    <row r="136" spans="1:14" ht="12" customHeight="1">
      <c r="A136" s="2" t="s">
        <v>209</v>
      </c>
      <c r="B136" s="3">
        <v>45667</v>
      </c>
      <c r="C136" s="2" t="s">
        <v>15</v>
      </c>
      <c r="D136" s="2" t="s">
        <v>63</v>
      </c>
      <c r="E136" s="2" t="s">
        <v>30</v>
      </c>
      <c r="F136" s="2" t="s">
        <v>86</v>
      </c>
      <c r="G136" s="2" t="s">
        <v>32</v>
      </c>
      <c r="H136" s="4">
        <v>2</v>
      </c>
      <c r="I136" s="5">
        <v>33771.01</v>
      </c>
      <c r="J136" s="6">
        <v>0.05</v>
      </c>
      <c r="K136" s="5">
        <v>64164.92</v>
      </c>
      <c r="L136" s="5">
        <v>45251.74</v>
      </c>
      <c r="M136" s="5">
        <v>18913.18</v>
      </c>
      <c r="N136" s="2" t="s">
        <v>59</v>
      </c>
    </row>
    <row r="137" spans="1:14" ht="12" customHeight="1">
      <c r="A137" s="2" t="s">
        <v>210</v>
      </c>
      <c r="B137" s="3">
        <v>45809</v>
      </c>
      <c r="C137" s="2" t="s">
        <v>22</v>
      </c>
      <c r="D137" s="2" t="s">
        <v>23</v>
      </c>
      <c r="E137" s="2" t="s">
        <v>30</v>
      </c>
      <c r="F137" s="2" t="s">
        <v>40</v>
      </c>
      <c r="G137" s="2" t="s">
        <v>19</v>
      </c>
      <c r="H137" s="4">
        <v>4</v>
      </c>
      <c r="I137" s="5">
        <v>23428.05</v>
      </c>
      <c r="J137" s="6">
        <v>0</v>
      </c>
      <c r="K137" s="5">
        <v>93712.2</v>
      </c>
      <c r="L137" s="5">
        <v>61989.48</v>
      </c>
      <c r="M137" s="5">
        <v>31722.720000000001</v>
      </c>
      <c r="N137" s="2" t="s">
        <v>33</v>
      </c>
    </row>
    <row r="138" spans="1:14" ht="12" customHeight="1">
      <c r="A138" s="2" t="s">
        <v>211</v>
      </c>
      <c r="B138" s="3">
        <v>45742</v>
      </c>
      <c r="C138" s="2" t="s">
        <v>15</v>
      </c>
      <c r="D138" s="2" t="s">
        <v>63</v>
      </c>
      <c r="E138" s="2" t="s">
        <v>44</v>
      </c>
      <c r="F138" s="2" t="s">
        <v>53</v>
      </c>
      <c r="G138" s="2" t="s">
        <v>70</v>
      </c>
      <c r="H138" s="4">
        <v>3</v>
      </c>
      <c r="I138" s="5">
        <v>8040.66</v>
      </c>
      <c r="J138" s="6">
        <v>0.15</v>
      </c>
      <c r="K138" s="5">
        <v>20503.68</v>
      </c>
      <c r="L138" s="5">
        <v>15052.46</v>
      </c>
      <c r="M138" s="5">
        <v>5451.22</v>
      </c>
      <c r="N138" s="2" t="s">
        <v>33</v>
      </c>
    </row>
    <row r="139" spans="1:14" ht="12" customHeight="1">
      <c r="A139" s="2" t="s">
        <v>212</v>
      </c>
      <c r="B139" s="3">
        <v>45780</v>
      </c>
      <c r="C139" s="2" t="s">
        <v>28</v>
      </c>
      <c r="D139" s="2" t="s">
        <v>56</v>
      </c>
      <c r="E139" s="2" t="s">
        <v>44</v>
      </c>
      <c r="F139" s="2" t="s">
        <v>53</v>
      </c>
      <c r="G139" s="2" t="s">
        <v>58</v>
      </c>
      <c r="H139" s="4">
        <v>5</v>
      </c>
      <c r="I139" s="5">
        <v>8843.25</v>
      </c>
      <c r="J139" s="6">
        <v>0.05</v>
      </c>
      <c r="K139" s="5">
        <v>42005.440000000002</v>
      </c>
      <c r="L139" s="5">
        <v>24166.32</v>
      </c>
      <c r="M139" s="5">
        <v>17839.12</v>
      </c>
      <c r="N139" s="2" t="s">
        <v>20</v>
      </c>
    </row>
    <row r="140" spans="1:14" ht="12" customHeight="1">
      <c r="A140" s="2" t="s">
        <v>213</v>
      </c>
      <c r="B140" s="3">
        <v>45740</v>
      </c>
      <c r="C140" s="2" t="s">
        <v>22</v>
      </c>
      <c r="D140" s="2" t="s">
        <v>35</v>
      </c>
      <c r="E140" s="2" t="s">
        <v>49</v>
      </c>
      <c r="F140" s="2" t="s">
        <v>107</v>
      </c>
      <c r="G140" s="2" t="s">
        <v>47</v>
      </c>
      <c r="H140" s="4">
        <v>5</v>
      </c>
      <c r="I140" s="5">
        <v>5431.4</v>
      </c>
      <c r="J140" s="6">
        <v>0.1</v>
      </c>
      <c r="K140" s="5">
        <v>24441.3</v>
      </c>
      <c r="L140" s="5">
        <v>13593.45</v>
      </c>
      <c r="M140" s="5">
        <v>10847.85</v>
      </c>
      <c r="N140" s="2" t="s">
        <v>26</v>
      </c>
    </row>
    <row r="141" spans="1:14" ht="12" customHeight="1">
      <c r="A141" s="2" t="s">
        <v>214</v>
      </c>
      <c r="B141" s="3">
        <v>45803</v>
      </c>
      <c r="C141" s="2" t="s">
        <v>28</v>
      </c>
      <c r="D141" s="2" t="s">
        <v>52</v>
      </c>
      <c r="E141" s="2" t="s">
        <v>49</v>
      </c>
      <c r="F141" s="2" t="s">
        <v>57</v>
      </c>
      <c r="G141" s="2" t="s">
        <v>19</v>
      </c>
      <c r="H141" s="4">
        <v>2</v>
      </c>
      <c r="I141" s="5">
        <v>11888.98</v>
      </c>
      <c r="J141" s="6">
        <v>0.1</v>
      </c>
      <c r="K141" s="5">
        <v>21400.16</v>
      </c>
      <c r="L141" s="5">
        <v>13384.56</v>
      </c>
      <c r="M141" s="5">
        <v>8015.6</v>
      </c>
      <c r="N141" s="2" t="s">
        <v>26</v>
      </c>
    </row>
    <row r="142" spans="1:14" ht="12" customHeight="1">
      <c r="A142" s="2" t="s">
        <v>215</v>
      </c>
      <c r="B142" s="3">
        <v>45836</v>
      </c>
      <c r="C142" s="2" t="s">
        <v>28</v>
      </c>
      <c r="D142" s="2" t="s">
        <v>56</v>
      </c>
      <c r="E142" s="2" t="s">
        <v>44</v>
      </c>
      <c r="F142" s="2" t="s">
        <v>53</v>
      </c>
      <c r="G142" s="2" t="s">
        <v>64</v>
      </c>
      <c r="H142" s="4">
        <v>2</v>
      </c>
      <c r="I142" s="5">
        <v>9107.1200000000008</v>
      </c>
      <c r="J142" s="6">
        <v>0</v>
      </c>
      <c r="K142" s="5">
        <v>18214.240000000002</v>
      </c>
      <c r="L142" s="5">
        <v>10066.26</v>
      </c>
      <c r="M142" s="5">
        <v>8147.98</v>
      </c>
      <c r="N142" s="2" t="s">
        <v>20</v>
      </c>
    </row>
    <row r="143" spans="1:14" ht="12" customHeight="1">
      <c r="A143" s="2" t="s">
        <v>216</v>
      </c>
      <c r="B143" s="3">
        <v>45821</v>
      </c>
      <c r="C143" s="2" t="s">
        <v>22</v>
      </c>
      <c r="D143" s="2" t="s">
        <v>35</v>
      </c>
      <c r="E143" s="2" t="s">
        <v>30</v>
      </c>
      <c r="F143" s="2" t="s">
        <v>86</v>
      </c>
      <c r="G143" s="2" t="s">
        <v>19</v>
      </c>
      <c r="H143" s="4">
        <v>7</v>
      </c>
      <c r="I143" s="5">
        <v>35611.089999999997</v>
      </c>
      <c r="J143" s="6">
        <v>0.05</v>
      </c>
      <c r="K143" s="5">
        <v>236813.75</v>
      </c>
      <c r="L143" s="5">
        <v>155250.54</v>
      </c>
      <c r="M143" s="5">
        <v>81563.210000000006</v>
      </c>
      <c r="N143" s="2" t="s">
        <v>59</v>
      </c>
    </row>
    <row r="144" spans="1:14" ht="12" customHeight="1">
      <c r="A144" s="2" t="s">
        <v>217</v>
      </c>
      <c r="B144" s="3">
        <v>45898</v>
      </c>
      <c r="C144" s="2" t="s">
        <v>22</v>
      </c>
      <c r="D144" s="2" t="s">
        <v>23</v>
      </c>
      <c r="E144" s="2" t="s">
        <v>17</v>
      </c>
      <c r="F144" s="2" t="s">
        <v>18</v>
      </c>
      <c r="G144" s="2" t="s">
        <v>70</v>
      </c>
      <c r="H144" s="4">
        <v>8</v>
      </c>
      <c r="I144" s="5">
        <v>14954.89</v>
      </c>
      <c r="J144" s="6">
        <v>0</v>
      </c>
      <c r="K144" s="5">
        <v>119639.12</v>
      </c>
      <c r="L144" s="5">
        <v>67116.600000000006</v>
      </c>
      <c r="M144" s="5">
        <v>52522.52</v>
      </c>
      <c r="N144" s="2" t="s">
        <v>33</v>
      </c>
    </row>
    <row r="145" spans="1:14" ht="12" customHeight="1">
      <c r="A145" s="2" t="s">
        <v>218</v>
      </c>
      <c r="B145" s="3">
        <v>45874</v>
      </c>
      <c r="C145" s="2" t="s">
        <v>22</v>
      </c>
      <c r="D145" s="2" t="s">
        <v>23</v>
      </c>
      <c r="E145" s="2" t="s">
        <v>30</v>
      </c>
      <c r="F145" s="2" t="s">
        <v>86</v>
      </c>
      <c r="G145" s="2" t="s">
        <v>19</v>
      </c>
      <c r="H145" s="4">
        <v>3</v>
      </c>
      <c r="I145" s="5">
        <v>33257.69</v>
      </c>
      <c r="J145" s="6">
        <v>0.15</v>
      </c>
      <c r="K145" s="5">
        <v>84807.11</v>
      </c>
      <c r="L145" s="5">
        <v>68351.960000000006</v>
      </c>
      <c r="M145" s="5">
        <v>16455.150000000001</v>
      </c>
      <c r="N145" s="2" t="s">
        <v>59</v>
      </c>
    </row>
    <row r="146" spans="1:14" ht="12" customHeight="1">
      <c r="A146" s="2" t="s">
        <v>219</v>
      </c>
      <c r="B146" s="3">
        <v>45714</v>
      </c>
      <c r="C146" s="2" t="s">
        <v>22</v>
      </c>
      <c r="D146" s="2" t="s">
        <v>35</v>
      </c>
      <c r="E146" s="2" t="s">
        <v>17</v>
      </c>
      <c r="F146" s="2" t="s">
        <v>75</v>
      </c>
      <c r="G146" s="2" t="s">
        <v>70</v>
      </c>
      <c r="H146" s="4">
        <v>4</v>
      </c>
      <c r="I146" s="5">
        <v>182626.84</v>
      </c>
      <c r="J146" s="6">
        <v>0.1</v>
      </c>
      <c r="K146" s="5">
        <v>657456.62</v>
      </c>
      <c r="L146" s="5">
        <v>569134.84</v>
      </c>
      <c r="M146" s="5">
        <v>88321.78</v>
      </c>
      <c r="N146" s="2" t="s">
        <v>33</v>
      </c>
    </row>
    <row r="147" spans="1:14" ht="12" customHeight="1">
      <c r="A147" s="2" t="s">
        <v>220</v>
      </c>
      <c r="B147" s="3">
        <v>45950</v>
      </c>
      <c r="C147" s="2" t="s">
        <v>15</v>
      </c>
      <c r="D147" s="2" t="s">
        <v>43</v>
      </c>
      <c r="E147" s="2" t="s">
        <v>44</v>
      </c>
      <c r="F147" s="2" t="s">
        <v>45</v>
      </c>
      <c r="G147" s="2" t="s">
        <v>25</v>
      </c>
      <c r="H147" s="4">
        <v>5</v>
      </c>
      <c r="I147" s="5">
        <v>28177.33</v>
      </c>
      <c r="J147" s="6">
        <v>0.1</v>
      </c>
      <c r="K147" s="5">
        <v>126797.99</v>
      </c>
      <c r="L147" s="5">
        <v>94496.23</v>
      </c>
      <c r="M147" s="5">
        <v>32301.759999999998</v>
      </c>
      <c r="N147" s="2" t="s">
        <v>26</v>
      </c>
    </row>
    <row r="148" spans="1:14" ht="12" customHeight="1">
      <c r="A148" s="2" t="s">
        <v>221</v>
      </c>
      <c r="B148" s="3">
        <v>45917</v>
      </c>
      <c r="C148" s="2" t="s">
        <v>15</v>
      </c>
      <c r="D148" s="2" t="s">
        <v>43</v>
      </c>
      <c r="E148" s="2" t="s">
        <v>17</v>
      </c>
      <c r="F148" s="2" t="s">
        <v>18</v>
      </c>
      <c r="G148" s="2" t="s">
        <v>64</v>
      </c>
      <c r="H148" s="4">
        <v>2</v>
      </c>
      <c r="I148" s="5">
        <v>15551.9</v>
      </c>
      <c r="J148" s="6">
        <v>0.1</v>
      </c>
      <c r="K148" s="5">
        <v>27993.42</v>
      </c>
      <c r="L148" s="5">
        <v>16490.41</v>
      </c>
      <c r="M148" s="5">
        <v>11503.01</v>
      </c>
      <c r="N148" s="2" t="s">
        <v>20</v>
      </c>
    </row>
    <row r="149" spans="1:14" ht="12" customHeight="1">
      <c r="A149" s="2" t="s">
        <v>222</v>
      </c>
      <c r="B149" s="3">
        <v>45834</v>
      </c>
      <c r="C149" s="2" t="s">
        <v>28</v>
      </c>
      <c r="D149" s="2" t="s">
        <v>52</v>
      </c>
      <c r="E149" s="2" t="s">
        <v>49</v>
      </c>
      <c r="F149" s="2" t="s">
        <v>57</v>
      </c>
      <c r="G149" s="2" t="s">
        <v>47</v>
      </c>
      <c r="H149" s="4">
        <v>5</v>
      </c>
      <c r="I149" s="5">
        <v>11955.06</v>
      </c>
      <c r="J149" s="6">
        <v>0.05</v>
      </c>
      <c r="K149" s="5">
        <v>56786.53</v>
      </c>
      <c r="L149" s="5">
        <v>33318.879999999997</v>
      </c>
      <c r="M149" s="5">
        <v>23467.65</v>
      </c>
      <c r="N149" s="2" t="s">
        <v>33</v>
      </c>
    </row>
    <row r="150" spans="1:14" ht="12" customHeight="1">
      <c r="A150" s="2" t="s">
        <v>223</v>
      </c>
      <c r="B150" s="3">
        <v>45747</v>
      </c>
      <c r="C150" s="2" t="s">
        <v>15</v>
      </c>
      <c r="D150" s="2" t="s">
        <v>43</v>
      </c>
      <c r="E150" s="2" t="s">
        <v>30</v>
      </c>
      <c r="F150" s="2" t="s">
        <v>86</v>
      </c>
      <c r="G150" s="2" t="s">
        <v>70</v>
      </c>
      <c r="H150" s="4">
        <v>1</v>
      </c>
      <c r="I150" s="5">
        <v>32220.14</v>
      </c>
      <c r="J150" s="6">
        <v>0.05</v>
      </c>
      <c r="K150" s="5">
        <v>30609.13</v>
      </c>
      <c r="L150" s="5">
        <v>23106.28</v>
      </c>
      <c r="M150" s="5">
        <v>7502.85</v>
      </c>
      <c r="N150" s="2" t="s">
        <v>20</v>
      </c>
    </row>
    <row r="151" spans="1:14" ht="12" customHeight="1">
      <c r="A151" s="2" t="s">
        <v>224</v>
      </c>
      <c r="B151" s="3">
        <v>45760</v>
      </c>
      <c r="C151" s="2" t="s">
        <v>68</v>
      </c>
      <c r="D151" s="2" t="s">
        <v>16</v>
      </c>
      <c r="E151" s="2" t="s">
        <v>44</v>
      </c>
      <c r="F151" s="2" t="s">
        <v>80</v>
      </c>
      <c r="G151" s="2" t="s">
        <v>64</v>
      </c>
      <c r="H151" s="4">
        <v>8</v>
      </c>
      <c r="I151" s="5">
        <v>39814.449999999997</v>
      </c>
      <c r="J151" s="6">
        <v>0</v>
      </c>
      <c r="K151" s="5">
        <v>318515.59999999998</v>
      </c>
      <c r="L151" s="5">
        <v>241320.48</v>
      </c>
      <c r="M151" s="5">
        <v>77195.12</v>
      </c>
      <c r="N151" s="2" t="s">
        <v>59</v>
      </c>
    </row>
    <row r="152" spans="1:14" ht="12" customHeight="1">
      <c r="A152" s="2" t="s">
        <v>225</v>
      </c>
      <c r="B152" s="3">
        <v>45840</v>
      </c>
      <c r="C152" s="2" t="s">
        <v>28</v>
      </c>
      <c r="D152" s="2" t="s">
        <v>29</v>
      </c>
      <c r="E152" s="2" t="s">
        <v>49</v>
      </c>
      <c r="F152" s="2" t="s">
        <v>107</v>
      </c>
      <c r="G152" s="2" t="s">
        <v>64</v>
      </c>
      <c r="H152" s="4">
        <v>5</v>
      </c>
      <c r="I152" s="5">
        <v>4814.47</v>
      </c>
      <c r="J152" s="6">
        <v>0.15</v>
      </c>
      <c r="K152" s="5">
        <v>20461.5</v>
      </c>
      <c r="L152" s="5">
        <v>13275.59</v>
      </c>
      <c r="M152" s="5">
        <v>7185.91</v>
      </c>
      <c r="N152" s="2" t="s">
        <v>59</v>
      </c>
    </row>
    <row r="153" spans="1:14" ht="12" customHeight="1">
      <c r="A153" s="2" t="s">
        <v>226</v>
      </c>
      <c r="B153" s="3">
        <v>45753</v>
      </c>
      <c r="C153" s="2" t="s">
        <v>28</v>
      </c>
      <c r="D153" s="2" t="s">
        <v>52</v>
      </c>
      <c r="E153" s="2" t="s">
        <v>30</v>
      </c>
      <c r="F153" s="2" t="s">
        <v>40</v>
      </c>
      <c r="G153" s="2" t="s">
        <v>70</v>
      </c>
      <c r="H153" s="4">
        <v>7</v>
      </c>
      <c r="I153" s="5">
        <v>25453.77</v>
      </c>
      <c r="J153" s="6">
        <v>0.05</v>
      </c>
      <c r="K153" s="5">
        <v>169267.57</v>
      </c>
      <c r="L153" s="5">
        <v>109906.82</v>
      </c>
      <c r="M153" s="5">
        <v>59360.75</v>
      </c>
      <c r="N153" s="2" t="s">
        <v>20</v>
      </c>
    </row>
    <row r="154" spans="1:14" ht="12" customHeight="1">
      <c r="A154" s="2" t="s">
        <v>227</v>
      </c>
      <c r="B154" s="3">
        <v>45750</v>
      </c>
      <c r="C154" s="2" t="s">
        <v>28</v>
      </c>
      <c r="D154" s="2" t="s">
        <v>29</v>
      </c>
      <c r="E154" s="2" t="s">
        <v>30</v>
      </c>
      <c r="F154" s="2" t="s">
        <v>31</v>
      </c>
      <c r="G154" s="2" t="s">
        <v>58</v>
      </c>
      <c r="H154" s="4">
        <v>7</v>
      </c>
      <c r="I154" s="5">
        <v>125904.82</v>
      </c>
      <c r="J154" s="6">
        <v>0.1</v>
      </c>
      <c r="K154" s="5">
        <v>793200.37</v>
      </c>
      <c r="L154" s="5">
        <v>735037.41</v>
      </c>
      <c r="M154" s="5">
        <v>58162.96</v>
      </c>
      <c r="N154" s="2" t="s">
        <v>59</v>
      </c>
    </row>
    <row r="155" spans="1:14" ht="12" customHeight="1">
      <c r="A155" s="2" t="s">
        <v>228</v>
      </c>
      <c r="B155" s="3">
        <v>46011</v>
      </c>
      <c r="C155" s="2" t="s">
        <v>22</v>
      </c>
      <c r="D155" s="2" t="s">
        <v>23</v>
      </c>
      <c r="E155" s="2" t="s">
        <v>30</v>
      </c>
      <c r="F155" s="2" t="s">
        <v>38</v>
      </c>
      <c r="G155" s="2" t="s">
        <v>70</v>
      </c>
      <c r="H155" s="4">
        <v>5</v>
      </c>
      <c r="I155" s="5">
        <v>26766.36</v>
      </c>
      <c r="J155" s="6">
        <v>0.15</v>
      </c>
      <c r="K155" s="5">
        <v>113757.03</v>
      </c>
      <c r="L155" s="5">
        <v>89984.53</v>
      </c>
      <c r="M155" s="5">
        <v>23772.5</v>
      </c>
      <c r="N155" s="2" t="s">
        <v>59</v>
      </c>
    </row>
    <row r="156" spans="1:14" ht="12" customHeight="1">
      <c r="A156" s="2" t="s">
        <v>229</v>
      </c>
      <c r="B156" s="3">
        <v>45984</v>
      </c>
      <c r="C156" s="2" t="s">
        <v>28</v>
      </c>
      <c r="D156" s="2" t="s">
        <v>52</v>
      </c>
      <c r="E156" s="2" t="s">
        <v>30</v>
      </c>
      <c r="F156" s="2" t="s">
        <v>40</v>
      </c>
      <c r="G156" s="2" t="s">
        <v>25</v>
      </c>
      <c r="H156" s="4">
        <v>5</v>
      </c>
      <c r="I156" s="5">
        <v>25046.720000000001</v>
      </c>
      <c r="J156" s="6">
        <v>0</v>
      </c>
      <c r="K156" s="5">
        <v>125233.60000000001</v>
      </c>
      <c r="L156" s="5">
        <v>77044.98</v>
      </c>
      <c r="M156" s="5">
        <v>48188.62</v>
      </c>
      <c r="N156" s="2" t="s">
        <v>59</v>
      </c>
    </row>
    <row r="157" spans="1:14" ht="12" customHeight="1">
      <c r="A157" s="2" t="s">
        <v>230</v>
      </c>
      <c r="B157" s="3">
        <v>45675</v>
      </c>
      <c r="C157" s="2" t="s">
        <v>15</v>
      </c>
      <c r="D157" s="2" t="s">
        <v>43</v>
      </c>
      <c r="E157" s="2" t="s">
        <v>44</v>
      </c>
      <c r="F157" s="2" t="s">
        <v>80</v>
      </c>
      <c r="G157" s="2" t="s">
        <v>61</v>
      </c>
      <c r="H157" s="4">
        <v>3</v>
      </c>
      <c r="I157" s="5">
        <v>45398.84</v>
      </c>
      <c r="J157" s="6">
        <v>0.15</v>
      </c>
      <c r="K157" s="5">
        <v>115767.03999999999</v>
      </c>
      <c r="L157" s="5">
        <v>95296.34</v>
      </c>
      <c r="M157" s="5">
        <v>20470.7</v>
      </c>
      <c r="N157" s="2" t="s">
        <v>33</v>
      </c>
    </row>
    <row r="158" spans="1:14" ht="12" customHeight="1">
      <c r="A158" s="2" t="s">
        <v>231</v>
      </c>
      <c r="B158" s="3">
        <v>46005</v>
      </c>
      <c r="C158" s="2" t="s">
        <v>22</v>
      </c>
      <c r="D158" s="2" t="s">
        <v>37</v>
      </c>
      <c r="E158" s="2" t="s">
        <v>30</v>
      </c>
      <c r="F158" s="2" t="s">
        <v>38</v>
      </c>
      <c r="G158" s="2" t="s">
        <v>70</v>
      </c>
      <c r="H158" s="4">
        <v>7</v>
      </c>
      <c r="I158" s="5">
        <v>28941.7</v>
      </c>
      <c r="J158" s="6">
        <v>0</v>
      </c>
      <c r="K158" s="5">
        <v>202591.9</v>
      </c>
      <c r="L158" s="5">
        <v>127556.94</v>
      </c>
      <c r="M158" s="5">
        <v>75034.960000000006</v>
      </c>
      <c r="N158" s="2" t="s">
        <v>232</v>
      </c>
    </row>
    <row r="159" spans="1:14" ht="12" customHeight="1">
      <c r="A159" s="2" t="s">
        <v>233</v>
      </c>
      <c r="B159" s="3">
        <v>45716</v>
      </c>
      <c r="C159" s="2" t="s">
        <v>28</v>
      </c>
      <c r="D159" s="2" t="s">
        <v>56</v>
      </c>
      <c r="E159" s="2" t="s">
        <v>17</v>
      </c>
      <c r="F159" s="2" t="s">
        <v>24</v>
      </c>
      <c r="G159" s="2" t="s">
        <v>64</v>
      </c>
      <c r="H159" s="4">
        <v>6</v>
      </c>
      <c r="I159" s="5">
        <v>90499.06</v>
      </c>
      <c r="J159" s="6">
        <v>0.15</v>
      </c>
      <c r="K159" s="5">
        <v>461545.21</v>
      </c>
      <c r="L159" s="5">
        <v>403719.38</v>
      </c>
      <c r="M159" s="5">
        <v>57825.83</v>
      </c>
      <c r="N159" s="2" t="s">
        <v>26</v>
      </c>
    </row>
    <row r="160" spans="1:14" ht="12" customHeight="1">
      <c r="A160" s="2" t="s">
        <v>234</v>
      </c>
      <c r="B160" s="3">
        <v>45971</v>
      </c>
      <c r="C160" s="2" t="s">
        <v>28</v>
      </c>
      <c r="D160" s="2" t="s">
        <v>29</v>
      </c>
      <c r="E160" s="2" t="s">
        <v>49</v>
      </c>
      <c r="F160" s="2" t="s">
        <v>91</v>
      </c>
      <c r="G160" s="2" t="s">
        <v>58</v>
      </c>
      <c r="H160" s="4">
        <v>5</v>
      </c>
      <c r="I160" s="5">
        <v>6785.96</v>
      </c>
      <c r="J160" s="6">
        <v>0.15</v>
      </c>
      <c r="K160" s="5">
        <v>28840.33</v>
      </c>
      <c r="L160" s="5">
        <v>18022.3</v>
      </c>
      <c r="M160" s="5">
        <v>10818.03</v>
      </c>
      <c r="N160" s="2" t="s">
        <v>20</v>
      </c>
    </row>
    <row r="161" spans="1:14" ht="12" customHeight="1">
      <c r="A161" s="2" t="s">
        <v>235</v>
      </c>
      <c r="B161" s="3">
        <v>45702</v>
      </c>
      <c r="C161" s="2" t="s">
        <v>22</v>
      </c>
      <c r="D161" s="2" t="s">
        <v>23</v>
      </c>
      <c r="E161" s="2" t="s">
        <v>44</v>
      </c>
      <c r="F161" s="2" t="s">
        <v>80</v>
      </c>
      <c r="G161" s="2" t="s">
        <v>32</v>
      </c>
      <c r="H161" s="4">
        <v>8</v>
      </c>
      <c r="I161" s="5">
        <v>40747.879999999997</v>
      </c>
      <c r="J161" s="6">
        <v>0.15</v>
      </c>
      <c r="K161" s="5">
        <v>277085.58</v>
      </c>
      <c r="L161" s="5">
        <v>248287.13</v>
      </c>
      <c r="M161" s="5">
        <v>28798.45</v>
      </c>
      <c r="N161" s="2" t="s">
        <v>59</v>
      </c>
    </row>
    <row r="162" spans="1:14" ht="12" customHeight="1">
      <c r="A162" s="2" t="s">
        <v>236</v>
      </c>
      <c r="B162" s="3">
        <v>45843</v>
      </c>
      <c r="C162" s="2" t="s">
        <v>15</v>
      </c>
      <c r="D162" s="2" t="s">
        <v>16</v>
      </c>
      <c r="E162" s="2" t="s">
        <v>30</v>
      </c>
      <c r="F162" s="2" t="s">
        <v>38</v>
      </c>
      <c r="G162" s="2" t="s">
        <v>47</v>
      </c>
      <c r="H162" s="4">
        <v>3</v>
      </c>
      <c r="I162" s="5">
        <v>27915.02</v>
      </c>
      <c r="J162" s="6">
        <v>0.15</v>
      </c>
      <c r="K162" s="5">
        <v>71183.3</v>
      </c>
      <c r="L162" s="5">
        <v>54790.51</v>
      </c>
      <c r="M162" s="5">
        <v>16392.79</v>
      </c>
      <c r="N162" s="2" t="s">
        <v>33</v>
      </c>
    </row>
    <row r="163" spans="1:14" ht="12" customHeight="1">
      <c r="A163" s="2" t="s">
        <v>237</v>
      </c>
      <c r="B163" s="3">
        <v>45940</v>
      </c>
      <c r="C163" s="2" t="s">
        <v>22</v>
      </c>
      <c r="D163" s="2" t="s">
        <v>23</v>
      </c>
      <c r="E163" s="2" t="s">
        <v>44</v>
      </c>
      <c r="F163" s="2" t="s">
        <v>53</v>
      </c>
      <c r="G163" s="2" t="s">
        <v>61</v>
      </c>
      <c r="H163" s="4">
        <v>1</v>
      </c>
      <c r="I163" s="5">
        <v>8310.82</v>
      </c>
      <c r="J163" s="6">
        <v>0.1</v>
      </c>
      <c r="K163" s="5">
        <v>7479.74</v>
      </c>
      <c r="L163" s="5">
        <v>4879.54</v>
      </c>
      <c r="M163" s="5">
        <v>2600.1999999999998</v>
      </c>
      <c r="N163" s="2" t="s">
        <v>33</v>
      </c>
    </row>
    <row r="164" spans="1:14" ht="12" customHeight="1">
      <c r="A164" s="2" t="s">
        <v>238</v>
      </c>
      <c r="B164" s="3">
        <v>45820</v>
      </c>
      <c r="C164" s="2" t="s">
        <v>22</v>
      </c>
      <c r="D164" s="2" t="s">
        <v>35</v>
      </c>
      <c r="E164" s="2" t="s">
        <v>49</v>
      </c>
      <c r="F164" s="2" t="s">
        <v>107</v>
      </c>
      <c r="G164" s="2" t="s">
        <v>19</v>
      </c>
      <c r="H164" s="4">
        <v>7</v>
      </c>
      <c r="I164" s="5">
        <v>5423.94</v>
      </c>
      <c r="J164" s="6">
        <v>0.1</v>
      </c>
      <c r="K164" s="5">
        <v>34170.82</v>
      </c>
      <c r="L164" s="5">
        <v>18430.57</v>
      </c>
      <c r="M164" s="5">
        <v>15740.25</v>
      </c>
      <c r="N164" s="2" t="s">
        <v>20</v>
      </c>
    </row>
    <row r="165" spans="1:14" ht="12" customHeight="1">
      <c r="A165" s="2" t="s">
        <v>239</v>
      </c>
      <c r="B165" s="3">
        <v>45686</v>
      </c>
      <c r="C165" s="2" t="s">
        <v>28</v>
      </c>
      <c r="D165" s="2" t="s">
        <v>29</v>
      </c>
      <c r="E165" s="2" t="s">
        <v>30</v>
      </c>
      <c r="F165" s="2" t="s">
        <v>86</v>
      </c>
      <c r="G165" s="2" t="s">
        <v>19</v>
      </c>
      <c r="H165" s="4">
        <v>3</v>
      </c>
      <c r="I165" s="5">
        <v>34413.89</v>
      </c>
      <c r="J165" s="6">
        <v>0</v>
      </c>
      <c r="K165" s="5">
        <v>103241.67</v>
      </c>
      <c r="L165" s="5">
        <v>67519.12</v>
      </c>
      <c r="M165" s="5">
        <v>35722.550000000003</v>
      </c>
      <c r="N165" s="2" t="s">
        <v>26</v>
      </c>
    </row>
    <row r="166" spans="1:14" ht="12" customHeight="1">
      <c r="A166" s="2" t="s">
        <v>240</v>
      </c>
      <c r="B166" s="3">
        <v>45698</v>
      </c>
      <c r="C166" s="2" t="s">
        <v>28</v>
      </c>
      <c r="D166" s="2" t="s">
        <v>52</v>
      </c>
      <c r="E166" s="2" t="s">
        <v>44</v>
      </c>
      <c r="F166" s="2" t="s">
        <v>69</v>
      </c>
      <c r="G166" s="2" t="s">
        <v>58</v>
      </c>
      <c r="H166" s="4">
        <v>4</v>
      </c>
      <c r="I166" s="5">
        <v>37063.82</v>
      </c>
      <c r="J166" s="6">
        <v>0.1</v>
      </c>
      <c r="K166" s="5">
        <v>133429.75</v>
      </c>
      <c r="L166" s="5">
        <v>107395.06</v>
      </c>
      <c r="M166" s="5">
        <v>26034.69</v>
      </c>
      <c r="N166" s="2" t="s">
        <v>26</v>
      </c>
    </row>
    <row r="167" spans="1:14" ht="12" customHeight="1">
      <c r="A167" s="2" t="s">
        <v>241</v>
      </c>
      <c r="B167" s="3">
        <v>45744</v>
      </c>
      <c r="C167" s="2" t="s">
        <v>15</v>
      </c>
      <c r="D167" s="2" t="s">
        <v>43</v>
      </c>
      <c r="E167" s="2" t="s">
        <v>30</v>
      </c>
      <c r="F167" s="2" t="s">
        <v>86</v>
      </c>
      <c r="G167" s="2" t="s">
        <v>61</v>
      </c>
      <c r="H167" s="4">
        <v>5</v>
      </c>
      <c r="I167" s="5">
        <v>33604.18</v>
      </c>
      <c r="J167" s="6">
        <v>0</v>
      </c>
      <c r="K167" s="5">
        <v>168020.9</v>
      </c>
      <c r="L167" s="5">
        <v>113082.76</v>
      </c>
      <c r="M167" s="5">
        <v>54938.14</v>
      </c>
      <c r="N167" s="2" t="s">
        <v>26</v>
      </c>
    </row>
    <row r="168" spans="1:14" ht="12" customHeight="1">
      <c r="A168" s="2" t="s">
        <v>242</v>
      </c>
      <c r="B168" s="3">
        <v>45793</v>
      </c>
      <c r="C168" s="2" t="s">
        <v>15</v>
      </c>
      <c r="D168" s="2" t="s">
        <v>43</v>
      </c>
      <c r="E168" s="2" t="s">
        <v>30</v>
      </c>
      <c r="F168" s="2" t="s">
        <v>31</v>
      </c>
      <c r="G168" s="2" t="s">
        <v>243</v>
      </c>
      <c r="H168" s="4">
        <v>1</v>
      </c>
      <c r="I168" s="5">
        <v>125954.41</v>
      </c>
      <c r="J168" s="6">
        <v>0.15</v>
      </c>
      <c r="K168" s="5">
        <v>107061.25</v>
      </c>
      <c r="L168" s="5">
        <v>103421.13</v>
      </c>
      <c r="M168" s="5">
        <v>3640.12</v>
      </c>
      <c r="N168" s="2" t="s">
        <v>20</v>
      </c>
    </row>
    <row r="169" spans="1:14" ht="12" customHeight="1">
      <c r="A169" s="2" t="s">
        <v>244</v>
      </c>
      <c r="B169" s="3">
        <v>46008</v>
      </c>
      <c r="C169" s="2" t="s">
        <v>15</v>
      </c>
      <c r="D169" s="2" t="s">
        <v>43</v>
      </c>
      <c r="E169" s="2" t="s">
        <v>17</v>
      </c>
      <c r="F169" s="2" t="s">
        <v>114</v>
      </c>
      <c r="G169" s="2" t="s">
        <v>25</v>
      </c>
      <c r="H169" s="4">
        <v>5</v>
      </c>
      <c r="I169" s="5">
        <v>53180.67</v>
      </c>
      <c r="J169" s="6">
        <v>0.05</v>
      </c>
      <c r="K169" s="5">
        <v>252608.18</v>
      </c>
      <c r="L169" s="5">
        <v>183194.62</v>
      </c>
      <c r="M169" s="5">
        <v>69413.56</v>
      </c>
      <c r="N169" s="2" t="s">
        <v>59</v>
      </c>
    </row>
    <row r="170" spans="1:14" ht="12" customHeight="1">
      <c r="A170" s="2" t="s">
        <v>245</v>
      </c>
      <c r="B170" s="3">
        <v>45968</v>
      </c>
      <c r="C170" s="2" t="s">
        <v>28</v>
      </c>
      <c r="D170" s="2" t="s">
        <v>52</v>
      </c>
      <c r="E170" s="2" t="s">
        <v>17</v>
      </c>
      <c r="F170" s="2" t="s">
        <v>24</v>
      </c>
      <c r="G170" s="2" t="s">
        <v>61</v>
      </c>
      <c r="H170" s="4">
        <v>8</v>
      </c>
      <c r="I170" s="5">
        <v>90757.95</v>
      </c>
      <c r="J170" s="6">
        <v>0.05</v>
      </c>
      <c r="K170" s="5">
        <v>689760.42</v>
      </c>
      <c r="L170" s="5">
        <v>535449.19999999995</v>
      </c>
      <c r="M170" s="5">
        <v>154311.22</v>
      </c>
      <c r="N170" s="2" t="s">
        <v>59</v>
      </c>
    </row>
    <row r="171" spans="1:14" ht="12" customHeight="1">
      <c r="A171" s="2" t="s">
        <v>246</v>
      </c>
      <c r="B171" s="3">
        <v>45821</v>
      </c>
      <c r="C171" s="2" t="s">
        <v>15</v>
      </c>
      <c r="D171" s="2" t="s">
        <v>63</v>
      </c>
      <c r="E171" s="2" t="s">
        <v>30</v>
      </c>
      <c r="F171" s="2" t="s">
        <v>40</v>
      </c>
      <c r="G171" s="2" t="s">
        <v>47</v>
      </c>
      <c r="H171" s="4">
        <v>3</v>
      </c>
      <c r="I171" s="5">
        <v>25521.81</v>
      </c>
      <c r="J171" s="6">
        <v>0.1</v>
      </c>
      <c r="K171" s="5">
        <v>68908.89</v>
      </c>
      <c r="L171" s="5">
        <v>47841.56</v>
      </c>
      <c r="M171" s="5">
        <v>21067.33</v>
      </c>
      <c r="N171" s="2" t="s">
        <v>20</v>
      </c>
    </row>
    <row r="172" spans="1:14" ht="12" customHeight="1">
      <c r="A172" s="2" t="s">
        <v>247</v>
      </c>
      <c r="B172" s="3">
        <v>45973</v>
      </c>
      <c r="C172" s="2" t="s">
        <v>22</v>
      </c>
      <c r="D172" s="2" t="s">
        <v>35</v>
      </c>
      <c r="E172" s="2" t="s">
        <v>49</v>
      </c>
      <c r="F172" s="2" t="s">
        <v>50</v>
      </c>
      <c r="G172" s="2" t="s">
        <v>25</v>
      </c>
      <c r="H172" s="4">
        <v>3</v>
      </c>
      <c r="I172" s="5">
        <v>3929.06</v>
      </c>
      <c r="J172" s="6">
        <v>0.05</v>
      </c>
      <c r="K172" s="5">
        <v>11197.82</v>
      </c>
      <c r="L172" s="5">
        <v>6527.91</v>
      </c>
      <c r="M172" s="5">
        <v>4669.91</v>
      </c>
      <c r="N172" s="2" t="s">
        <v>26</v>
      </c>
    </row>
    <row r="173" spans="1:14" ht="12" customHeight="1">
      <c r="A173" s="2" t="s">
        <v>248</v>
      </c>
      <c r="B173" s="3">
        <v>45815</v>
      </c>
      <c r="C173" s="2" t="s">
        <v>22</v>
      </c>
      <c r="D173" s="2" t="s">
        <v>35</v>
      </c>
      <c r="E173" s="2" t="s">
        <v>30</v>
      </c>
      <c r="F173" s="2" t="s">
        <v>86</v>
      </c>
      <c r="G173" s="2" t="s">
        <v>249</v>
      </c>
      <c r="H173" s="4">
        <v>3</v>
      </c>
      <c r="I173" s="5">
        <v>32990.839999999997</v>
      </c>
      <c r="J173" s="6">
        <v>0.1</v>
      </c>
      <c r="K173" s="5">
        <v>89075.27</v>
      </c>
      <c r="L173" s="5">
        <v>67680.7</v>
      </c>
      <c r="M173" s="5">
        <v>21394.57</v>
      </c>
      <c r="N173" s="2" t="s">
        <v>33</v>
      </c>
    </row>
    <row r="174" spans="1:14" ht="12" customHeight="1">
      <c r="A174" s="2" t="s">
        <v>250</v>
      </c>
      <c r="B174" s="3">
        <v>45911</v>
      </c>
      <c r="C174" s="2" t="s">
        <v>22</v>
      </c>
      <c r="D174" s="2" t="s">
        <v>35</v>
      </c>
      <c r="E174" s="2" t="s">
        <v>49</v>
      </c>
      <c r="F174" s="2" t="s">
        <v>50</v>
      </c>
      <c r="G174" s="2" t="s">
        <v>70</v>
      </c>
      <c r="H174" s="4">
        <v>4</v>
      </c>
      <c r="I174" s="5">
        <v>4256.01</v>
      </c>
      <c r="J174" s="6">
        <v>0</v>
      </c>
      <c r="K174" s="5">
        <v>17024.04</v>
      </c>
      <c r="L174" s="5">
        <v>8177.72</v>
      </c>
      <c r="M174" s="5">
        <v>8846.32</v>
      </c>
      <c r="N174" s="2" t="s">
        <v>59</v>
      </c>
    </row>
    <row r="175" spans="1:14" ht="12" customHeight="1">
      <c r="A175" s="2" t="s">
        <v>251</v>
      </c>
      <c r="B175" s="3">
        <v>45864</v>
      </c>
      <c r="C175" s="2" t="s">
        <v>15</v>
      </c>
      <c r="D175" s="2" t="s">
        <v>16</v>
      </c>
      <c r="E175" s="2" t="s">
        <v>17</v>
      </c>
      <c r="F175" s="2" t="s">
        <v>114</v>
      </c>
      <c r="G175" s="2" t="s">
        <v>32</v>
      </c>
      <c r="H175" s="4">
        <v>3</v>
      </c>
      <c r="I175" s="5">
        <v>55182.03</v>
      </c>
      <c r="J175" s="6">
        <v>0.15</v>
      </c>
      <c r="K175" s="5">
        <v>140714.18</v>
      </c>
      <c r="L175" s="5">
        <v>109018.69</v>
      </c>
      <c r="M175" s="5">
        <v>31695.49</v>
      </c>
      <c r="N175" s="2" t="s">
        <v>33</v>
      </c>
    </row>
    <row r="176" spans="1:14" ht="12" customHeight="1">
      <c r="A176" s="2" t="s">
        <v>252</v>
      </c>
      <c r="B176" s="3">
        <v>45939</v>
      </c>
      <c r="C176" s="2" t="s">
        <v>28</v>
      </c>
      <c r="D176" s="2" t="s">
        <v>52</v>
      </c>
      <c r="E176" s="2" t="s">
        <v>44</v>
      </c>
      <c r="F176" s="2" t="s">
        <v>69</v>
      </c>
      <c r="G176" s="2" t="s">
        <v>58</v>
      </c>
      <c r="H176" s="4">
        <v>5</v>
      </c>
      <c r="I176" s="5">
        <v>35407.07</v>
      </c>
      <c r="J176" s="6">
        <v>0.1</v>
      </c>
      <c r="K176" s="5">
        <v>159331.82</v>
      </c>
      <c r="L176" s="5">
        <v>130198.22</v>
      </c>
      <c r="M176" s="5">
        <v>29133.599999999999</v>
      </c>
      <c r="N176" s="2" t="s">
        <v>33</v>
      </c>
    </row>
    <row r="177" spans="1:14" ht="12" customHeight="1">
      <c r="A177" s="2" t="s">
        <v>253</v>
      </c>
      <c r="B177" s="3">
        <v>45759</v>
      </c>
      <c r="C177" s="2" t="s">
        <v>22</v>
      </c>
      <c r="D177" s="2" t="s">
        <v>23</v>
      </c>
      <c r="E177" s="2" t="s">
        <v>49</v>
      </c>
      <c r="F177" s="2" t="s">
        <v>57</v>
      </c>
      <c r="G177" s="2" t="s">
        <v>25</v>
      </c>
      <c r="H177" s="4">
        <v>6</v>
      </c>
      <c r="I177" s="5">
        <v>11606.41</v>
      </c>
      <c r="J177" s="6">
        <v>0.05</v>
      </c>
      <c r="K177" s="5">
        <v>66156.539999999994</v>
      </c>
      <c r="L177" s="5">
        <v>39891.050000000003</v>
      </c>
      <c r="M177" s="5">
        <v>26265.49</v>
      </c>
      <c r="N177" s="2" t="s">
        <v>33</v>
      </c>
    </row>
    <row r="178" spans="1:14" ht="12" customHeight="1">
      <c r="A178" s="2" t="s">
        <v>254</v>
      </c>
      <c r="B178" s="3">
        <v>45921</v>
      </c>
      <c r="C178" s="2" t="s">
        <v>22</v>
      </c>
      <c r="D178" s="2" t="s">
        <v>23</v>
      </c>
      <c r="E178" s="2" t="s">
        <v>44</v>
      </c>
      <c r="F178" s="2" t="s">
        <v>69</v>
      </c>
      <c r="G178" s="2" t="s">
        <v>61</v>
      </c>
      <c r="H178" s="4">
        <v>8</v>
      </c>
      <c r="I178" s="5">
        <v>38117.54</v>
      </c>
      <c r="J178" s="6">
        <v>0</v>
      </c>
      <c r="K178" s="5">
        <v>304940.32</v>
      </c>
      <c r="L178" s="5">
        <v>210587.15</v>
      </c>
      <c r="M178" s="5">
        <v>94353.17</v>
      </c>
      <c r="N178" s="2" t="s">
        <v>59</v>
      </c>
    </row>
    <row r="179" spans="1:14" ht="12" customHeight="1">
      <c r="A179" s="2" t="s">
        <v>255</v>
      </c>
      <c r="B179" s="3">
        <v>45930</v>
      </c>
      <c r="C179" s="2" t="s">
        <v>15</v>
      </c>
      <c r="D179" s="2" t="s">
        <v>63</v>
      </c>
      <c r="E179" s="2" t="s">
        <v>44</v>
      </c>
      <c r="F179" s="2" t="s">
        <v>53</v>
      </c>
      <c r="G179" s="2" t="s">
        <v>70</v>
      </c>
      <c r="H179" s="4">
        <v>5</v>
      </c>
      <c r="I179" s="5">
        <v>8627.4699999999993</v>
      </c>
      <c r="J179" s="6">
        <v>0.1</v>
      </c>
      <c r="K179" s="5">
        <v>38823.61</v>
      </c>
      <c r="L179" s="5">
        <v>25185.52</v>
      </c>
      <c r="M179" s="5">
        <v>13638.09</v>
      </c>
      <c r="N179" s="2" t="s">
        <v>59</v>
      </c>
    </row>
    <row r="180" spans="1:14" ht="12" customHeight="1">
      <c r="A180" s="2" t="s">
        <v>256</v>
      </c>
      <c r="B180" s="3">
        <v>46010</v>
      </c>
      <c r="C180" s="2" t="s">
        <v>28</v>
      </c>
      <c r="D180" s="2" t="s">
        <v>52</v>
      </c>
      <c r="E180" s="2" t="s">
        <v>30</v>
      </c>
      <c r="F180" s="2" t="s">
        <v>38</v>
      </c>
      <c r="G180" s="2" t="s">
        <v>64</v>
      </c>
      <c r="H180" s="4">
        <v>2</v>
      </c>
      <c r="I180" s="5">
        <v>29073.16</v>
      </c>
      <c r="J180" s="6">
        <v>0.1</v>
      </c>
      <c r="K180" s="5">
        <v>52331.69</v>
      </c>
      <c r="L180" s="5">
        <v>35695.35</v>
      </c>
      <c r="M180" s="5">
        <v>16636.34</v>
      </c>
      <c r="N180" s="2" t="s">
        <v>20</v>
      </c>
    </row>
    <row r="181" spans="1:14" ht="12" customHeight="1">
      <c r="A181" s="2" t="s">
        <v>257</v>
      </c>
      <c r="B181" s="3">
        <v>45852</v>
      </c>
      <c r="C181" s="2" t="s">
        <v>28</v>
      </c>
      <c r="D181" s="2" t="s">
        <v>29</v>
      </c>
      <c r="E181" s="2" t="s">
        <v>44</v>
      </c>
      <c r="F181" s="2" t="s">
        <v>80</v>
      </c>
      <c r="G181" s="2" t="s">
        <v>61</v>
      </c>
      <c r="H181" s="4">
        <v>8</v>
      </c>
      <c r="I181" s="5">
        <v>40733.120000000003</v>
      </c>
      <c r="J181" s="6">
        <v>0.15</v>
      </c>
      <c r="K181" s="5">
        <v>276985.21999999997</v>
      </c>
      <c r="L181" s="5">
        <v>253079.73</v>
      </c>
      <c r="M181" s="5">
        <v>23905.49</v>
      </c>
      <c r="N181" s="2" t="s">
        <v>26</v>
      </c>
    </row>
    <row r="182" spans="1:14" ht="12" customHeight="1">
      <c r="A182" s="2" t="s">
        <v>258</v>
      </c>
      <c r="B182" s="3">
        <v>46011</v>
      </c>
      <c r="C182" s="2" t="s">
        <v>22</v>
      </c>
      <c r="D182" s="2" t="s">
        <v>37</v>
      </c>
      <c r="E182" s="2" t="s">
        <v>17</v>
      </c>
      <c r="F182" s="2" t="s">
        <v>24</v>
      </c>
      <c r="G182" s="2" t="s">
        <v>47</v>
      </c>
      <c r="H182" s="4">
        <v>1</v>
      </c>
      <c r="I182" s="5">
        <v>91132.09</v>
      </c>
      <c r="J182" s="6">
        <v>0.05</v>
      </c>
      <c r="K182" s="5">
        <v>86575.49</v>
      </c>
      <c r="L182" s="5">
        <v>66680.81</v>
      </c>
      <c r="M182" s="5">
        <v>19894.68</v>
      </c>
      <c r="N182" s="2" t="s">
        <v>20</v>
      </c>
    </row>
    <row r="183" spans="1:14" ht="12" customHeight="1">
      <c r="A183" s="2" t="s">
        <v>259</v>
      </c>
      <c r="B183" s="3">
        <v>45997</v>
      </c>
      <c r="C183" s="2" t="s">
        <v>15</v>
      </c>
      <c r="D183" s="2" t="s">
        <v>43</v>
      </c>
      <c r="E183" s="2" t="s">
        <v>49</v>
      </c>
      <c r="F183" s="2" t="s">
        <v>91</v>
      </c>
      <c r="G183" s="2" t="s">
        <v>70</v>
      </c>
      <c r="H183" s="4">
        <v>3</v>
      </c>
      <c r="I183" s="5">
        <v>6519.43</v>
      </c>
      <c r="J183" s="6">
        <v>0.1</v>
      </c>
      <c r="K183" s="5">
        <v>17602.46</v>
      </c>
      <c r="L183" s="5">
        <v>10721.74</v>
      </c>
      <c r="M183" s="5">
        <v>6880.72</v>
      </c>
      <c r="N183" s="2" t="s">
        <v>20</v>
      </c>
    </row>
    <row r="184" spans="1:14" ht="12" customHeight="1">
      <c r="A184" s="2" t="s">
        <v>260</v>
      </c>
      <c r="B184" s="3">
        <v>46012</v>
      </c>
      <c r="C184" s="2" t="s">
        <v>28</v>
      </c>
      <c r="D184" s="2" t="s">
        <v>52</v>
      </c>
      <c r="E184" s="2" t="s">
        <v>49</v>
      </c>
      <c r="F184" s="2" t="s">
        <v>57</v>
      </c>
      <c r="G184" s="2" t="s">
        <v>58</v>
      </c>
      <c r="H184" s="4">
        <v>6</v>
      </c>
      <c r="I184" s="5">
        <v>11823.6</v>
      </c>
      <c r="J184" s="6">
        <v>0.15</v>
      </c>
      <c r="K184" s="5">
        <v>60300.36</v>
      </c>
      <c r="L184" s="5">
        <v>39688.44</v>
      </c>
      <c r="M184" s="5">
        <v>20611.919999999998</v>
      </c>
      <c r="N184" s="2" t="s">
        <v>20</v>
      </c>
    </row>
    <row r="185" spans="1:14" ht="12" customHeight="1">
      <c r="A185" s="2" t="s">
        <v>261</v>
      </c>
      <c r="B185" s="3">
        <v>46018</v>
      </c>
      <c r="C185" s="2" t="s">
        <v>22</v>
      </c>
      <c r="D185" s="2" t="s">
        <v>23</v>
      </c>
      <c r="E185" s="2" t="s">
        <v>30</v>
      </c>
      <c r="F185" s="2" t="s">
        <v>38</v>
      </c>
      <c r="G185" s="2" t="s">
        <v>47</v>
      </c>
      <c r="H185" s="4">
        <v>4</v>
      </c>
      <c r="I185" s="5">
        <v>28907.22</v>
      </c>
      <c r="J185" s="6">
        <v>0.05</v>
      </c>
      <c r="K185" s="5">
        <v>109847.44</v>
      </c>
      <c r="L185" s="5">
        <v>73726.720000000001</v>
      </c>
      <c r="M185" s="5">
        <v>36120.720000000001</v>
      </c>
      <c r="N185" s="2" t="s">
        <v>20</v>
      </c>
    </row>
    <row r="186" spans="1:14" ht="12" customHeight="1">
      <c r="A186" s="2" t="s">
        <v>262</v>
      </c>
      <c r="B186" s="3">
        <v>45860</v>
      </c>
      <c r="C186" s="2" t="s">
        <v>28</v>
      </c>
      <c r="D186" s="2" t="s">
        <v>56</v>
      </c>
      <c r="E186" s="2" t="s">
        <v>30</v>
      </c>
      <c r="F186" s="2" t="s">
        <v>38</v>
      </c>
      <c r="G186" s="2" t="s">
        <v>32</v>
      </c>
      <c r="H186" s="4">
        <v>5</v>
      </c>
      <c r="I186" s="5">
        <v>25366.5</v>
      </c>
      <c r="J186" s="6">
        <v>0.15</v>
      </c>
      <c r="K186" s="5">
        <v>107807.62</v>
      </c>
      <c r="L186" s="5">
        <v>90722.1</v>
      </c>
      <c r="M186" s="5">
        <v>17085.52</v>
      </c>
      <c r="N186" s="2" t="s">
        <v>26</v>
      </c>
    </row>
    <row r="187" spans="1:14" ht="12" customHeight="1">
      <c r="A187" s="2" t="s">
        <v>263</v>
      </c>
      <c r="B187" s="3">
        <v>45903</v>
      </c>
      <c r="C187" s="2" t="s">
        <v>28</v>
      </c>
      <c r="D187" s="2" t="s">
        <v>52</v>
      </c>
      <c r="E187" s="2" t="s">
        <v>30</v>
      </c>
      <c r="F187" s="2" t="s">
        <v>31</v>
      </c>
      <c r="G187" s="2" t="s">
        <v>47</v>
      </c>
      <c r="H187" s="4">
        <v>6</v>
      </c>
      <c r="I187" s="5">
        <v>144158.60999999999</v>
      </c>
      <c r="J187" s="6">
        <v>0.15</v>
      </c>
      <c r="K187" s="5">
        <v>735208.91</v>
      </c>
      <c r="L187" s="5">
        <v>598698.35</v>
      </c>
      <c r="M187" s="5">
        <v>136510.56</v>
      </c>
      <c r="N187" s="2" t="s">
        <v>26</v>
      </c>
    </row>
    <row r="188" spans="1:14" ht="12" customHeight="1">
      <c r="A188" s="2" t="s">
        <v>264</v>
      </c>
      <c r="B188" s="3">
        <v>45683</v>
      </c>
      <c r="C188" s="2" t="s">
        <v>15</v>
      </c>
      <c r="D188" s="2" t="s">
        <v>63</v>
      </c>
      <c r="E188" s="2" t="s">
        <v>30</v>
      </c>
      <c r="F188" s="2" t="s">
        <v>86</v>
      </c>
      <c r="G188" s="2" t="s">
        <v>47</v>
      </c>
      <c r="H188" s="4">
        <v>2</v>
      </c>
      <c r="I188" s="5">
        <v>33610.769999999997</v>
      </c>
      <c r="J188" s="6">
        <v>0.1</v>
      </c>
      <c r="K188" s="5">
        <v>60499.39</v>
      </c>
      <c r="L188" s="5">
        <v>44403.74</v>
      </c>
      <c r="M188" s="5">
        <v>16095.65</v>
      </c>
      <c r="N188" s="2" t="s">
        <v>26</v>
      </c>
    </row>
    <row r="189" spans="1:14" ht="12" customHeight="1">
      <c r="A189" s="2" t="s">
        <v>265</v>
      </c>
      <c r="B189" s="3">
        <v>45939</v>
      </c>
      <c r="C189" s="2" t="s">
        <v>22</v>
      </c>
      <c r="D189" s="2" t="s">
        <v>23</v>
      </c>
      <c r="E189" s="2" t="s">
        <v>49</v>
      </c>
      <c r="F189" s="2" t="s">
        <v>57</v>
      </c>
      <c r="G189" s="2" t="s">
        <v>61</v>
      </c>
      <c r="H189" s="4">
        <v>8</v>
      </c>
      <c r="I189" s="5">
        <v>10765</v>
      </c>
      <c r="J189" s="6">
        <v>0</v>
      </c>
      <c r="K189" s="5">
        <v>86120</v>
      </c>
      <c r="L189" s="5">
        <v>50458.86</v>
      </c>
      <c r="M189" s="5">
        <v>35661.14</v>
      </c>
      <c r="N189" s="2" t="s">
        <v>20</v>
      </c>
    </row>
    <row r="190" spans="1:14" ht="12" customHeight="1">
      <c r="A190" s="2" t="s">
        <v>266</v>
      </c>
      <c r="B190" s="3">
        <v>45703</v>
      </c>
      <c r="C190" s="2" t="s">
        <v>15</v>
      </c>
      <c r="D190" s="2" t="s">
        <v>63</v>
      </c>
      <c r="E190" s="2" t="s">
        <v>49</v>
      </c>
      <c r="F190" s="2" t="s">
        <v>50</v>
      </c>
      <c r="G190" s="2" t="s">
        <v>47</v>
      </c>
      <c r="H190" s="4">
        <v>5</v>
      </c>
      <c r="I190" s="5">
        <v>4079.82</v>
      </c>
      <c r="J190" s="6">
        <v>0.15</v>
      </c>
      <c r="K190" s="5">
        <v>17339.240000000002</v>
      </c>
      <c r="L190" s="5">
        <v>10228.48</v>
      </c>
      <c r="M190" s="5">
        <v>7110.76</v>
      </c>
      <c r="N190" s="2" t="s">
        <v>33</v>
      </c>
    </row>
    <row r="191" spans="1:14" ht="12" customHeight="1">
      <c r="A191" s="2" t="s">
        <v>267</v>
      </c>
      <c r="B191" s="3">
        <v>45806</v>
      </c>
      <c r="C191" s="2" t="s">
        <v>22</v>
      </c>
      <c r="D191" s="2" t="s">
        <v>35</v>
      </c>
      <c r="E191" s="2" t="s">
        <v>44</v>
      </c>
      <c r="F191" s="2" t="s">
        <v>80</v>
      </c>
      <c r="G191" s="2" t="s">
        <v>64</v>
      </c>
      <c r="H191" s="4">
        <v>7</v>
      </c>
      <c r="I191" s="5">
        <v>44981.17</v>
      </c>
      <c r="J191" s="6">
        <v>0</v>
      </c>
      <c r="K191" s="5">
        <v>314868.19</v>
      </c>
      <c r="L191" s="5">
        <v>224717.09</v>
      </c>
      <c r="M191" s="5">
        <v>90151.1</v>
      </c>
      <c r="N191" s="2" t="s">
        <v>33</v>
      </c>
    </row>
    <row r="192" spans="1:14" ht="12" customHeight="1">
      <c r="A192" s="2" t="s">
        <v>268</v>
      </c>
      <c r="B192" s="3">
        <v>45910</v>
      </c>
      <c r="C192" s="2" t="s">
        <v>28</v>
      </c>
      <c r="D192" s="2" t="s">
        <v>29</v>
      </c>
      <c r="E192" s="2" t="s">
        <v>17</v>
      </c>
      <c r="F192" s="2" t="s">
        <v>18</v>
      </c>
      <c r="G192" s="2" t="s">
        <v>61</v>
      </c>
      <c r="H192" s="4">
        <v>5</v>
      </c>
      <c r="I192" s="5">
        <v>14394.09</v>
      </c>
      <c r="J192" s="6">
        <v>0.15</v>
      </c>
      <c r="K192" s="5">
        <v>61174.879999999997</v>
      </c>
      <c r="L192" s="5">
        <v>41329.269999999997</v>
      </c>
      <c r="M192" s="5">
        <v>19845.61</v>
      </c>
      <c r="N192" s="2" t="s">
        <v>20</v>
      </c>
    </row>
    <row r="193" spans="1:14" ht="12" customHeight="1">
      <c r="A193" s="2" t="s">
        <v>269</v>
      </c>
      <c r="B193" s="3">
        <v>45753</v>
      </c>
      <c r="C193" s="2" t="s">
        <v>28</v>
      </c>
      <c r="D193" s="2" t="s">
        <v>52</v>
      </c>
      <c r="E193" s="2" t="s">
        <v>17</v>
      </c>
      <c r="F193" s="2" t="s">
        <v>18</v>
      </c>
      <c r="G193" s="2" t="s">
        <v>64</v>
      </c>
      <c r="H193" s="4">
        <v>3</v>
      </c>
      <c r="I193" s="5">
        <v>15036.2</v>
      </c>
      <c r="J193" s="6">
        <v>0.15</v>
      </c>
      <c r="K193" s="5">
        <v>38342.31</v>
      </c>
      <c r="L193" s="5">
        <v>24305.01</v>
      </c>
      <c r="M193" s="5">
        <v>14037.3</v>
      </c>
      <c r="N193" s="2" t="s">
        <v>59</v>
      </c>
    </row>
    <row r="194" spans="1:14" ht="12" customHeight="1">
      <c r="A194" s="2" t="s">
        <v>270</v>
      </c>
      <c r="B194" s="3">
        <v>45863</v>
      </c>
      <c r="C194" s="2" t="s">
        <v>28</v>
      </c>
      <c r="D194" s="2" t="s">
        <v>29</v>
      </c>
      <c r="E194" s="2" t="s">
        <v>44</v>
      </c>
      <c r="F194" s="2" t="s">
        <v>45</v>
      </c>
      <c r="G194" s="2" t="s">
        <v>19</v>
      </c>
      <c r="H194" s="4">
        <v>7</v>
      </c>
      <c r="I194" s="5">
        <v>29991.07</v>
      </c>
      <c r="J194" s="6">
        <v>0.1</v>
      </c>
      <c r="K194" s="5">
        <v>188943.74</v>
      </c>
      <c r="L194" s="5">
        <v>132063</v>
      </c>
      <c r="M194" s="5">
        <v>56880.74</v>
      </c>
      <c r="N194" s="2" t="s">
        <v>26</v>
      </c>
    </row>
    <row r="195" spans="1:14" ht="12" customHeight="1">
      <c r="A195" s="2" t="s">
        <v>271</v>
      </c>
      <c r="B195" s="3">
        <v>45794</v>
      </c>
      <c r="C195" s="2" t="s">
        <v>22</v>
      </c>
      <c r="D195" s="2" t="s">
        <v>35</v>
      </c>
      <c r="E195" s="2" t="s">
        <v>30</v>
      </c>
      <c r="F195" s="2" t="s">
        <v>86</v>
      </c>
      <c r="G195" s="2" t="s">
        <v>32</v>
      </c>
      <c r="H195" s="4">
        <v>1</v>
      </c>
      <c r="I195" s="5">
        <v>31736.95</v>
      </c>
      <c r="J195" s="6">
        <v>0</v>
      </c>
      <c r="K195" s="5">
        <v>31736.95</v>
      </c>
      <c r="L195" s="5">
        <v>22528.61</v>
      </c>
      <c r="M195" s="5">
        <v>9208.34</v>
      </c>
      <c r="N195" s="2" t="s">
        <v>59</v>
      </c>
    </row>
    <row r="196" spans="1:14" ht="12" customHeight="1">
      <c r="A196" s="2" t="s">
        <v>272</v>
      </c>
      <c r="B196" s="3">
        <v>45896</v>
      </c>
      <c r="C196" s="2" t="s">
        <v>15</v>
      </c>
      <c r="D196" s="2" t="s">
        <v>43</v>
      </c>
      <c r="E196" s="2" t="s">
        <v>17</v>
      </c>
      <c r="F196" s="2" t="s">
        <v>18</v>
      </c>
      <c r="G196" s="2" t="s">
        <v>58</v>
      </c>
      <c r="H196" s="4">
        <v>6</v>
      </c>
      <c r="I196" s="5">
        <v>14947.22</v>
      </c>
      <c r="J196" s="6">
        <v>0</v>
      </c>
      <c r="K196" s="5">
        <v>89683.32</v>
      </c>
      <c r="L196" s="5">
        <v>50023.86</v>
      </c>
      <c r="M196" s="5">
        <v>39659.46</v>
      </c>
      <c r="N196" s="2" t="s">
        <v>26</v>
      </c>
    </row>
    <row r="197" spans="1:14" ht="12" customHeight="1">
      <c r="A197" s="2" t="s">
        <v>273</v>
      </c>
      <c r="B197" s="3">
        <v>45726</v>
      </c>
      <c r="C197" s="2" t="s">
        <v>28</v>
      </c>
      <c r="D197" s="2" t="s">
        <v>29</v>
      </c>
      <c r="E197" s="2" t="s">
        <v>30</v>
      </c>
      <c r="F197" s="2" t="s">
        <v>31</v>
      </c>
      <c r="G197" s="2" t="s">
        <v>70</v>
      </c>
      <c r="H197" s="4">
        <v>5</v>
      </c>
      <c r="I197" s="5">
        <v>132138.95000000001</v>
      </c>
      <c r="J197" s="6">
        <v>0</v>
      </c>
      <c r="K197" s="5">
        <v>660694.75</v>
      </c>
      <c r="L197" s="5">
        <v>497596.2</v>
      </c>
      <c r="M197" s="5">
        <v>163098.54999999999</v>
      </c>
      <c r="N197" s="2" t="s">
        <v>26</v>
      </c>
    </row>
    <row r="198" spans="1:14" ht="12" customHeight="1">
      <c r="A198" s="2" t="s">
        <v>274</v>
      </c>
      <c r="B198" s="3">
        <v>45784</v>
      </c>
      <c r="C198" s="2" t="s">
        <v>28</v>
      </c>
      <c r="D198" s="2" t="s">
        <v>29</v>
      </c>
      <c r="E198" s="2" t="s">
        <v>30</v>
      </c>
      <c r="F198" s="2" t="s">
        <v>40</v>
      </c>
      <c r="G198" s="2" t="s">
        <v>19</v>
      </c>
      <c r="H198" s="4">
        <v>8</v>
      </c>
      <c r="I198" s="5">
        <v>25508.81</v>
      </c>
      <c r="J198" s="6">
        <v>0.15</v>
      </c>
      <c r="K198" s="5">
        <v>173459.91</v>
      </c>
      <c r="L198" s="5">
        <v>129912.94</v>
      </c>
      <c r="M198" s="5">
        <v>43546.97</v>
      </c>
      <c r="N198" s="2" t="s">
        <v>20</v>
      </c>
    </row>
    <row r="199" spans="1:14" ht="12" customHeight="1">
      <c r="A199" s="2" t="s">
        <v>275</v>
      </c>
      <c r="B199" s="3">
        <v>45761</v>
      </c>
      <c r="C199" s="2" t="s">
        <v>15</v>
      </c>
      <c r="D199" s="2" t="s">
        <v>43</v>
      </c>
      <c r="E199" s="2" t="s">
        <v>30</v>
      </c>
      <c r="F199" s="2" t="s">
        <v>31</v>
      </c>
      <c r="G199" s="2" t="s">
        <v>61</v>
      </c>
      <c r="H199" s="4">
        <v>2</v>
      </c>
      <c r="I199" s="5">
        <v>125533.97</v>
      </c>
      <c r="J199" s="6">
        <v>0.1</v>
      </c>
      <c r="K199" s="5">
        <v>225961.15</v>
      </c>
      <c r="L199" s="5">
        <v>208706.84</v>
      </c>
      <c r="M199" s="5">
        <v>17254.310000000001</v>
      </c>
      <c r="N199" s="2" t="s">
        <v>26</v>
      </c>
    </row>
    <row r="200" spans="1:14" ht="12" customHeight="1">
      <c r="A200" s="2" t="s">
        <v>276</v>
      </c>
      <c r="B200" s="3">
        <v>45919</v>
      </c>
      <c r="C200" s="2" t="s">
        <v>28</v>
      </c>
      <c r="D200" s="2" t="s">
        <v>29</v>
      </c>
      <c r="E200" s="2" t="s">
        <v>49</v>
      </c>
      <c r="F200" s="2" t="s">
        <v>91</v>
      </c>
      <c r="G200" s="2" t="s">
        <v>70</v>
      </c>
      <c r="H200" s="4">
        <v>4</v>
      </c>
      <c r="I200" s="5">
        <v>6725.59</v>
      </c>
      <c r="J200" s="6">
        <v>0.05</v>
      </c>
      <c r="K200" s="5">
        <v>25557.24</v>
      </c>
      <c r="L200" s="5">
        <v>14059.67</v>
      </c>
      <c r="M200" s="5">
        <v>11497.57</v>
      </c>
      <c r="N200" s="2" t="s">
        <v>33</v>
      </c>
    </row>
    <row r="201" spans="1:14" ht="12" customHeight="1">
      <c r="A201" s="2" t="s">
        <v>277</v>
      </c>
      <c r="B201" s="3">
        <v>45669</v>
      </c>
      <c r="C201" s="2" t="s">
        <v>28</v>
      </c>
      <c r="D201" s="2" t="s">
        <v>52</v>
      </c>
      <c r="E201" s="2" t="s">
        <v>49</v>
      </c>
      <c r="F201" s="2" t="s">
        <v>107</v>
      </c>
      <c r="G201" s="2" t="s">
        <v>25</v>
      </c>
      <c r="H201" s="4">
        <v>1</v>
      </c>
      <c r="I201" s="5">
        <v>5248.92</v>
      </c>
      <c r="J201" s="6">
        <v>0.15</v>
      </c>
      <c r="K201" s="5">
        <v>4461.58</v>
      </c>
      <c r="L201" s="5">
        <v>2771.51</v>
      </c>
      <c r="M201" s="5">
        <v>1690.07</v>
      </c>
      <c r="N201" s="2" t="s">
        <v>59</v>
      </c>
    </row>
    <row r="202" spans="1:14" ht="12" customHeight="1">
      <c r="A202" s="2" t="s">
        <v>278</v>
      </c>
      <c r="B202" s="3">
        <v>45688</v>
      </c>
      <c r="C202" s="2" t="s">
        <v>22</v>
      </c>
      <c r="D202" s="2" t="s">
        <v>37</v>
      </c>
      <c r="E202" s="2" t="s">
        <v>44</v>
      </c>
      <c r="F202" s="2" t="s">
        <v>80</v>
      </c>
      <c r="G202" s="2" t="s">
        <v>19</v>
      </c>
      <c r="H202" s="4">
        <v>1</v>
      </c>
      <c r="I202" s="5">
        <v>42475.040000000001</v>
      </c>
      <c r="J202" s="6">
        <v>0.15</v>
      </c>
      <c r="K202" s="5">
        <v>36103.78</v>
      </c>
      <c r="L202" s="5">
        <v>30208.36</v>
      </c>
      <c r="M202" s="5">
        <v>5895.42</v>
      </c>
      <c r="N202" s="2" t="s">
        <v>20</v>
      </c>
    </row>
    <row r="203" spans="1:14" ht="12" customHeight="1">
      <c r="A203" s="2" t="s">
        <v>279</v>
      </c>
      <c r="B203" s="3">
        <v>45873</v>
      </c>
      <c r="C203" s="2" t="s">
        <v>22</v>
      </c>
      <c r="D203" s="2" t="s">
        <v>35</v>
      </c>
      <c r="E203" s="2" t="s">
        <v>49</v>
      </c>
      <c r="F203" s="2" t="s">
        <v>50</v>
      </c>
      <c r="G203" s="2" t="s">
        <v>32</v>
      </c>
      <c r="H203" s="4">
        <v>3</v>
      </c>
      <c r="I203" s="5">
        <v>4378.6400000000003</v>
      </c>
      <c r="J203" s="6">
        <v>0.15</v>
      </c>
      <c r="K203" s="5">
        <v>11165.53</v>
      </c>
      <c r="L203" s="5">
        <v>6395.83</v>
      </c>
      <c r="M203" s="5">
        <v>4769.7</v>
      </c>
      <c r="N203" s="2" t="s">
        <v>20</v>
      </c>
    </row>
    <row r="204" spans="1:14" ht="12" customHeight="1">
      <c r="A204" s="2" t="s">
        <v>280</v>
      </c>
      <c r="B204" s="3">
        <v>45933</v>
      </c>
      <c r="C204" s="2" t="s">
        <v>28</v>
      </c>
      <c r="D204" s="2" t="s">
        <v>56</v>
      </c>
      <c r="E204" s="2" t="s">
        <v>49</v>
      </c>
      <c r="F204" s="2" t="s">
        <v>91</v>
      </c>
      <c r="G204" s="2" t="s">
        <v>25</v>
      </c>
      <c r="H204" s="4">
        <v>3</v>
      </c>
      <c r="I204" s="5">
        <v>6659.68</v>
      </c>
      <c r="J204" s="6">
        <v>0.05</v>
      </c>
      <c r="K204" s="5">
        <v>18980.09</v>
      </c>
      <c r="L204" s="5">
        <v>10565.69</v>
      </c>
      <c r="M204" s="5">
        <v>8414.4</v>
      </c>
      <c r="N204" s="2" t="s">
        <v>26</v>
      </c>
    </row>
    <row r="205" spans="1:14" ht="12" customHeight="1">
      <c r="A205" s="2" t="s">
        <v>281</v>
      </c>
      <c r="B205" s="3">
        <v>45930</v>
      </c>
      <c r="C205" s="2" t="s">
        <v>15</v>
      </c>
      <c r="D205" s="2" t="s">
        <v>16</v>
      </c>
      <c r="E205" s="2" t="s">
        <v>17</v>
      </c>
      <c r="F205" s="2" t="s">
        <v>75</v>
      </c>
      <c r="G205" s="2" t="s">
        <v>25</v>
      </c>
      <c r="H205" s="4">
        <v>5</v>
      </c>
      <c r="I205" s="5">
        <v>183904.92</v>
      </c>
      <c r="J205" s="6">
        <v>0.15</v>
      </c>
      <c r="K205" s="5">
        <v>781595.91</v>
      </c>
      <c r="L205" s="5">
        <v>715758.93</v>
      </c>
      <c r="M205" s="5">
        <v>65836.98</v>
      </c>
      <c r="N205" s="2" t="s">
        <v>26</v>
      </c>
    </row>
    <row r="206" spans="1:14" ht="12" customHeight="1">
      <c r="A206" s="2" t="s">
        <v>282</v>
      </c>
      <c r="B206" s="3">
        <v>45674</v>
      </c>
      <c r="C206" s="2" t="s">
        <v>22</v>
      </c>
      <c r="D206" s="2" t="s">
        <v>35</v>
      </c>
      <c r="E206" s="2" t="s">
        <v>30</v>
      </c>
      <c r="F206" s="2" t="s">
        <v>86</v>
      </c>
      <c r="G206" s="2" t="s">
        <v>25</v>
      </c>
      <c r="H206" s="4">
        <v>5</v>
      </c>
      <c r="I206" s="5">
        <v>31355.18</v>
      </c>
      <c r="J206" s="6">
        <v>0.15</v>
      </c>
      <c r="K206" s="5">
        <v>133259.51</v>
      </c>
      <c r="L206" s="5">
        <v>115153.23</v>
      </c>
      <c r="M206" s="5">
        <v>18106.28</v>
      </c>
      <c r="N206" s="2" t="s">
        <v>33</v>
      </c>
    </row>
    <row r="207" spans="1:14" ht="12" customHeight="1">
      <c r="A207" s="2" t="s">
        <v>283</v>
      </c>
      <c r="B207" s="3">
        <v>45682</v>
      </c>
      <c r="C207" s="2" t="s">
        <v>22</v>
      </c>
      <c r="D207" s="2" t="s">
        <v>23</v>
      </c>
      <c r="E207" s="2" t="s">
        <v>17</v>
      </c>
      <c r="F207" s="2" t="s">
        <v>75</v>
      </c>
      <c r="G207" s="2" t="s">
        <v>47</v>
      </c>
      <c r="H207" s="4">
        <v>1</v>
      </c>
      <c r="I207" s="5">
        <v>183414.66</v>
      </c>
      <c r="J207" s="6">
        <v>0.15</v>
      </c>
      <c r="K207" s="5">
        <v>155902.46</v>
      </c>
      <c r="L207" s="5">
        <v>144730.67000000001</v>
      </c>
      <c r="M207" s="5">
        <v>11171.79</v>
      </c>
      <c r="N207" s="2" t="s">
        <v>33</v>
      </c>
    </row>
    <row r="208" spans="1:14" ht="12" customHeight="1">
      <c r="A208" s="2" t="s">
        <v>284</v>
      </c>
      <c r="B208" s="3">
        <v>45952</v>
      </c>
      <c r="C208" s="2" t="s">
        <v>28</v>
      </c>
      <c r="D208" s="2" t="s">
        <v>56</v>
      </c>
      <c r="E208" s="2" t="s">
        <v>44</v>
      </c>
      <c r="F208" s="2" t="s">
        <v>45</v>
      </c>
      <c r="G208" s="2" t="s">
        <v>32</v>
      </c>
      <c r="H208" s="4">
        <v>1</v>
      </c>
      <c r="I208" s="5">
        <v>26859.02</v>
      </c>
      <c r="J208" s="6">
        <v>0.05</v>
      </c>
      <c r="K208" s="5">
        <v>25516.07</v>
      </c>
      <c r="L208" s="5">
        <v>18741.43</v>
      </c>
      <c r="M208" s="5">
        <v>6774.64</v>
      </c>
      <c r="N208" s="2" t="s">
        <v>59</v>
      </c>
    </row>
    <row r="209" spans="1:14" ht="12" customHeight="1">
      <c r="A209" s="2" t="s">
        <v>285</v>
      </c>
      <c r="B209" s="3">
        <v>45960</v>
      </c>
      <c r="C209" s="2" t="s">
        <v>22</v>
      </c>
      <c r="D209" s="2" t="s">
        <v>35</v>
      </c>
      <c r="E209" s="2" t="s">
        <v>44</v>
      </c>
      <c r="F209" s="2" t="s">
        <v>45</v>
      </c>
      <c r="G209" s="2" t="s">
        <v>61</v>
      </c>
      <c r="H209" s="4">
        <v>7</v>
      </c>
      <c r="I209" s="5">
        <v>27590.28</v>
      </c>
      <c r="J209" s="6">
        <v>0</v>
      </c>
      <c r="K209" s="5">
        <v>193131.96</v>
      </c>
      <c r="L209" s="5">
        <v>134193.04999999999</v>
      </c>
      <c r="M209" s="5">
        <v>58938.91</v>
      </c>
      <c r="N209" s="2" t="s">
        <v>20</v>
      </c>
    </row>
    <row r="210" spans="1:14" ht="12" customHeight="1">
      <c r="A210" s="2" t="s">
        <v>286</v>
      </c>
      <c r="B210" s="3">
        <v>45867</v>
      </c>
      <c r="C210" s="2" t="s">
        <v>15</v>
      </c>
      <c r="D210" s="2" t="s">
        <v>63</v>
      </c>
      <c r="E210" s="2" t="s">
        <v>17</v>
      </c>
      <c r="F210" s="2" t="s">
        <v>18</v>
      </c>
      <c r="G210" s="2" t="s">
        <v>61</v>
      </c>
      <c r="H210" s="4">
        <v>7</v>
      </c>
      <c r="I210" s="5">
        <v>15163.07</v>
      </c>
      <c r="J210" s="6">
        <v>0.05</v>
      </c>
      <c r="K210" s="5">
        <v>100834.42</v>
      </c>
      <c r="L210" s="5">
        <v>58475.77</v>
      </c>
      <c r="M210" s="5">
        <v>42358.65</v>
      </c>
      <c r="N210" s="2" t="s">
        <v>59</v>
      </c>
    </row>
    <row r="211" spans="1:14" ht="12" customHeight="1">
      <c r="A211" s="2" t="s">
        <v>287</v>
      </c>
      <c r="B211" s="3">
        <v>45895</v>
      </c>
      <c r="C211" s="2" t="s">
        <v>28</v>
      </c>
      <c r="D211" s="2" t="s">
        <v>52</v>
      </c>
      <c r="E211" s="2" t="s">
        <v>49</v>
      </c>
      <c r="F211" s="2" t="s">
        <v>50</v>
      </c>
      <c r="G211" s="2" t="s">
        <v>64</v>
      </c>
      <c r="H211" s="4">
        <v>4</v>
      </c>
      <c r="I211" s="5">
        <v>4066.09</v>
      </c>
      <c r="J211" s="6">
        <v>0.15</v>
      </c>
      <c r="K211" s="5">
        <v>13824.71</v>
      </c>
      <c r="L211" s="5">
        <v>8232.8799999999992</v>
      </c>
      <c r="M211" s="5">
        <v>5591.83</v>
      </c>
      <c r="N211" s="2" t="s">
        <v>20</v>
      </c>
    </row>
    <row r="212" spans="1:14" ht="12" customHeight="1">
      <c r="A212" s="2" t="s">
        <v>288</v>
      </c>
      <c r="B212" s="3">
        <v>45888</v>
      </c>
      <c r="C212" s="2" t="s">
        <v>28</v>
      </c>
      <c r="D212" s="2" t="s">
        <v>29</v>
      </c>
      <c r="E212" s="2" t="s">
        <v>44</v>
      </c>
      <c r="F212" s="2" t="s">
        <v>53</v>
      </c>
      <c r="G212" s="2" t="s">
        <v>32</v>
      </c>
      <c r="H212" s="4">
        <v>4</v>
      </c>
      <c r="I212" s="5">
        <v>8166.79</v>
      </c>
      <c r="J212" s="6">
        <v>0.05</v>
      </c>
      <c r="K212" s="5">
        <v>31033.8</v>
      </c>
      <c r="L212" s="5">
        <v>19899.28</v>
      </c>
      <c r="M212" s="5">
        <v>11134.52</v>
      </c>
      <c r="N212" s="2" t="s">
        <v>33</v>
      </c>
    </row>
    <row r="213" spans="1:14" ht="12" customHeight="1">
      <c r="A213" s="2" t="s">
        <v>289</v>
      </c>
      <c r="B213" s="3">
        <v>45695</v>
      </c>
      <c r="C213" s="2" t="s">
        <v>15</v>
      </c>
      <c r="D213" s="2" t="s">
        <v>43</v>
      </c>
      <c r="E213" s="2" t="s">
        <v>44</v>
      </c>
      <c r="F213" s="2" t="s">
        <v>80</v>
      </c>
      <c r="G213" s="2" t="s">
        <v>47</v>
      </c>
      <c r="H213" s="4">
        <v>5</v>
      </c>
      <c r="I213" s="5">
        <v>42154.92</v>
      </c>
      <c r="J213" s="6">
        <v>0.1</v>
      </c>
      <c r="K213" s="5">
        <v>189697.14</v>
      </c>
      <c r="L213" s="5">
        <v>156891.70000000001</v>
      </c>
      <c r="M213" s="5">
        <v>32805.440000000002</v>
      </c>
      <c r="N213" s="2" t="s">
        <v>26</v>
      </c>
    </row>
    <row r="214" spans="1:14" ht="12" customHeight="1">
      <c r="A214" s="2" t="s">
        <v>290</v>
      </c>
      <c r="B214" s="3">
        <v>45718</v>
      </c>
      <c r="C214" s="2" t="s">
        <v>28</v>
      </c>
      <c r="D214" s="2" t="s">
        <v>52</v>
      </c>
      <c r="E214" s="2" t="s">
        <v>30</v>
      </c>
      <c r="F214" s="2" t="s">
        <v>38</v>
      </c>
      <c r="G214" s="2" t="s">
        <v>70</v>
      </c>
      <c r="H214" s="4">
        <v>1</v>
      </c>
      <c r="I214" s="5">
        <v>25755.01</v>
      </c>
      <c r="J214" s="6">
        <v>0</v>
      </c>
      <c r="K214" s="5">
        <v>25755.01</v>
      </c>
      <c r="L214" s="5">
        <v>18672.22</v>
      </c>
      <c r="M214" s="5">
        <v>7082.79</v>
      </c>
      <c r="N214" s="2" t="s">
        <v>26</v>
      </c>
    </row>
    <row r="215" spans="1:14" ht="12" customHeight="1">
      <c r="A215" s="2" t="s">
        <v>291</v>
      </c>
      <c r="B215" s="3">
        <v>45931</v>
      </c>
      <c r="C215" s="2" t="s">
        <v>15</v>
      </c>
      <c r="D215" s="2" t="s">
        <v>43</v>
      </c>
      <c r="E215" s="2" t="s">
        <v>44</v>
      </c>
      <c r="F215" s="2" t="s">
        <v>53</v>
      </c>
      <c r="G215" s="2" t="s">
        <v>32</v>
      </c>
      <c r="H215" s="4">
        <v>4</v>
      </c>
      <c r="I215" s="5">
        <v>8570.83</v>
      </c>
      <c r="J215" s="6">
        <v>-0.05</v>
      </c>
      <c r="K215" s="5">
        <v>32569.15</v>
      </c>
      <c r="L215" s="5">
        <v>19534.27</v>
      </c>
      <c r="M215" s="5">
        <v>13034.88</v>
      </c>
      <c r="N215" s="2" t="s">
        <v>59</v>
      </c>
    </row>
    <row r="216" spans="1:14" ht="12" customHeight="1">
      <c r="A216" s="2" t="s">
        <v>292</v>
      </c>
      <c r="B216" s="3">
        <v>45821</v>
      </c>
      <c r="C216" s="2" t="s">
        <v>28</v>
      </c>
      <c r="D216" s="2" t="s">
        <v>56</v>
      </c>
      <c r="E216" s="2" t="s">
        <v>49</v>
      </c>
      <c r="F216" s="2" t="s">
        <v>107</v>
      </c>
      <c r="G216" s="2" t="s">
        <v>47</v>
      </c>
      <c r="H216" s="4">
        <v>2</v>
      </c>
      <c r="I216" s="5">
        <v>5451.94</v>
      </c>
      <c r="J216" s="6">
        <v>0.15</v>
      </c>
      <c r="K216" s="5">
        <v>9268.2999999999993</v>
      </c>
      <c r="L216" s="5">
        <v>5415.47</v>
      </c>
      <c r="M216" s="5">
        <v>3852.83</v>
      </c>
      <c r="N216" s="2" t="s">
        <v>59</v>
      </c>
    </row>
    <row r="217" spans="1:14" ht="12" customHeight="1">
      <c r="A217" s="2" t="s">
        <v>293</v>
      </c>
      <c r="B217" s="3">
        <v>45954</v>
      </c>
      <c r="C217" s="2" t="s">
        <v>28</v>
      </c>
      <c r="D217" s="2" t="s">
        <v>56</v>
      </c>
      <c r="E217" s="2" t="s">
        <v>17</v>
      </c>
      <c r="F217" s="2" t="s">
        <v>24</v>
      </c>
      <c r="G217" s="2" t="s">
        <v>25</v>
      </c>
      <c r="H217" s="4">
        <v>3</v>
      </c>
      <c r="I217" s="5">
        <v>84878.76</v>
      </c>
      <c r="J217" s="6">
        <v>0.1</v>
      </c>
      <c r="K217" s="5">
        <v>229172.65</v>
      </c>
      <c r="L217" s="5">
        <v>211228.35</v>
      </c>
      <c r="M217" s="5">
        <v>17944.3</v>
      </c>
      <c r="N217" s="2" t="s">
        <v>59</v>
      </c>
    </row>
    <row r="218" spans="1:14" ht="12" customHeight="1">
      <c r="A218" s="2" t="s">
        <v>294</v>
      </c>
      <c r="B218" s="3">
        <v>45993</v>
      </c>
      <c r="C218" s="2" t="s">
        <v>22</v>
      </c>
      <c r="D218" s="2" t="s">
        <v>23</v>
      </c>
      <c r="E218" s="2" t="s">
        <v>30</v>
      </c>
      <c r="F218" s="2" t="s">
        <v>86</v>
      </c>
      <c r="G218" s="2" t="s">
        <v>32</v>
      </c>
      <c r="H218" s="4">
        <v>7</v>
      </c>
      <c r="I218" s="5">
        <v>33368.49</v>
      </c>
      <c r="J218" s="6">
        <v>0</v>
      </c>
      <c r="K218" s="5">
        <v>233579.43</v>
      </c>
      <c r="L218" s="5">
        <v>158279.79999999999</v>
      </c>
      <c r="M218" s="5">
        <v>75299.63</v>
      </c>
      <c r="N218" s="2" t="s">
        <v>59</v>
      </c>
    </row>
    <row r="219" spans="1:14" ht="12" customHeight="1">
      <c r="A219" s="2" t="s">
        <v>295</v>
      </c>
      <c r="B219" s="3">
        <v>45937</v>
      </c>
      <c r="C219" s="2" t="s">
        <v>28</v>
      </c>
      <c r="D219" s="2" t="s">
        <v>29</v>
      </c>
      <c r="E219" s="2" t="s">
        <v>49</v>
      </c>
      <c r="F219" s="2" t="s">
        <v>107</v>
      </c>
      <c r="G219" s="2" t="s">
        <v>70</v>
      </c>
      <c r="H219" s="4">
        <v>3</v>
      </c>
      <c r="I219" s="5">
        <v>5393.67</v>
      </c>
      <c r="J219" s="6">
        <v>0.05</v>
      </c>
      <c r="K219" s="5">
        <v>15371.96</v>
      </c>
      <c r="L219" s="5">
        <v>7952.97</v>
      </c>
      <c r="M219" s="5">
        <v>7418.99</v>
      </c>
      <c r="N219" s="2" t="s">
        <v>26</v>
      </c>
    </row>
    <row r="220" spans="1:14" ht="12" customHeight="1">
      <c r="A220" s="2" t="s">
        <v>296</v>
      </c>
      <c r="B220" s="3">
        <v>45661</v>
      </c>
      <c r="C220" s="2" t="s">
        <v>15</v>
      </c>
      <c r="D220" s="2" t="s">
        <v>43</v>
      </c>
      <c r="E220" s="2" t="s">
        <v>17</v>
      </c>
      <c r="F220" s="2" t="s">
        <v>75</v>
      </c>
      <c r="G220" s="2" t="s">
        <v>25</v>
      </c>
      <c r="H220" s="4">
        <v>2</v>
      </c>
      <c r="I220" s="5">
        <v>198177.57</v>
      </c>
      <c r="J220" s="6">
        <v>0.15</v>
      </c>
      <c r="K220" s="5">
        <v>336901.87</v>
      </c>
      <c r="L220" s="5">
        <v>276444.46999999997</v>
      </c>
      <c r="M220" s="5">
        <v>60457.4</v>
      </c>
      <c r="N220" s="2" t="s">
        <v>26</v>
      </c>
    </row>
    <row r="221" spans="1:14" ht="12" customHeight="1">
      <c r="A221" s="2" t="s">
        <v>297</v>
      </c>
      <c r="B221" s="3">
        <v>45974</v>
      </c>
      <c r="C221" s="2" t="s">
        <v>15</v>
      </c>
      <c r="D221" s="2" t="s">
        <v>16</v>
      </c>
      <c r="E221" s="2" t="s">
        <v>17</v>
      </c>
      <c r="F221" s="2" t="s">
        <v>24</v>
      </c>
      <c r="G221" s="2" t="s">
        <v>70</v>
      </c>
      <c r="H221" s="4">
        <v>1</v>
      </c>
      <c r="I221" s="5">
        <v>87859.55</v>
      </c>
      <c r="J221" s="6">
        <v>0.05</v>
      </c>
      <c r="K221" s="5">
        <v>83466.570000000007</v>
      </c>
      <c r="L221" s="5">
        <v>67736.44</v>
      </c>
      <c r="M221" s="5">
        <v>15730.13</v>
      </c>
      <c r="N221" s="2" t="s">
        <v>20</v>
      </c>
    </row>
    <row r="222" spans="1:14" ht="12" customHeight="1">
      <c r="A222" s="2" t="s">
        <v>298</v>
      </c>
      <c r="B222" s="3">
        <v>45804</v>
      </c>
      <c r="C222" s="2" t="s">
        <v>22</v>
      </c>
      <c r="D222" s="2" t="s">
        <v>23</v>
      </c>
      <c r="E222" s="2" t="s">
        <v>49</v>
      </c>
      <c r="F222" s="2" t="s">
        <v>91</v>
      </c>
      <c r="G222" s="2" t="s">
        <v>64</v>
      </c>
      <c r="H222" s="4">
        <v>1</v>
      </c>
      <c r="I222" s="5">
        <v>6530.59</v>
      </c>
      <c r="J222" s="6">
        <v>0.05</v>
      </c>
      <c r="K222" s="5">
        <v>6204.06</v>
      </c>
      <c r="L222" s="5">
        <v>3627.01</v>
      </c>
      <c r="M222" s="5">
        <v>2577.0500000000002</v>
      </c>
      <c r="N222" s="2" t="s">
        <v>20</v>
      </c>
    </row>
    <row r="223" spans="1:14" ht="12" customHeight="1">
      <c r="A223" s="2" t="s">
        <v>299</v>
      </c>
      <c r="B223" s="3">
        <v>45839</v>
      </c>
      <c r="C223" s="2" t="s">
        <v>22</v>
      </c>
      <c r="D223" s="2" t="s">
        <v>23</v>
      </c>
      <c r="E223" s="2" t="s">
        <v>17</v>
      </c>
      <c r="F223" s="2" t="s">
        <v>24</v>
      </c>
      <c r="G223" s="2" t="s">
        <v>58</v>
      </c>
      <c r="H223" s="4">
        <v>4</v>
      </c>
      <c r="I223" s="5">
        <v>87465.24</v>
      </c>
      <c r="J223" s="6">
        <v>0.1</v>
      </c>
      <c r="K223" s="5">
        <v>314874.86</v>
      </c>
      <c r="L223" s="5">
        <v>268646.03999999998</v>
      </c>
      <c r="M223" s="5">
        <v>46228.82</v>
      </c>
      <c r="N223" s="2" t="s">
        <v>20</v>
      </c>
    </row>
    <row r="224" spans="1:14" ht="12" customHeight="1">
      <c r="A224" s="2" t="s">
        <v>300</v>
      </c>
      <c r="B224" s="3">
        <v>45699</v>
      </c>
      <c r="C224" s="2" t="s">
        <v>301</v>
      </c>
      <c r="D224" s="2" t="s">
        <v>35</v>
      </c>
      <c r="E224" s="2" t="s">
        <v>49</v>
      </c>
      <c r="F224" s="2" t="s">
        <v>107</v>
      </c>
      <c r="G224" s="2" t="s">
        <v>64</v>
      </c>
      <c r="H224" s="4">
        <v>4</v>
      </c>
      <c r="I224" s="5">
        <v>5607.87</v>
      </c>
      <c r="J224" s="6">
        <v>0</v>
      </c>
      <c r="K224" s="5">
        <v>22431.48</v>
      </c>
      <c r="L224" s="5">
        <v>10702.78</v>
      </c>
      <c r="M224" s="5">
        <v>11728.7</v>
      </c>
      <c r="N224" s="2" t="s">
        <v>33</v>
      </c>
    </row>
    <row r="225" spans="1:14" ht="12" customHeight="1">
      <c r="A225" s="2" t="s">
        <v>302</v>
      </c>
      <c r="B225" s="3">
        <v>45913</v>
      </c>
      <c r="C225" s="2" t="s">
        <v>28</v>
      </c>
      <c r="D225" s="2" t="s">
        <v>56</v>
      </c>
      <c r="E225" s="2" t="s">
        <v>49</v>
      </c>
      <c r="F225" s="2" t="s">
        <v>107</v>
      </c>
      <c r="G225" s="2" t="s">
        <v>25</v>
      </c>
      <c r="H225" s="4">
        <v>1</v>
      </c>
      <c r="I225" s="5">
        <v>5313.77</v>
      </c>
      <c r="J225" s="6">
        <v>0.15</v>
      </c>
      <c r="K225" s="5">
        <v>4516.7</v>
      </c>
      <c r="L225" s="5">
        <v>2651.39</v>
      </c>
      <c r="M225" s="5">
        <v>1865.31</v>
      </c>
      <c r="N225" s="2" t="s">
        <v>59</v>
      </c>
    </row>
    <row r="226" spans="1:14" ht="12" customHeight="1">
      <c r="A226" s="2" t="s">
        <v>303</v>
      </c>
      <c r="B226" s="3">
        <v>45901</v>
      </c>
      <c r="C226" s="2" t="s">
        <v>15</v>
      </c>
      <c r="D226" s="2" t="s">
        <v>16</v>
      </c>
      <c r="E226" s="2" t="s">
        <v>17</v>
      </c>
      <c r="F226" s="2" t="s">
        <v>24</v>
      </c>
      <c r="G226" s="2" t="s">
        <v>58</v>
      </c>
      <c r="H226" s="4">
        <v>4</v>
      </c>
      <c r="I226" s="5">
        <v>97906.74</v>
      </c>
      <c r="J226" s="6">
        <v>0.15</v>
      </c>
      <c r="K226" s="5">
        <v>332882.92</v>
      </c>
      <c r="L226" s="5">
        <v>280739.03000000003</v>
      </c>
      <c r="M226" s="5">
        <v>52143.89</v>
      </c>
      <c r="N226" s="2" t="s">
        <v>33</v>
      </c>
    </row>
    <row r="227" spans="1:14" ht="12" customHeight="1">
      <c r="A227" s="2" t="s">
        <v>304</v>
      </c>
      <c r="B227" s="3">
        <v>45764</v>
      </c>
      <c r="C227" s="2" t="s">
        <v>22</v>
      </c>
      <c r="D227" s="2" t="s">
        <v>37</v>
      </c>
      <c r="E227" s="2" t="s">
        <v>30</v>
      </c>
      <c r="F227" s="2" t="s">
        <v>31</v>
      </c>
      <c r="G227" s="2" t="s">
        <v>61</v>
      </c>
      <c r="H227" s="4">
        <v>3</v>
      </c>
      <c r="I227" s="5">
        <v>144261.35</v>
      </c>
      <c r="J227" s="6">
        <v>0.05</v>
      </c>
      <c r="K227" s="5">
        <v>411144.85</v>
      </c>
      <c r="L227" s="5">
        <v>294242.11</v>
      </c>
      <c r="M227" s="5">
        <v>116902.74</v>
      </c>
      <c r="N227" s="2" t="s">
        <v>20</v>
      </c>
    </row>
    <row r="228" spans="1:14" ht="12" customHeight="1">
      <c r="A228" s="2" t="s">
        <v>305</v>
      </c>
      <c r="B228" s="3">
        <v>45729</v>
      </c>
      <c r="C228" s="2" t="s">
        <v>22</v>
      </c>
      <c r="D228" s="2" t="s">
        <v>35</v>
      </c>
      <c r="E228" s="2" t="s">
        <v>44</v>
      </c>
      <c r="F228" s="2" t="s">
        <v>45</v>
      </c>
      <c r="G228" s="2" t="s">
        <v>19</v>
      </c>
      <c r="H228" s="4">
        <v>7</v>
      </c>
      <c r="I228" s="5">
        <v>29307.279999999999</v>
      </c>
      <c r="J228" s="6">
        <v>0.1</v>
      </c>
      <c r="K228" s="5">
        <v>184635.86</v>
      </c>
      <c r="L228" s="5">
        <v>132098.4</v>
      </c>
      <c r="M228" s="5">
        <v>52537.46</v>
      </c>
      <c r="N228" s="2" t="s">
        <v>59</v>
      </c>
    </row>
    <row r="229" spans="1:14" ht="12" customHeight="1">
      <c r="A229" s="2" t="s">
        <v>306</v>
      </c>
      <c r="B229" s="3">
        <v>45861</v>
      </c>
      <c r="C229" s="2" t="s">
        <v>22</v>
      </c>
      <c r="D229" s="2" t="s">
        <v>23</v>
      </c>
      <c r="E229" s="2" t="s">
        <v>49</v>
      </c>
      <c r="F229" s="2" t="s">
        <v>50</v>
      </c>
      <c r="G229" s="2" t="s">
        <v>32</v>
      </c>
      <c r="H229" s="4">
        <v>2</v>
      </c>
      <c r="I229" s="5">
        <v>4092.88</v>
      </c>
      <c r="J229" s="6">
        <v>0.1</v>
      </c>
      <c r="K229" s="5">
        <v>7367.18</v>
      </c>
      <c r="L229" s="5">
        <v>4354.7299999999996</v>
      </c>
      <c r="M229" s="5">
        <v>3012.45</v>
      </c>
      <c r="N229" s="2" t="s">
        <v>33</v>
      </c>
    </row>
    <row r="230" spans="1:14" ht="12" customHeight="1">
      <c r="A230" s="2" t="s">
        <v>307</v>
      </c>
      <c r="B230" s="3">
        <v>46006</v>
      </c>
      <c r="C230" s="2" t="s">
        <v>15</v>
      </c>
      <c r="D230" s="2" t="s">
        <v>63</v>
      </c>
      <c r="E230" s="2" t="s">
        <v>49</v>
      </c>
      <c r="F230" s="2" t="s">
        <v>107</v>
      </c>
      <c r="G230" s="2" t="s">
        <v>25</v>
      </c>
      <c r="H230" s="4">
        <v>4</v>
      </c>
      <c r="I230" s="5">
        <v>5080.03</v>
      </c>
      <c r="J230" s="6">
        <v>0.05</v>
      </c>
      <c r="K230" s="5">
        <v>19304.11</v>
      </c>
      <c r="L230" s="5">
        <v>10802.48</v>
      </c>
      <c r="M230" s="5">
        <v>8501.6299999999992</v>
      </c>
      <c r="N230" s="2" t="s">
        <v>33</v>
      </c>
    </row>
    <row r="231" spans="1:14" ht="12" customHeight="1">
      <c r="A231" s="2" t="s">
        <v>308</v>
      </c>
      <c r="B231" s="3">
        <v>45982</v>
      </c>
      <c r="C231" s="2" t="s">
        <v>15</v>
      </c>
      <c r="D231" s="2" t="s">
        <v>63</v>
      </c>
      <c r="E231" s="2" t="s">
        <v>44</v>
      </c>
      <c r="F231" s="2" t="s">
        <v>80</v>
      </c>
      <c r="G231" s="2" t="s">
        <v>61</v>
      </c>
      <c r="H231" s="4">
        <v>2</v>
      </c>
      <c r="I231" s="5">
        <v>41403.65</v>
      </c>
      <c r="J231" s="6">
        <v>0.05</v>
      </c>
      <c r="K231" s="5">
        <v>78666.929999999993</v>
      </c>
      <c r="L231" s="5">
        <v>63228.68</v>
      </c>
      <c r="M231" s="5">
        <v>15438.25</v>
      </c>
      <c r="N231" s="2" t="s">
        <v>20</v>
      </c>
    </row>
    <row r="232" spans="1:14" ht="12" customHeight="1">
      <c r="A232" s="2" t="s">
        <v>309</v>
      </c>
      <c r="B232" s="3">
        <v>45796</v>
      </c>
      <c r="C232" s="2" t="s">
        <v>28</v>
      </c>
      <c r="D232" s="2" t="s">
        <v>56</v>
      </c>
      <c r="E232" s="2" t="s">
        <v>17</v>
      </c>
      <c r="F232" s="2" t="s">
        <v>75</v>
      </c>
      <c r="G232" s="2" t="s">
        <v>19</v>
      </c>
      <c r="H232" s="4">
        <v>1</v>
      </c>
      <c r="I232" s="5">
        <v>198111.62</v>
      </c>
      <c r="J232" s="6">
        <v>0.05</v>
      </c>
      <c r="K232" s="5">
        <v>188206.04</v>
      </c>
      <c r="L232" s="5">
        <v>141317.57999999999</v>
      </c>
      <c r="M232" s="5">
        <v>46888.46</v>
      </c>
      <c r="N232" s="2" t="s">
        <v>26</v>
      </c>
    </row>
    <row r="233" spans="1:14" ht="12" customHeight="1">
      <c r="A233" s="2" t="s">
        <v>310</v>
      </c>
      <c r="B233" s="3">
        <v>45705</v>
      </c>
      <c r="C233" s="2" t="s">
        <v>22</v>
      </c>
      <c r="D233" s="2" t="s">
        <v>23</v>
      </c>
      <c r="E233" s="2" t="s">
        <v>49</v>
      </c>
      <c r="F233" s="2" t="s">
        <v>107</v>
      </c>
      <c r="G233" s="2" t="s">
        <v>32</v>
      </c>
      <c r="H233" s="4">
        <v>7</v>
      </c>
      <c r="I233" s="5">
        <v>4869.9399999999996</v>
      </c>
      <c r="J233" s="6">
        <v>0</v>
      </c>
      <c r="K233" s="5">
        <v>34089.58</v>
      </c>
      <c r="L233" s="5">
        <v>18801.23</v>
      </c>
      <c r="M233" s="5">
        <v>15288.35</v>
      </c>
      <c r="N233" s="2" t="s">
        <v>20</v>
      </c>
    </row>
    <row r="234" spans="1:14" ht="12" customHeight="1">
      <c r="A234" s="2" t="s">
        <v>311</v>
      </c>
      <c r="B234" s="3">
        <v>45782</v>
      </c>
      <c r="C234" s="2" t="s">
        <v>22</v>
      </c>
      <c r="D234" s="2" t="s">
        <v>35</v>
      </c>
      <c r="E234" s="2" t="s">
        <v>49</v>
      </c>
      <c r="F234" s="2" t="s">
        <v>107</v>
      </c>
      <c r="G234" s="2" t="s">
        <v>61</v>
      </c>
      <c r="H234" s="4">
        <v>2</v>
      </c>
      <c r="I234" s="5">
        <v>5387.07</v>
      </c>
      <c r="J234" s="6">
        <v>0.1</v>
      </c>
      <c r="K234" s="5">
        <v>9696.73</v>
      </c>
      <c r="L234" s="5">
        <v>5580.17</v>
      </c>
      <c r="M234" s="5">
        <v>4116.5600000000004</v>
      </c>
      <c r="N234" s="2" t="s">
        <v>20</v>
      </c>
    </row>
    <row r="235" spans="1:14" ht="12" customHeight="1">
      <c r="A235" s="2" t="s">
        <v>312</v>
      </c>
      <c r="B235" s="3">
        <v>45799</v>
      </c>
      <c r="C235" s="2" t="s">
        <v>22</v>
      </c>
      <c r="D235" s="2" t="s">
        <v>23</v>
      </c>
      <c r="E235" s="2" t="s">
        <v>30</v>
      </c>
      <c r="F235" s="2" t="s">
        <v>38</v>
      </c>
      <c r="G235" s="2" t="s">
        <v>25</v>
      </c>
      <c r="H235" s="4">
        <v>5</v>
      </c>
      <c r="I235" s="5">
        <v>26970.3</v>
      </c>
      <c r="J235" s="6">
        <v>0</v>
      </c>
      <c r="K235" s="5">
        <v>134851.5</v>
      </c>
      <c r="L235" s="5">
        <v>88353.41</v>
      </c>
      <c r="M235" s="5">
        <v>46498.09</v>
      </c>
      <c r="N235" s="2" t="s">
        <v>59</v>
      </c>
    </row>
    <row r="236" spans="1:14" ht="12" customHeight="1">
      <c r="A236" s="2" t="s">
        <v>313</v>
      </c>
      <c r="B236" s="3">
        <v>45758</v>
      </c>
      <c r="C236" s="2" t="s">
        <v>28</v>
      </c>
      <c r="D236" s="2" t="s">
        <v>52</v>
      </c>
      <c r="E236" s="2" t="s">
        <v>30</v>
      </c>
      <c r="F236" s="2" t="s">
        <v>38</v>
      </c>
      <c r="G236" s="2" t="s">
        <v>70</v>
      </c>
      <c r="H236" s="4">
        <v>4</v>
      </c>
      <c r="I236" s="5">
        <v>27954.29</v>
      </c>
      <c r="J236" s="6">
        <v>0.05</v>
      </c>
      <c r="K236" s="5">
        <v>106226.3</v>
      </c>
      <c r="L236" s="5">
        <v>72832.78</v>
      </c>
      <c r="M236" s="5">
        <v>33393.519999999997</v>
      </c>
      <c r="N236" s="2" t="s">
        <v>33</v>
      </c>
    </row>
    <row r="237" spans="1:14" ht="12" customHeight="1">
      <c r="A237" s="2" t="s">
        <v>314</v>
      </c>
      <c r="B237" s="3">
        <v>45826</v>
      </c>
      <c r="C237" s="2" t="s">
        <v>22</v>
      </c>
      <c r="D237" s="2" t="s">
        <v>35</v>
      </c>
      <c r="E237" s="2" t="s">
        <v>17</v>
      </c>
      <c r="F237" s="2" t="s">
        <v>114</v>
      </c>
      <c r="G237" s="2" t="s">
        <v>70</v>
      </c>
      <c r="H237" s="4">
        <v>6</v>
      </c>
      <c r="I237" s="5">
        <v>54842.22</v>
      </c>
      <c r="J237" s="6">
        <v>0.05</v>
      </c>
      <c r="K237" s="5">
        <v>312600.65000000002</v>
      </c>
      <c r="L237" s="5">
        <v>224756.49</v>
      </c>
      <c r="M237" s="5">
        <v>87844.160000000003</v>
      </c>
      <c r="N237" s="2" t="s">
        <v>59</v>
      </c>
    </row>
    <row r="238" spans="1:14" ht="12" customHeight="1">
      <c r="A238" s="2" t="s">
        <v>315</v>
      </c>
      <c r="B238" s="3">
        <v>45818</v>
      </c>
      <c r="C238" s="2" t="s">
        <v>28</v>
      </c>
      <c r="D238" s="2" t="s">
        <v>29</v>
      </c>
      <c r="E238" s="2" t="s">
        <v>316</v>
      </c>
      <c r="F238" s="2" t="s">
        <v>69</v>
      </c>
      <c r="G238" s="2" t="s">
        <v>61</v>
      </c>
      <c r="H238" s="4">
        <v>6</v>
      </c>
      <c r="I238" s="5">
        <v>38627.519999999997</v>
      </c>
      <c r="J238" s="6">
        <v>0.15</v>
      </c>
      <c r="K238" s="5">
        <v>197000.35</v>
      </c>
      <c r="L238" s="5">
        <v>153513.29999999999</v>
      </c>
      <c r="M238" s="5">
        <v>43487.05</v>
      </c>
      <c r="N238" s="2" t="s">
        <v>20</v>
      </c>
    </row>
    <row r="239" spans="1:14" ht="12" customHeight="1">
      <c r="A239" s="2" t="s">
        <v>317</v>
      </c>
      <c r="B239" s="3">
        <v>45946</v>
      </c>
      <c r="C239" s="2" t="s">
        <v>28</v>
      </c>
      <c r="D239" s="2" t="s">
        <v>56</v>
      </c>
      <c r="E239" s="2" t="s">
        <v>49</v>
      </c>
      <c r="F239" s="2" t="s">
        <v>50</v>
      </c>
      <c r="G239" s="2" t="s">
        <v>47</v>
      </c>
      <c r="H239" s="4">
        <v>6</v>
      </c>
      <c r="I239" s="5">
        <v>4116.71</v>
      </c>
      <c r="J239" s="6">
        <v>0.05</v>
      </c>
      <c r="K239" s="5">
        <v>23465.25</v>
      </c>
      <c r="L239" s="5">
        <v>12543.94</v>
      </c>
      <c r="M239" s="5">
        <v>10921.31</v>
      </c>
      <c r="N239" s="2" t="s">
        <v>26</v>
      </c>
    </row>
    <row r="240" spans="1:14" ht="12" customHeight="1">
      <c r="A240" s="2" t="s">
        <v>318</v>
      </c>
      <c r="B240" s="3">
        <v>45693</v>
      </c>
      <c r="C240" s="2" t="s">
        <v>15</v>
      </c>
      <c r="D240" s="2" t="s">
        <v>43</v>
      </c>
      <c r="E240" s="2" t="s">
        <v>17</v>
      </c>
      <c r="F240" s="2" t="s">
        <v>114</v>
      </c>
      <c r="G240" s="2" t="s">
        <v>25</v>
      </c>
      <c r="H240" s="4">
        <v>4</v>
      </c>
      <c r="I240" s="5">
        <v>51487.95</v>
      </c>
      <c r="J240" s="6">
        <v>0.05</v>
      </c>
      <c r="K240" s="5">
        <v>195654.21</v>
      </c>
      <c r="L240" s="5">
        <v>150115.70000000001</v>
      </c>
      <c r="M240" s="5">
        <v>45538.51</v>
      </c>
      <c r="N240" s="2" t="s">
        <v>20</v>
      </c>
    </row>
    <row r="241" spans="1:14" ht="12" customHeight="1">
      <c r="A241" s="2" t="s">
        <v>319</v>
      </c>
      <c r="B241" s="3">
        <v>45851</v>
      </c>
      <c r="C241" s="2" t="s">
        <v>22</v>
      </c>
      <c r="D241" s="2" t="s">
        <v>37</v>
      </c>
      <c r="E241" s="2" t="s">
        <v>30</v>
      </c>
      <c r="F241" s="2" t="s">
        <v>86</v>
      </c>
      <c r="G241" s="2" t="s">
        <v>19</v>
      </c>
      <c r="H241" s="4">
        <v>5</v>
      </c>
      <c r="I241" s="5">
        <v>33837.74</v>
      </c>
      <c r="J241" s="6">
        <v>0.15</v>
      </c>
      <c r="K241" s="5">
        <v>143810.39000000001</v>
      </c>
      <c r="L241" s="5">
        <v>112457.13</v>
      </c>
      <c r="M241" s="5">
        <v>31353.26</v>
      </c>
      <c r="N241" s="2" t="s">
        <v>20</v>
      </c>
    </row>
    <row r="242" spans="1:14" ht="12" customHeight="1">
      <c r="A242" s="2" t="s">
        <v>320</v>
      </c>
      <c r="B242" s="3">
        <v>45932</v>
      </c>
      <c r="C242" s="2" t="s">
        <v>15</v>
      </c>
      <c r="D242" s="2" t="s">
        <v>63</v>
      </c>
      <c r="E242" s="2" t="s">
        <v>49</v>
      </c>
      <c r="F242" s="2" t="s">
        <v>107</v>
      </c>
      <c r="G242" s="2" t="s">
        <v>19</v>
      </c>
      <c r="H242" s="4">
        <v>1</v>
      </c>
      <c r="I242" s="5">
        <v>5441.88</v>
      </c>
      <c r="J242" s="6">
        <v>0.05</v>
      </c>
      <c r="K242" s="5">
        <v>5169.79</v>
      </c>
      <c r="L242" s="5">
        <v>2751.61</v>
      </c>
      <c r="M242" s="5">
        <v>2418.1799999999998</v>
      </c>
      <c r="N242" s="2" t="s">
        <v>33</v>
      </c>
    </row>
    <row r="243" spans="1:14" ht="12" customHeight="1">
      <c r="A243" s="2" t="s">
        <v>321</v>
      </c>
      <c r="B243" s="3">
        <v>45862</v>
      </c>
      <c r="C243" s="2" t="s">
        <v>22</v>
      </c>
      <c r="D243" s="2" t="s">
        <v>37</v>
      </c>
      <c r="E243" s="2" t="s">
        <v>30</v>
      </c>
      <c r="F243" s="2" t="s">
        <v>86</v>
      </c>
      <c r="G243" s="2" t="s">
        <v>32</v>
      </c>
      <c r="H243" s="4">
        <v>1</v>
      </c>
      <c r="I243" s="5">
        <v>33333.800000000003</v>
      </c>
      <c r="J243" s="6">
        <v>0.15</v>
      </c>
      <c r="K243" s="5">
        <v>28333.73</v>
      </c>
      <c r="L243" s="5">
        <v>22892.02</v>
      </c>
      <c r="M243" s="5">
        <v>5441.71</v>
      </c>
      <c r="N243" s="2" t="s">
        <v>20</v>
      </c>
    </row>
    <row r="244" spans="1:14" ht="12" customHeight="1">
      <c r="A244" s="2" t="s">
        <v>322</v>
      </c>
      <c r="B244" s="3">
        <v>46010</v>
      </c>
      <c r="C244" s="2" t="s">
        <v>22</v>
      </c>
      <c r="D244" s="2" t="s">
        <v>23</v>
      </c>
      <c r="E244" s="2" t="s">
        <v>17</v>
      </c>
      <c r="F244" s="2" t="s">
        <v>18</v>
      </c>
      <c r="G244" s="2" t="s">
        <v>47</v>
      </c>
      <c r="H244" s="4">
        <v>4</v>
      </c>
      <c r="I244" s="5">
        <v>14524.77</v>
      </c>
      <c r="J244" s="6">
        <v>0.1</v>
      </c>
      <c r="K244" s="5">
        <v>52289.17</v>
      </c>
      <c r="L244" s="5">
        <v>33097.15</v>
      </c>
      <c r="M244" s="5">
        <v>19192.02</v>
      </c>
      <c r="N244" s="2" t="s">
        <v>20</v>
      </c>
    </row>
    <row r="245" spans="1:14" ht="12" customHeight="1">
      <c r="A245" s="2" t="s">
        <v>323</v>
      </c>
      <c r="B245" s="3">
        <v>45870</v>
      </c>
      <c r="C245" s="2" t="s">
        <v>28</v>
      </c>
      <c r="D245" s="2" t="s">
        <v>56</v>
      </c>
      <c r="E245" s="2" t="s">
        <v>49</v>
      </c>
      <c r="F245" s="2" t="s">
        <v>50</v>
      </c>
      <c r="G245" s="2" t="s">
        <v>19</v>
      </c>
      <c r="H245" s="4">
        <v>6</v>
      </c>
      <c r="I245" s="5">
        <v>4534.46</v>
      </c>
      <c r="J245" s="6">
        <v>0.05</v>
      </c>
      <c r="K245" s="5">
        <v>25846.42</v>
      </c>
      <c r="L245" s="5">
        <v>12314.21</v>
      </c>
      <c r="M245" s="5">
        <v>13532.21</v>
      </c>
      <c r="N245" s="2" t="s">
        <v>33</v>
      </c>
    </row>
    <row r="246" spans="1:14" ht="12" customHeight="1">
      <c r="A246" s="2" t="s">
        <v>324</v>
      </c>
      <c r="B246" s="3">
        <v>45836</v>
      </c>
      <c r="C246" s="2" t="s">
        <v>15</v>
      </c>
      <c r="D246" s="2" t="s">
        <v>16</v>
      </c>
      <c r="E246" s="2" t="s">
        <v>30</v>
      </c>
      <c r="F246" s="2" t="s">
        <v>38</v>
      </c>
      <c r="G246" s="2" t="s">
        <v>70</v>
      </c>
      <c r="H246" s="4">
        <v>6</v>
      </c>
      <c r="I246" s="5">
        <v>26807.040000000001</v>
      </c>
      <c r="J246" s="6">
        <v>0</v>
      </c>
      <c r="K246" s="5">
        <v>160842.23999999999</v>
      </c>
      <c r="L246" s="5">
        <v>108699.63</v>
      </c>
      <c r="M246" s="5">
        <v>52142.61</v>
      </c>
      <c r="N246" s="2" t="s">
        <v>33</v>
      </c>
    </row>
    <row r="247" spans="1:14" ht="12" customHeight="1">
      <c r="A247" s="2" t="s">
        <v>325</v>
      </c>
      <c r="B247" s="3">
        <v>45833</v>
      </c>
      <c r="C247" s="2" t="s">
        <v>28</v>
      </c>
      <c r="D247" s="2" t="s">
        <v>29</v>
      </c>
      <c r="E247" s="2" t="s">
        <v>49</v>
      </c>
      <c r="F247" s="2" t="s">
        <v>57</v>
      </c>
      <c r="G247" s="2" t="s">
        <v>19</v>
      </c>
      <c r="H247" s="4">
        <v>2</v>
      </c>
      <c r="I247" s="5">
        <v>11132.49</v>
      </c>
      <c r="J247" s="6">
        <v>0.15</v>
      </c>
      <c r="K247" s="5">
        <v>18925.23</v>
      </c>
      <c r="L247" s="5">
        <v>12714.73</v>
      </c>
      <c r="M247" s="5">
        <v>6210.5</v>
      </c>
      <c r="N247" s="2" t="s">
        <v>26</v>
      </c>
    </row>
    <row r="248" spans="1:14" ht="12" customHeight="1">
      <c r="A248" s="2" t="s">
        <v>326</v>
      </c>
      <c r="B248" s="3">
        <v>45865</v>
      </c>
      <c r="C248" s="2" t="s">
        <v>15</v>
      </c>
      <c r="D248" s="2" t="s">
        <v>16</v>
      </c>
      <c r="E248" s="2" t="s">
        <v>44</v>
      </c>
      <c r="F248" s="2" t="s">
        <v>45</v>
      </c>
      <c r="G248" s="2" t="s">
        <v>61</v>
      </c>
      <c r="H248" s="4">
        <v>6</v>
      </c>
      <c r="I248" s="5">
        <v>28772.91</v>
      </c>
      <c r="J248" s="6">
        <v>0.05</v>
      </c>
      <c r="K248" s="5">
        <v>164005.59</v>
      </c>
      <c r="L248" s="5">
        <v>112430.21</v>
      </c>
      <c r="M248" s="5">
        <v>51575.38</v>
      </c>
      <c r="N248" s="2" t="s">
        <v>26</v>
      </c>
    </row>
    <row r="249" spans="1:14" ht="12" customHeight="1">
      <c r="A249" s="2" t="s">
        <v>327</v>
      </c>
      <c r="B249" s="3">
        <v>45877</v>
      </c>
      <c r="C249" s="2" t="s">
        <v>15</v>
      </c>
      <c r="D249" s="2" t="s">
        <v>43</v>
      </c>
      <c r="E249" s="2" t="s">
        <v>49</v>
      </c>
      <c r="F249" s="2" t="s">
        <v>107</v>
      </c>
      <c r="G249" s="2" t="s">
        <v>25</v>
      </c>
      <c r="H249" s="4">
        <v>1</v>
      </c>
      <c r="I249" s="5">
        <v>5397.51</v>
      </c>
      <c r="J249" s="6">
        <v>0</v>
      </c>
      <c r="K249" s="5">
        <v>5397.51</v>
      </c>
      <c r="L249" s="5">
        <v>2703.97</v>
      </c>
      <c r="M249" s="5">
        <v>2693.54</v>
      </c>
      <c r="N249" s="2" t="s">
        <v>33</v>
      </c>
    </row>
    <row r="250" spans="1:14" ht="12" customHeight="1">
      <c r="A250" s="2" t="s">
        <v>328</v>
      </c>
      <c r="B250" s="3">
        <v>45824</v>
      </c>
      <c r="C250" s="2" t="s">
        <v>15</v>
      </c>
      <c r="D250" s="2" t="s">
        <v>16</v>
      </c>
      <c r="E250" s="2" t="s">
        <v>44</v>
      </c>
      <c r="F250" s="2" t="s">
        <v>69</v>
      </c>
      <c r="G250" s="2" t="s">
        <v>47</v>
      </c>
      <c r="H250" s="4">
        <v>2</v>
      </c>
      <c r="I250" s="5">
        <v>38470.28</v>
      </c>
      <c r="J250" s="6">
        <v>0.1</v>
      </c>
      <c r="K250" s="5">
        <v>69246.5</v>
      </c>
      <c r="L250" s="5">
        <v>51120.53</v>
      </c>
      <c r="M250" s="5">
        <v>18125.97</v>
      </c>
      <c r="N250" s="2" t="s">
        <v>20</v>
      </c>
    </row>
    <row r="251" spans="1:14" ht="12" customHeight="1">
      <c r="A251" s="2" t="s">
        <v>329</v>
      </c>
      <c r="B251" s="3">
        <v>45838</v>
      </c>
      <c r="C251" s="2" t="s">
        <v>22</v>
      </c>
      <c r="D251" s="2" t="s">
        <v>35</v>
      </c>
      <c r="E251" s="2" t="s">
        <v>49</v>
      </c>
      <c r="F251" s="2" t="s">
        <v>57</v>
      </c>
      <c r="G251" s="2" t="s">
        <v>70</v>
      </c>
      <c r="H251" s="4">
        <v>7</v>
      </c>
      <c r="I251" s="5">
        <v>11704.81</v>
      </c>
      <c r="J251" s="6">
        <v>0.1</v>
      </c>
      <c r="K251" s="5">
        <v>73740.3</v>
      </c>
      <c r="L251" s="5">
        <v>44498.83</v>
      </c>
      <c r="M251" s="5">
        <v>29241.47</v>
      </c>
      <c r="N251" s="2" t="s">
        <v>26</v>
      </c>
    </row>
    <row r="252" spans="1:14" ht="12" customHeight="1">
      <c r="A252" s="2" t="s">
        <v>330</v>
      </c>
      <c r="B252" s="3" t="s">
        <v>331</v>
      </c>
      <c r="C252" s="2" t="s">
        <v>15</v>
      </c>
      <c r="D252" s="2" t="s">
        <v>43</v>
      </c>
      <c r="E252" s="2" t="s">
        <v>30</v>
      </c>
      <c r="F252" s="2" t="s">
        <v>31</v>
      </c>
      <c r="G252" s="2" t="s">
        <v>32</v>
      </c>
      <c r="H252" s="4">
        <v>3</v>
      </c>
      <c r="I252" s="5">
        <v>130964.81</v>
      </c>
      <c r="J252" s="6">
        <v>0</v>
      </c>
      <c r="K252" s="5">
        <v>392894.43</v>
      </c>
      <c r="L252" s="5">
        <v>300387.11</v>
      </c>
      <c r="M252" s="5">
        <v>92507.32</v>
      </c>
      <c r="N252" s="2" t="s">
        <v>26</v>
      </c>
    </row>
    <row r="253" spans="1:14" ht="12" customHeight="1">
      <c r="A253" s="2" t="s">
        <v>332</v>
      </c>
      <c r="B253" s="3">
        <v>46013</v>
      </c>
      <c r="C253" s="2" t="s">
        <v>15</v>
      </c>
      <c r="D253" s="2" t="s">
        <v>63</v>
      </c>
      <c r="E253" s="2" t="s">
        <v>49</v>
      </c>
      <c r="F253" s="2" t="s">
        <v>50</v>
      </c>
      <c r="G253" s="2" t="s">
        <v>61</v>
      </c>
      <c r="H253" s="4">
        <v>7</v>
      </c>
      <c r="I253" s="5">
        <v>4148.28</v>
      </c>
      <c r="J253" s="6">
        <v>0.05</v>
      </c>
      <c r="K253" s="5">
        <v>27586.06</v>
      </c>
      <c r="L253" s="5">
        <v>14912.93</v>
      </c>
      <c r="M253" s="5">
        <v>12673.13</v>
      </c>
      <c r="N253" s="2" t="s">
        <v>26</v>
      </c>
    </row>
    <row r="254" spans="1:14" ht="12" customHeight="1">
      <c r="A254" s="2" t="s">
        <v>333</v>
      </c>
      <c r="B254" s="3">
        <v>45841</v>
      </c>
      <c r="C254" s="2" t="s">
        <v>28</v>
      </c>
      <c r="D254" s="2" t="s">
        <v>56</v>
      </c>
      <c r="E254" s="2" t="s">
        <v>44</v>
      </c>
      <c r="F254" s="2" t="s">
        <v>45</v>
      </c>
      <c r="G254" s="2" t="s">
        <v>64</v>
      </c>
      <c r="H254" s="4">
        <v>6</v>
      </c>
      <c r="I254" s="5">
        <v>30059.45</v>
      </c>
      <c r="J254" s="6">
        <v>0.1</v>
      </c>
      <c r="K254" s="5">
        <v>162321.03</v>
      </c>
      <c r="L254" s="5">
        <v>111007.82</v>
      </c>
      <c r="M254" s="5">
        <v>51313.21</v>
      </c>
      <c r="N254" s="2" t="s">
        <v>20</v>
      </c>
    </row>
    <row r="255" spans="1:14" ht="12" customHeight="1">
      <c r="A255" s="2" t="s">
        <v>334</v>
      </c>
      <c r="B255" s="3">
        <v>45885</v>
      </c>
      <c r="C255" s="2" t="s">
        <v>22</v>
      </c>
      <c r="D255" s="2" t="s">
        <v>23</v>
      </c>
      <c r="E255" s="2" t="s">
        <v>49</v>
      </c>
      <c r="F255" s="2" t="s">
        <v>107</v>
      </c>
      <c r="G255" s="2" t="s">
        <v>70</v>
      </c>
      <c r="H255" s="4">
        <v>7</v>
      </c>
      <c r="I255" s="5">
        <v>5353.67</v>
      </c>
      <c r="J255" s="6">
        <v>0.05</v>
      </c>
      <c r="K255" s="5">
        <v>35601.910000000003</v>
      </c>
      <c r="L255" s="5">
        <v>19272.52</v>
      </c>
      <c r="M255" s="5">
        <v>16329.39</v>
      </c>
      <c r="N255" s="2" t="s">
        <v>26</v>
      </c>
    </row>
    <row r="256" spans="1:14" ht="12" customHeight="1">
      <c r="A256" s="2" t="s">
        <v>335</v>
      </c>
      <c r="B256" s="3" t="s">
        <v>336</v>
      </c>
      <c r="C256" s="2" t="s">
        <v>22</v>
      </c>
      <c r="D256" s="2" t="s">
        <v>37</v>
      </c>
      <c r="E256" s="2" t="s">
        <v>17</v>
      </c>
      <c r="F256" s="2" t="s">
        <v>24</v>
      </c>
      <c r="G256" s="2" t="s">
        <v>70</v>
      </c>
      <c r="H256" s="4">
        <v>5</v>
      </c>
      <c r="I256" s="5">
        <v>85121.27</v>
      </c>
      <c r="J256" s="6">
        <v>0</v>
      </c>
      <c r="K256" s="5">
        <v>425606.35</v>
      </c>
      <c r="L256" s="5">
        <v>342595.09</v>
      </c>
      <c r="M256" s="5">
        <v>83011.259999999995</v>
      </c>
      <c r="N256" s="2" t="s">
        <v>20</v>
      </c>
    </row>
    <row r="257" spans="1:14" ht="12" customHeight="1">
      <c r="A257" s="2" t="s">
        <v>337</v>
      </c>
      <c r="B257" s="3">
        <v>45679</v>
      </c>
      <c r="C257" s="2" t="s">
        <v>15</v>
      </c>
      <c r="D257" s="2" t="s">
        <v>43</v>
      </c>
      <c r="E257" s="2" t="s">
        <v>17</v>
      </c>
      <c r="F257" s="2" t="s">
        <v>75</v>
      </c>
      <c r="G257" s="2" t="s">
        <v>70</v>
      </c>
      <c r="H257" s="4">
        <v>5</v>
      </c>
      <c r="I257" s="5">
        <v>193143.35</v>
      </c>
      <c r="J257" s="6">
        <v>0.05</v>
      </c>
      <c r="K257" s="5">
        <v>917430.91</v>
      </c>
      <c r="L257" s="5">
        <v>715639.56</v>
      </c>
      <c r="M257" s="5">
        <v>201791.35</v>
      </c>
      <c r="N257" s="2" t="s">
        <v>26</v>
      </c>
    </row>
    <row r="258" spans="1:14" ht="12" customHeight="1">
      <c r="A258" s="2" t="s">
        <v>338</v>
      </c>
      <c r="B258" s="3">
        <v>45702</v>
      </c>
      <c r="C258" s="2" t="s">
        <v>28</v>
      </c>
      <c r="D258" s="2" t="s">
        <v>52</v>
      </c>
      <c r="E258" s="2" t="s">
        <v>44</v>
      </c>
      <c r="F258" s="2" t="s">
        <v>69</v>
      </c>
      <c r="G258" s="2" t="s">
        <v>70</v>
      </c>
      <c r="H258" s="4">
        <v>1</v>
      </c>
      <c r="I258" s="5">
        <v>37694.370000000003</v>
      </c>
      <c r="J258" s="6">
        <v>0.05</v>
      </c>
      <c r="K258" s="5">
        <v>35809.65</v>
      </c>
      <c r="L258" s="5">
        <v>26789.200000000001</v>
      </c>
      <c r="M258" s="5">
        <v>9020.4500000000007</v>
      </c>
      <c r="N258" s="2" t="s">
        <v>33</v>
      </c>
    </row>
    <row r="259" spans="1:14" ht="12" customHeight="1">
      <c r="A259" s="2" t="s">
        <v>339</v>
      </c>
      <c r="B259" s="3" t="s">
        <v>340</v>
      </c>
      <c r="C259" s="2" t="s">
        <v>22</v>
      </c>
      <c r="D259" s="2" t="s">
        <v>23</v>
      </c>
      <c r="E259" s="2" t="s">
        <v>30</v>
      </c>
      <c r="F259" s="2" t="s">
        <v>40</v>
      </c>
      <c r="G259" s="2" t="s">
        <v>32</v>
      </c>
      <c r="H259" s="4">
        <v>3</v>
      </c>
      <c r="I259" s="5">
        <v>24955.31</v>
      </c>
      <c r="J259" s="6">
        <v>0</v>
      </c>
      <c r="K259" s="5">
        <v>74865.929999999993</v>
      </c>
      <c r="L259" s="5">
        <v>48677.29</v>
      </c>
      <c r="M259" s="5">
        <v>26188.639999999999</v>
      </c>
      <c r="N259" s="2" t="s">
        <v>59</v>
      </c>
    </row>
    <row r="260" spans="1:14" ht="12" customHeight="1">
      <c r="A260" s="2" t="s">
        <v>341</v>
      </c>
      <c r="B260" s="3">
        <v>45921</v>
      </c>
      <c r="C260" s="2" t="s">
        <v>15</v>
      </c>
      <c r="D260" s="2" t="s">
        <v>43</v>
      </c>
      <c r="E260" s="2" t="s">
        <v>342</v>
      </c>
      <c r="F260" s="2" t="s">
        <v>69</v>
      </c>
      <c r="G260" s="2" t="s">
        <v>19</v>
      </c>
      <c r="H260" s="4">
        <v>5</v>
      </c>
      <c r="I260" s="5">
        <v>36719.15</v>
      </c>
      <c r="J260" s="6">
        <v>0.05</v>
      </c>
      <c r="K260" s="5">
        <v>174415.96</v>
      </c>
      <c r="L260" s="5">
        <v>134766.82</v>
      </c>
      <c r="M260" s="5">
        <v>39649.14</v>
      </c>
      <c r="N260" s="2" t="s">
        <v>26</v>
      </c>
    </row>
    <row r="261" spans="1:14" ht="12" customHeight="1">
      <c r="A261" s="2" t="s">
        <v>343</v>
      </c>
      <c r="B261" s="3">
        <v>45784</v>
      </c>
      <c r="C261" s="2" t="s">
        <v>28</v>
      </c>
      <c r="D261" s="2" t="s">
        <v>52</v>
      </c>
      <c r="E261" s="2" t="s">
        <v>30</v>
      </c>
      <c r="F261" s="2" t="s">
        <v>86</v>
      </c>
      <c r="G261" s="2" t="s">
        <v>25</v>
      </c>
      <c r="H261" s="4">
        <v>3</v>
      </c>
      <c r="I261" s="5">
        <v>31678.3</v>
      </c>
      <c r="J261" s="6">
        <v>0.15</v>
      </c>
      <c r="K261" s="5">
        <v>80779.66</v>
      </c>
      <c r="L261" s="5">
        <v>66996.91</v>
      </c>
      <c r="M261" s="5">
        <v>13782.75</v>
      </c>
      <c r="N261" s="2" t="s">
        <v>20</v>
      </c>
    </row>
    <row r="262" spans="1:14" ht="12" customHeight="1">
      <c r="A262" s="2" t="s">
        <v>344</v>
      </c>
      <c r="B262" s="3">
        <v>45705</v>
      </c>
      <c r="C262" s="2" t="s">
        <v>22</v>
      </c>
      <c r="D262" s="2" t="s">
        <v>37</v>
      </c>
      <c r="E262" s="2" t="s">
        <v>30</v>
      </c>
      <c r="F262" s="2" t="s">
        <v>40</v>
      </c>
      <c r="G262" s="2" t="s">
        <v>25</v>
      </c>
      <c r="H262" s="4">
        <v>7</v>
      </c>
      <c r="I262" s="5">
        <v>24311.81</v>
      </c>
      <c r="J262" s="6">
        <v>0.15</v>
      </c>
      <c r="K262" s="5">
        <v>144655.26999999999</v>
      </c>
      <c r="L262" s="5">
        <v>113433.78</v>
      </c>
      <c r="M262" s="5">
        <v>31221.49</v>
      </c>
      <c r="N262" s="2" t="s">
        <v>59</v>
      </c>
    </row>
    <row r="263" spans="1:14" ht="12" customHeight="1">
      <c r="A263" s="2" t="s">
        <v>345</v>
      </c>
      <c r="B263" s="3">
        <v>45892</v>
      </c>
      <c r="C263" s="2" t="s">
        <v>15</v>
      </c>
      <c r="D263" s="2" t="s">
        <v>63</v>
      </c>
      <c r="E263" s="2" t="s">
        <v>49</v>
      </c>
      <c r="F263" s="2" t="s">
        <v>107</v>
      </c>
      <c r="G263" s="2" t="s">
        <v>32</v>
      </c>
      <c r="H263" s="4">
        <v>6</v>
      </c>
      <c r="I263" s="5">
        <v>5268.19</v>
      </c>
      <c r="J263" s="6">
        <v>0.15</v>
      </c>
      <c r="K263" s="5">
        <v>26867.77</v>
      </c>
      <c r="L263" s="5">
        <v>15819.62</v>
      </c>
      <c r="M263" s="5">
        <v>11048.15</v>
      </c>
      <c r="N263" s="2" t="s">
        <v>33</v>
      </c>
    </row>
    <row r="264" spans="1:14" ht="12" customHeight="1">
      <c r="A264" s="2" t="s">
        <v>346</v>
      </c>
      <c r="B264" s="3">
        <v>45830</v>
      </c>
      <c r="C264" s="2" t="s">
        <v>15</v>
      </c>
      <c r="D264" s="2" t="s">
        <v>63</v>
      </c>
      <c r="E264" s="2" t="s">
        <v>44</v>
      </c>
      <c r="F264" s="2" t="s">
        <v>53</v>
      </c>
      <c r="G264" s="2" t="s">
        <v>61</v>
      </c>
      <c r="H264" s="4">
        <v>4</v>
      </c>
      <c r="I264" s="5">
        <v>8492.81</v>
      </c>
      <c r="J264" s="6">
        <v>0.05</v>
      </c>
      <c r="K264" s="5">
        <v>32272.68</v>
      </c>
      <c r="L264" s="5">
        <v>20148.490000000002</v>
      </c>
      <c r="M264" s="5">
        <v>12124.19</v>
      </c>
      <c r="N264" s="2" t="s">
        <v>20</v>
      </c>
    </row>
    <row r="265" spans="1:14" ht="12" customHeight="1">
      <c r="A265" s="2" t="s">
        <v>347</v>
      </c>
      <c r="B265" s="3">
        <v>45738</v>
      </c>
      <c r="C265" s="2" t="s">
        <v>28</v>
      </c>
      <c r="D265" s="2" t="s">
        <v>29</v>
      </c>
      <c r="E265" s="2" t="s">
        <v>17</v>
      </c>
      <c r="F265" s="2" t="s">
        <v>75</v>
      </c>
      <c r="G265" s="2" t="s">
        <v>70</v>
      </c>
      <c r="H265" s="4">
        <v>2</v>
      </c>
      <c r="I265" s="5">
        <v>188734.91</v>
      </c>
      <c r="J265" s="6">
        <v>0.05</v>
      </c>
      <c r="K265" s="5">
        <v>358596.33</v>
      </c>
      <c r="L265" s="5">
        <v>275803.67</v>
      </c>
      <c r="M265" s="5">
        <v>82792.66</v>
      </c>
      <c r="N265" s="2" t="s">
        <v>20</v>
      </c>
    </row>
    <row r="266" spans="1:14" ht="12" customHeight="1">
      <c r="A266" s="2" t="s">
        <v>348</v>
      </c>
      <c r="B266" s="3">
        <v>45842</v>
      </c>
      <c r="C266" s="2" t="s">
        <v>22</v>
      </c>
      <c r="D266" s="2" t="s">
        <v>35</v>
      </c>
      <c r="E266" s="2" t="s">
        <v>44</v>
      </c>
      <c r="F266" s="2" t="s">
        <v>45</v>
      </c>
      <c r="G266" s="2" t="s">
        <v>58</v>
      </c>
      <c r="H266" s="4">
        <v>5</v>
      </c>
      <c r="I266" s="5">
        <v>26944.94</v>
      </c>
      <c r="J266" s="6">
        <v>0.05</v>
      </c>
      <c r="K266" s="5">
        <v>127988.46</v>
      </c>
      <c r="L266" s="5">
        <v>92770.71</v>
      </c>
      <c r="M266" s="5">
        <v>35217.75</v>
      </c>
      <c r="N266" s="2" t="s">
        <v>33</v>
      </c>
    </row>
    <row r="267" spans="1:14" ht="12" customHeight="1">
      <c r="A267" s="2" t="s">
        <v>349</v>
      </c>
      <c r="B267" s="3">
        <v>45777</v>
      </c>
      <c r="C267" s="2" t="s">
        <v>28</v>
      </c>
      <c r="D267" s="2" t="s">
        <v>29</v>
      </c>
      <c r="E267" s="2" t="s">
        <v>44</v>
      </c>
      <c r="F267" s="2" t="s">
        <v>80</v>
      </c>
      <c r="G267" s="2" t="s">
        <v>25</v>
      </c>
      <c r="H267" s="4">
        <v>7</v>
      </c>
      <c r="I267" s="5">
        <v>43864.160000000003</v>
      </c>
      <c r="J267" s="6">
        <v>0.15</v>
      </c>
      <c r="K267" s="5">
        <v>260991.75</v>
      </c>
      <c r="L267" s="5">
        <v>221114.51</v>
      </c>
      <c r="M267" s="5">
        <v>39877.24</v>
      </c>
      <c r="N267" s="2" t="s">
        <v>33</v>
      </c>
    </row>
    <row r="268" spans="1:14" ht="12" customHeight="1">
      <c r="A268" s="2" t="s">
        <v>350</v>
      </c>
      <c r="B268" s="3">
        <v>46006</v>
      </c>
      <c r="C268" s="2" t="s">
        <v>15</v>
      </c>
      <c r="D268" s="2" t="s">
        <v>16</v>
      </c>
      <c r="E268" s="2" t="s">
        <v>17</v>
      </c>
      <c r="F268" s="2" t="s">
        <v>24</v>
      </c>
      <c r="G268" s="2" t="s">
        <v>70</v>
      </c>
      <c r="H268" s="4">
        <v>8</v>
      </c>
      <c r="I268" s="5">
        <v>85787.26</v>
      </c>
      <c r="J268" s="6">
        <v>0.1</v>
      </c>
      <c r="K268" s="5">
        <v>617668.27</v>
      </c>
      <c r="L268" s="5">
        <v>536293.35</v>
      </c>
      <c r="M268" s="5">
        <v>81374.92</v>
      </c>
      <c r="N268" s="2" t="s">
        <v>33</v>
      </c>
    </row>
    <row r="269" spans="1:14" ht="12" customHeight="1">
      <c r="A269" s="2" t="s">
        <v>351</v>
      </c>
      <c r="B269" s="3">
        <v>45854</v>
      </c>
      <c r="C269" s="2" t="s">
        <v>22</v>
      </c>
      <c r="D269" s="2" t="s">
        <v>37</v>
      </c>
      <c r="E269" s="2" t="s">
        <v>30</v>
      </c>
      <c r="F269" s="2" t="s">
        <v>31</v>
      </c>
      <c r="G269" s="2" t="s">
        <v>19</v>
      </c>
      <c r="H269" s="4">
        <v>7</v>
      </c>
      <c r="I269" s="5">
        <v>139191.07</v>
      </c>
      <c r="J269" s="6">
        <v>-0.05</v>
      </c>
      <c r="K269" s="5">
        <v>925620.62</v>
      </c>
      <c r="L269" s="5">
        <v>689295.29</v>
      </c>
      <c r="M269" s="5">
        <v>236325.33</v>
      </c>
      <c r="N269" s="2" t="s">
        <v>33</v>
      </c>
    </row>
    <row r="270" spans="1:14" ht="12" customHeight="1">
      <c r="A270" s="2" t="s">
        <v>352</v>
      </c>
      <c r="B270" s="3">
        <v>46004</v>
      </c>
      <c r="C270" s="2" t="s">
        <v>22</v>
      </c>
      <c r="D270" s="2" t="s">
        <v>35</v>
      </c>
      <c r="E270" s="2" t="s">
        <v>30</v>
      </c>
      <c r="F270" s="2" t="s">
        <v>38</v>
      </c>
      <c r="G270" s="2" t="s">
        <v>61</v>
      </c>
      <c r="H270" s="4">
        <v>3</v>
      </c>
      <c r="I270" s="5">
        <v>26493.35</v>
      </c>
      <c r="J270" s="6">
        <v>0</v>
      </c>
      <c r="K270" s="5">
        <v>79480.05</v>
      </c>
      <c r="L270" s="5">
        <v>54805.16</v>
      </c>
      <c r="M270" s="5">
        <v>24674.89</v>
      </c>
      <c r="N270" s="2" t="s">
        <v>33</v>
      </c>
    </row>
    <row r="271" spans="1:14" ht="12" customHeight="1">
      <c r="A271" s="2" t="s">
        <v>353</v>
      </c>
      <c r="B271" s="3">
        <v>45735</v>
      </c>
      <c r="C271" s="2" t="s">
        <v>15</v>
      </c>
      <c r="D271" s="2" t="s">
        <v>43</v>
      </c>
      <c r="E271" s="2" t="s">
        <v>17</v>
      </c>
      <c r="F271" s="2" t="s">
        <v>24</v>
      </c>
      <c r="G271" s="2" t="s">
        <v>25</v>
      </c>
      <c r="H271" s="4">
        <v>8</v>
      </c>
      <c r="I271" s="5">
        <v>89809.48</v>
      </c>
      <c r="J271" s="6">
        <v>0</v>
      </c>
      <c r="K271" s="5">
        <v>718475.84</v>
      </c>
      <c r="L271" s="5">
        <v>551597.29</v>
      </c>
      <c r="M271" s="5">
        <v>166878.54999999999</v>
      </c>
      <c r="N271" s="2" t="s">
        <v>20</v>
      </c>
    </row>
    <row r="272" spans="1:14" ht="12" customHeight="1">
      <c r="A272" s="2" t="s">
        <v>354</v>
      </c>
      <c r="B272" s="3">
        <v>45877</v>
      </c>
      <c r="C272" s="2" t="s">
        <v>22</v>
      </c>
      <c r="D272" s="2" t="s">
        <v>23</v>
      </c>
      <c r="E272" s="2" t="s">
        <v>17</v>
      </c>
      <c r="F272" s="2" t="s">
        <v>24</v>
      </c>
      <c r="G272" s="2" t="s">
        <v>32</v>
      </c>
      <c r="H272" s="4">
        <v>2</v>
      </c>
      <c r="I272" s="5">
        <v>93318.53</v>
      </c>
      <c r="J272" s="6">
        <v>0.05</v>
      </c>
      <c r="K272" s="5">
        <v>177305.21</v>
      </c>
      <c r="L272" s="5">
        <v>135266.62</v>
      </c>
      <c r="M272" s="5">
        <v>42038.59</v>
      </c>
      <c r="N272" s="2" t="s">
        <v>26</v>
      </c>
    </row>
    <row r="273" spans="1:14" ht="12" customHeight="1">
      <c r="A273" s="2" t="s">
        <v>355</v>
      </c>
      <c r="B273" s="3">
        <v>45995</v>
      </c>
      <c r="C273" s="2" t="s">
        <v>22</v>
      </c>
      <c r="D273" s="2" t="s">
        <v>35</v>
      </c>
      <c r="E273" s="2" t="s">
        <v>17</v>
      </c>
      <c r="F273" s="2" t="s">
        <v>24</v>
      </c>
      <c r="G273" s="2" t="s">
        <v>58</v>
      </c>
      <c r="H273" s="4">
        <v>5</v>
      </c>
      <c r="I273" s="5">
        <v>96106.43</v>
      </c>
      <c r="J273" s="6">
        <v>0.15</v>
      </c>
      <c r="K273" s="5">
        <v>408452.33</v>
      </c>
      <c r="L273" s="5">
        <v>330438.42</v>
      </c>
      <c r="M273" s="5">
        <v>78013.91</v>
      </c>
      <c r="N273" s="2" t="s">
        <v>26</v>
      </c>
    </row>
    <row r="274" spans="1:14" ht="12" customHeight="1">
      <c r="A274" s="2" t="s">
        <v>356</v>
      </c>
      <c r="B274" s="3">
        <v>45715</v>
      </c>
      <c r="C274" s="2" t="s">
        <v>15</v>
      </c>
      <c r="D274" s="2" t="s">
        <v>43</v>
      </c>
      <c r="E274" s="2" t="s">
        <v>44</v>
      </c>
      <c r="F274" s="2" t="s">
        <v>53</v>
      </c>
      <c r="G274" s="2" t="s">
        <v>47</v>
      </c>
      <c r="H274" s="4">
        <v>5</v>
      </c>
      <c r="I274" s="5">
        <v>8698.7900000000009</v>
      </c>
      <c r="J274" s="6">
        <v>0</v>
      </c>
      <c r="K274" s="5">
        <v>43493.95</v>
      </c>
      <c r="L274" s="5">
        <v>24613.73</v>
      </c>
      <c r="M274" s="5">
        <v>18880.22</v>
      </c>
      <c r="N274" s="2" t="s">
        <v>20</v>
      </c>
    </row>
    <row r="275" spans="1:14" ht="12" customHeight="1">
      <c r="A275" s="2" t="s">
        <v>357</v>
      </c>
      <c r="B275" s="3">
        <v>45949</v>
      </c>
      <c r="C275" s="2" t="s">
        <v>15</v>
      </c>
      <c r="D275" s="2" t="s">
        <v>43</v>
      </c>
      <c r="E275" s="2" t="s">
        <v>17</v>
      </c>
      <c r="F275" s="2" t="s">
        <v>75</v>
      </c>
      <c r="G275" s="2" t="s">
        <v>25</v>
      </c>
      <c r="H275" s="4">
        <v>6</v>
      </c>
      <c r="I275" s="5">
        <v>197844.16</v>
      </c>
      <c r="J275" s="6">
        <v>0</v>
      </c>
      <c r="K275" s="5">
        <v>1187064.96</v>
      </c>
      <c r="L275" s="5">
        <v>849511.03</v>
      </c>
      <c r="M275" s="5">
        <v>337553.93</v>
      </c>
      <c r="N275" s="2" t="s">
        <v>59</v>
      </c>
    </row>
    <row r="276" spans="1:14" ht="12" customHeight="1">
      <c r="A276" s="2" t="s">
        <v>358</v>
      </c>
      <c r="B276" s="3">
        <v>45768</v>
      </c>
      <c r="C276" s="2" t="s">
        <v>15</v>
      </c>
      <c r="D276" s="2" t="s">
        <v>43</v>
      </c>
      <c r="E276" s="2" t="s">
        <v>44</v>
      </c>
      <c r="F276" s="2" t="s">
        <v>53</v>
      </c>
      <c r="G276" s="2" t="s">
        <v>64</v>
      </c>
      <c r="H276" s="4">
        <v>2</v>
      </c>
      <c r="I276" s="5">
        <v>7842.7</v>
      </c>
      <c r="J276" s="6">
        <v>0</v>
      </c>
      <c r="K276" s="5">
        <v>15685.4</v>
      </c>
      <c r="L276" s="5">
        <v>9515.4599999999991</v>
      </c>
      <c r="M276" s="5">
        <v>6169.94</v>
      </c>
      <c r="N276" s="2" t="s">
        <v>33</v>
      </c>
    </row>
    <row r="277" spans="1:14" ht="12" customHeight="1">
      <c r="A277" s="2" t="s">
        <v>359</v>
      </c>
      <c r="B277" s="3">
        <v>45933</v>
      </c>
      <c r="C277" s="2" t="s">
        <v>28</v>
      </c>
      <c r="D277" s="2" t="s">
        <v>29</v>
      </c>
      <c r="E277" s="2" t="s">
        <v>30</v>
      </c>
      <c r="F277" s="2" t="s">
        <v>40</v>
      </c>
      <c r="G277" s="2" t="s">
        <v>61</v>
      </c>
      <c r="H277" s="4">
        <v>7</v>
      </c>
      <c r="I277" s="5">
        <v>25291.1</v>
      </c>
      <c r="J277" s="6">
        <v>0</v>
      </c>
      <c r="K277" s="5">
        <v>177037.7</v>
      </c>
      <c r="L277" s="5">
        <v>112241.04</v>
      </c>
      <c r="M277" s="5">
        <v>64796.66</v>
      </c>
      <c r="N277" s="2" t="s">
        <v>59</v>
      </c>
    </row>
    <row r="278" spans="1:14" ht="12" customHeight="1">
      <c r="A278" s="2" t="s">
        <v>360</v>
      </c>
      <c r="B278" s="3">
        <v>45990</v>
      </c>
      <c r="C278" s="2" t="s">
        <v>22</v>
      </c>
      <c r="D278" s="2" t="s">
        <v>35</v>
      </c>
      <c r="E278" s="2" t="s">
        <v>361</v>
      </c>
      <c r="F278" s="2" t="s">
        <v>24</v>
      </c>
      <c r="G278" s="2" t="s">
        <v>19</v>
      </c>
      <c r="H278" s="4">
        <v>3</v>
      </c>
      <c r="I278" s="5">
        <v>92535.66</v>
      </c>
      <c r="J278" s="6">
        <v>0.05</v>
      </c>
      <c r="K278" s="5">
        <v>263726.63</v>
      </c>
      <c r="L278" s="5">
        <v>206254.32</v>
      </c>
      <c r="M278" s="5">
        <v>57472.31</v>
      </c>
      <c r="N278" s="2" t="s">
        <v>59</v>
      </c>
    </row>
    <row r="279" spans="1:14" ht="12" customHeight="1">
      <c r="A279" s="2" t="s">
        <v>362</v>
      </c>
      <c r="B279" s="3">
        <v>45971</v>
      </c>
      <c r="C279" s="2" t="s">
        <v>15</v>
      </c>
      <c r="D279" s="2" t="s">
        <v>63</v>
      </c>
      <c r="E279" s="2" t="s">
        <v>44</v>
      </c>
      <c r="F279" s="2" t="s">
        <v>80</v>
      </c>
      <c r="G279" s="2" t="s">
        <v>64</v>
      </c>
      <c r="H279" s="4">
        <v>4</v>
      </c>
      <c r="I279" s="5">
        <v>40153.14</v>
      </c>
      <c r="J279" s="6">
        <v>0.05</v>
      </c>
      <c r="K279" s="5">
        <v>152581.93</v>
      </c>
      <c r="L279" s="5">
        <v>121286.76</v>
      </c>
      <c r="M279" s="5">
        <v>31295.17</v>
      </c>
      <c r="N279" s="2" t="s">
        <v>59</v>
      </c>
    </row>
    <row r="280" spans="1:14" ht="12" customHeight="1">
      <c r="A280" s="2" t="s">
        <v>363</v>
      </c>
      <c r="B280" s="3">
        <v>45912</v>
      </c>
      <c r="C280" s="2" t="s">
        <v>15</v>
      </c>
      <c r="D280" s="2" t="s">
        <v>43</v>
      </c>
      <c r="E280" s="2" t="s">
        <v>44</v>
      </c>
      <c r="F280" s="2" t="s">
        <v>80</v>
      </c>
      <c r="G280" s="2" t="s">
        <v>32</v>
      </c>
      <c r="H280" s="4">
        <v>1</v>
      </c>
      <c r="I280" s="5">
        <v>44430.36</v>
      </c>
      <c r="J280" s="6">
        <v>0.15</v>
      </c>
      <c r="K280" s="5">
        <v>37765.81</v>
      </c>
      <c r="L280" s="5">
        <v>30094.63</v>
      </c>
      <c r="M280" s="5">
        <v>7671.18</v>
      </c>
      <c r="N280" s="2" t="s">
        <v>59</v>
      </c>
    </row>
    <row r="281" spans="1:14" ht="12" customHeight="1">
      <c r="A281" s="2" t="s">
        <v>364</v>
      </c>
      <c r="B281" s="3">
        <v>45877</v>
      </c>
      <c r="C281" s="2" t="s">
        <v>22</v>
      </c>
      <c r="D281" s="2" t="s">
        <v>35</v>
      </c>
      <c r="E281" s="2" t="s">
        <v>44</v>
      </c>
      <c r="F281" s="2" t="s">
        <v>69</v>
      </c>
      <c r="G281" s="2" t="s">
        <v>58</v>
      </c>
      <c r="H281" s="4">
        <v>2</v>
      </c>
      <c r="I281" s="5">
        <v>39650.300000000003</v>
      </c>
      <c r="J281" s="6">
        <v>0</v>
      </c>
      <c r="K281" s="5">
        <v>79300.600000000006</v>
      </c>
      <c r="L281" s="5">
        <v>51659.44</v>
      </c>
      <c r="M281" s="5">
        <v>27641.16</v>
      </c>
      <c r="N281" s="2" t="s">
        <v>33</v>
      </c>
    </row>
    <row r="282" spans="1:14" ht="12" customHeight="1">
      <c r="A282" s="2" t="s">
        <v>365</v>
      </c>
      <c r="B282" s="3">
        <v>45948</v>
      </c>
      <c r="C282" s="2" t="s">
        <v>28</v>
      </c>
      <c r="D282" s="2" t="s">
        <v>29</v>
      </c>
      <c r="E282" s="2" t="s">
        <v>17</v>
      </c>
      <c r="F282" s="2" t="s">
        <v>114</v>
      </c>
      <c r="G282" s="2" t="s">
        <v>61</v>
      </c>
      <c r="H282" s="4">
        <v>8</v>
      </c>
      <c r="I282" s="5">
        <v>52089.71</v>
      </c>
      <c r="J282" s="6">
        <v>0</v>
      </c>
      <c r="K282" s="5">
        <v>416717.68</v>
      </c>
      <c r="L282" s="5">
        <v>293452.03000000003</v>
      </c>
      <c r="M282" s="5">
        <v>123265.65</v>
      </c>
      <c r="N282" s="2" t="s">
        <v>59</v>
      </c>
    </row>
    <row r="283" spans="1:14" ht="12" customHeight="1">
      <c r="A283" s="2" t="s">
        <v>366</v>
      </c>
      <c r="B283" s="3">
        <v>45664</v>
      </c>
      <c r="C283" s="2" t="s">
        <v>22</v>
      </c>
      <c r="D283" s="2" t="s">
        <v>35</v>
      </c>
      <c r="E283" s="2" t="s">
        <v>17</v>
      </c>
      <c r="F283" s="2" t="s">
        <v>75</v>
      </c>
      <c r="G283" s="2" t="s">
        <v>47</v>
      </c>
      <c r="H283" s="4">
        <v>4</v>
      </c>
      <c r="I283" s="5">
        <v>192127.09</v>
      </c>
      <c r="J283" s="6">
        <v>0</v>
      </c>
      <c r="K283" s="5">
        <v>768508.36</v>
      </c>
      <c r="L283" s="5">
        <v>552710.94999999995</v>
      </c>
      <c r="M283" s="5">
        <v>215797.41</v>
      </c>
      <c r="N283" s="2" t="s">
        <v>33</v>
      </c>
    </row>
    <row r="284" spans="1:14" ht="12" customHeight="1">
      <c r="A284" s="2" t="s">
        <v>367</v>
      </c>
      <c r="B284" s="3">
        <v>45993</v>
      </c>
      <c r="C284" s="2" t="s">
        <v>28</v>
      </c>
      <c r="D284" s="2" t="s">
        <v>56</v>
      </c>
      <c r="E284" s="2" t="s">
        <v>49</v>
      </c>
      <c r="F284" s="2" t="s">
        <v>50</v>
      </c>
      <c r="G284" s="2" t="s">
        <v>25</v>
      </c>
      <c r="H284" s="4">
        <v>3</v>
      </c>
      <c r="I284" s="5">
        <v>4489.74</v>
      </c>
      <c r="J284" s="6">
        <v>0</v>
      </c>
      <c r="K284" s="5">
        <v>13469.22</v>
      </c>
      <c r="L284" s="5">
        <v>6354.81</v>
      </c>
      <c r="M284" s="5">
        <v>7114.41</v>
      </c>
      <c r="N284" s="2" t="s">
        <v>26</v>
      </c>
    </row>
    <row r="285" spans="1:14" ht="12" customHeight="1">
      <c r="A285" s="2" t="s">
        <v>368</v>
      </c>
      <c r="B285" s="3">
        <v>45915</v>
      </c>
      <c r="C285" s="2" t="s">
        <v>28</v>
      </c>
      <c r="D285" s="2" t="s">
        <v>52</v>
      </c>
      <c r="E285" s="2" t="s">
        <v>49</v>
      </c>
      <c r="F285" s="2" t="s">
        <v>57</v>
      </c>
      <c r="G285" s="2" t="s">
        <v>64</v>
      </c>
      <c r="H285" s="4">
        <v>5</v>
      </c>
      <c r="I285" s="5">
        <v>12099.83</v>
      </c>
      <c r="J285" s="6">
        <v>0.1</v>
      </c>
      <c r="K285" s="5">
        <v>54449.24</v>
      </c>
      <c r="L285" s="5">
        <v>32373.14</v>
      </c>
      <c r="M285" s="5">
        <v>22076.1</v>
      </c>
      <c r="N285" s="2" t="s">
        <v>26</v>
      </c>
    </row>
    <row r="286" spans="1:14" ht="12" customHeight="1">
      <c r="A286" s="2" t="s">
        <v>369</v>
      </c>
      <c r="B286" s="3">
        <v>45817</v>
      </c>
      <c r="C286" s="2" t="s">
        <v>22</v>
      </c>
      <c r="D286" s="2" t="s">
        <v>37</v>
      </c>
      <c r="E286" s="2" t="s">
        <v>17</v>
      </c>
      <c r="F286" s="2" t="s">
        <v>114</v>
      </c>
      <c r="G286" s="2" t="s">
        <v>32</v>
      </c>
      <c r="H286" s="4">
        <v>2</v>
      </c>
      <c r="I286" s="5">
        <v>55136.57</v>
      </c>
      <c r="J286" s="6">
        <v>0.05</v>
      </c>
      <c r="K286" s="5">
        <v>104759.48</v>
      </c>
      <c r="L286" s="5">
        <v>74762.73</v>
      </c>
      <c r="M286" s="5">
        <v>29996.75</v>
      </c>
      <c r="N286" s="2" t="s">
        <v>33</v>
      </c>
    </row>
    <row r="287" spans="1:14" ht="12" customHeight="1">
      <c r="A287" s="2" t="s">
        <v>370</v>
      </c>
      <c r="B287" s="3">
        <v>45782</v>
      </c>
      <c r="C287" s="2" t="s">
        <v>15</v>
      </c>
      <c r="D287" s="2" t="s">
        <v>63</v>
      </c>
      <c r="E287" s="2" t="s">
        <v>17</v>
      </c>
      <c r="F287" s="2" t="s">
        <v>18</v>
      </c>
      <c r="G287" s="2" t="s">
        <v>70</v>
      </c>
      <c r="H287" s="4">
        <v>4</v>
      </c>
      <c r="I287" s="5">
        <v>14016.5</v>
      </c>
      <c r="J287" s="6">
        <v>0.05</v>
      </c>
      <c r="K287" s="5">
        <v>53262.7</v>
      </c>
      <c r="L287" s="5">
        <v>33514.07</v>
      </c>
      <c r="M287" s="5">
        <v>19748.63</v>
      </c>
      <c r="N287" s="2" t="s">
        <v>59</v>
      </c>
    </row>
    <row r="288" spans="1:14" ht="12" customHeight="1">
      <c r="A288" s="2" t="s">
        <v>371</v>
      </c>
      <c r="B288" s="3">
        <v>45935</v>
      </c>
      <c r="C288" s="2" t="s">
        <v>15</v>
      </c>
      <c r="D288" s="2" t="s">
        <v>63</v>
      </c>
      <c r="E288" s="2" t="s">
        <v>44</v>
      </c>
      <c r="F288" s="2" t="s">
        <v>45</v>
      </c>
      <c r="G288" s="2" t="s">
        <v>32</v>
      </c>
      <c r="H288" s="4">
        <v>3</v>
      </c>
      <c r="I288" s="5">
        <v>26249.08</v>
      </c>
      <c r="J288" s="6">
        <v>0.05</v>
      </c>
      <c r="K288" s="5">
        <v>74809.88</v>
      </c>
      <c r="L288" s="5">
        <v>55385.4</v>
      </c>
      <c r="M288" s="5">
        <v>19424.48</v>
      </c>
      <c r="N288" s="2" t="s">
        <v>33</v>
      </c>
    </row>
    <row r="289" spans="1:14" ht="12" customHeight="1">
      <c r="A289" s="2" t="s">
        <v>372</v>
      </c>
      <c r="B289" s="3">
        <v>45688</v>
      </c>
      <c r="C289" s="2" t="s">
        <v>28</v>
      </c>
      <c r="D289" s="2" t="s">
        <v>52</v>
      </c>
      <c r="E289" s="2" t="s">
        <v>49</v>
      </c>
      <c r="F289" s="2" t="s">
        <v>57</v>
      </c>
      <c r="G289" s="2" t="s">
        <v>61</v>
      </c>
      <c r="H289" s="4">
        <v>2</v>
      </c>
      <c r="I289" s="5">
        <v>10957.56</v>
      </c>
      <c r="J289" s="6">
        <v>0</v>
      </c>
      <c r="K289" s="5">
        <v>21915.119999999999</v>
      </c>
      <c r="L289" s="5">
        <v>12992.03</v>
      </c>
      <c r="M289" s="5">
        <v>8923.09</v>
      </c>
      <c r="N289" s="2" t="s">
        <v>59</v>
      </c>
    </row>
    <row r="290" spans="1:14" ht="12" customHeight="1">
      <c r="A290" s="2" t="s">
        <v>373</v>
      </c>
      <c r="B290" s="3">
        <v>45706</v>
      </c>
      <c r="C290" s="2" t="s">
        <v>22</v>
      </c>
      <c r="D290" s="2" t="s">
        <v>23</v>
      </c>
      <c r="E290" s="2" t="s">
        <v>44</v>
      </c>
      <c r="F290" s="2" t="s">
        <v>53</v>
      </c>
      <c r="G290" s="2" t="s">
        <v>61</v>
      </c>
      <c r="H290" s="4">
        <v>6</v>
      </c>
      <c r="I290" s="5">
        <v>8443.5</v>
      </c>
      <c r="J290" s="6">
        <v>0.15</v>
      </c>
      <c r="K290" s="5">
        <v>43061.85</v>
      </c>
      <c r="L290" s="5">
        <v>28692.73</v>
      </c>
      <c r="M290" s="5">
        <v>14369.12</v>
      </c>
      <c r="N290" s="2" t="s">
        <v>20</v>
      </c>
    </row>
    <row r="291" spans="1:14" ht="12" customHeight="1">
      <c r="A291" s="2" t="s">
        <v>374</v>
      </c>
      <c r="B291" s="3">
        <v>45859</v>
      </c>
      <c r="C291" s="2" t="s">
        <v>22</v>
      </c>
      <c r="D291" s="2" t="s">
        <v>37</v>
      </c>
      <c r="E291" s="2" t="s">
        <v>17</v>
      </c>
      <c r="F291" s="2" t="s">
        <v>114</v>
      </c>
      <c r="G291" s="2" t="s">
        <v>32</v>
      </c>
      <c r="H291" s="4">
        <v>3</v>
      </c>
      <c r="I291" s="5">
        <v>49809.94</v>
      </c>
      <c r="J291" s="6">
        <v>0.05</v>
      </c>
      <c r="K291" s="5">
        <v>141958.32999999999</v>
      </c>
      <c r="L291" s="5">
        <v>112737.25</v>
      </c>
      <c r="M291" s="5">
        <v>29221.08</v>
      </c>
      <c r="N291" s="2" t="s">
        <v>59</v>
      </c>
    </row>
    <row r="292" spans="1:14" ht="12" customHeight="1">
      <c r="A292" s="2" t="s">
        <v>375</v>
      </c>
      <c r="B292" s="3">
        <v>45712</v>
      </c>
      <c r="C292" s="2" t="s">
        <v>28</v>
      </c>
      <c r="D292" s="2" t="s">
        <v>56</v>
      </c>
      <c r="E292" s="2" t="s">
        <v>44</v>
      </c>
      <c r="F292" s="2" t="s">
        <v>80</v>
      </c>
      <c r="G292" s="2" t="s">
        <v>61</v>
      </c>
      <c r="H292" s="4">
        <v>4</v>
      </c>
      <c r="I292" s="5">
        <v>40496.449999999997</v>
      </c>
      <c r="J292" s="6">
        <v>0.1</v>
      </c>
      <c r="K292" s="5">
        <v>145787.22</v>
      </c>
      <c r="L292" s="5">
        <v>121225.88</v>
      </c>
      <c r="M292" s="5">
        <v>24561.34</v>
      </c>
      <c r="N292" s="2" t="s">
        <v>20</v>
      </c>
    </row>
    <row r="293" spans="1:14" ht="12" customHeight="1">
      <c r="A293" s="2" t="s">
        <v>376</v>
      </c>
      <c r="B293" s="3">
        <v>45895</v>
      </c>
      <c r="C293" s="2" t="s">
        <v>28</v>
      </c>
      <c r="D293" s="2" t="s">
        <v>56</v>
      </c>
      <c r="E293" s="2" t="s">
        <v>49</v>
      </c>
      <c r="F293" s="2" t="s">
        <v>91</v>
      </c>
      <c r="G293" s="2" t="s">
        <v>58</v>
      </c>
      <c r="H293" s="4">
        <v>6</v>
      </c>
      <c r="I293" s="5">
        <v>6983.22</v>
      </c>
      <c r="J293" s="6">
        <v>0</v>
      </c>
      <c r="K293" s="5">
        <v>41899.32</v>
      </c>
      <c r="L293" s="5">
        <v>21635.3</v>
      </c>
      <c r="M293" s="5">
        <v>20264.02</v>
      </c>
      <c r="N293" s="2" t="s">
        <v>33</v>
      </c>
    </row>
    <row r="294" spans="1:14" ht="12" customHeight="1">
      <c r="A294" s="2" t="s">
        <v>377</v>
      </c>
      <c r="B294" s="3">
        <v>46022</v>
      </c>
      <c r="C294" s="2" t="s">
        <v>22</v>
      </c>
      <c r="D294" s="2" t="s">
        <v>23</v>
      </c>
      <c r="E294" s="2" t="s">
        <v>30</v>
      </c>
      <c r="F294" s="2" t="s">
        <v>31</v>
      </c>
      <c r="G294" s="2" t="s">
        <v>47</v>
      </c>
      <c r="H294" s="4">
        <v>4</v>
      </c>
      <c r="I294" s="5">
        <v>142255.97</v>
      </c>
      <c r="J294" s="6">
        <v>0.05</v>
      </c>
      <c r="K294" s="5">
        <v>540572.68999999994</v>
      </c>
      <c r="L294" s="5">
        <v>396074.6</v>
      </c>
      <c r="M294" s="5">
        <v>144498.09</v>
      </c>
      <c r="N294" s="2" t="s">
        <v>59</v>
      </c>
    </row>
    <row r="295" spans="1:14" ht="12" customHeight="1">
      <c r="A295" s="2" t="s">
        <v>378</v>
      </c>
      <c r="B295" s="3">
        <v>45865</v>
      </c>
      <c r="C295" s="2" t="s">
        <v>28</v>
      </c>
      <c r="D295" s="2" t="s">
        <v>29</v>
      </c>
      <c r="E295" s="2" t="s">
        <v>17</v>
      </c>
      <c r="F295" s="2" t="s">
        <v>18</v>
      </c>
      <c r="G295" s="2" t="s">
        <v>70</v>
      </c>
      <c r="H295" s="4">
        <v>5</v>
      </c>
      <c r="I295" s="5">
        <v>15242.61</v>
      </c>
      <c r="J295" s="6">
        <v>0</v>
      </c>
      <c r="K295" s="5">
        <v>76213.05</v>
      </c>
      <c r="L295" s="5">
        <v>39859.21</v>
      </c>
      <c r="M295" s="5">
        <v>36353.839999999997</v>
      </c>
      <c r="N295" s="2" t="s">
        <v>26</v>
      </c>
    </row>
    <row r="296" spans="1:14" ht="12" customHeight="1">
      <c r="A296" s="2" t="s">
        <v>379</v>
      </c>
      <c r="B296" s="3">
        <v>45863</v>
      </c>
      <c r="C296" s="2" t="s">
        <v>22</v>
      </c>
      <c r="D296" s="2" t="s">
        <v>35</v>
      </c>
      <c r="E296" s="2" t="s">
        <v>17</v>
      </c>
      <c r="F296" s="2" t="s">
        <v>24</v>
      </c>
      <c r="G296" s="2" t="s">
        <v>32</v>
      </c>
      <c r="H296" s="4">
        <v>2</v>
      </c>
      <c r="I296" s="5">
        <v>84816.01</v>
      </c>
      <c r="J296" s="6">
        <v>0</v>
      </c>
      <c r="K296" s="5">
        <v>169632.02</v>
      </c>
      <c r="L296" s="5">
        <v>133164.41</v>
      </c>
      <c r="M296" s="5">
        <v>36467.61</v>
      </c>
      <c r="N296" s="2" t="s">
        <v>33</v>
      </c>
    </row>
    <row r="297" spans="1:14" ht="12" customHeight="1">
      <c r="A297" s="2" t="s">
        <v>380</v>
      </c>
      <c r="B297" s="3">
        <v>45885</v>
      </c>
      <c r="C297" s="2" t="s">
        <v>15</v>
      </c>
      <c r="D297" s="2" t="s">
        <v>43</v>
      </c>
      <c r="E297" s="2" t="s">
        <v>30</v>
      </c>
      <c r="F297" s="2" t="s">
        <v>31</v>
      </c>
      <c r="G297" s="2" t="s">
        <v>61</v>
      </c>
      <c r="H297" s="4">
        <v>1</v>
      </c>
      <c r="I297" s="5">
        <v>145738.69</v>
      </c>
      <c r="J297" s="6">
        <v>0</v>
      </c>
      <c r="K297" s="5">
        <v>145738.69</v>
      </c>
      <c r="L297" s="5">
        <v>104350.65</v>
      </c>
      <c r="M297" s="5">
        <v>41388.04</v>
      </c>
      <c r="N297" s="2" t="s">
        <v>33</v>
      </c>
    </row>
    <row r="298" spans="1:14" ht="12" customHeight="1">
      <c r="A298" s="2" t="s">
        <v>381</v>
      </c>
      <c r="B298" s="3">
        <v>45860</v>
      </c>
      <c r="C298" s="2" t="s">
        <v>28</v>
      </c>
      <c r="D298" s="2" t="s">
        <v>52</v>
      </c>
      <c r="E298" s="2" t="s">
        <v>17</v>
      </c>
      <c r="F298" s="2" t="s">
        <v>114</v>
      </c>
      <c r="G298" s="2" t="s">
        <v>70</v>
      </c>
      <c r="H298" s="4">
        <v>1</v>
      </c>
      <c r="I298" s="5">
        <v>49237.67</v>
      </c>
      <c r="J298" s="6">
        <v>0.1</v>
      </c>
      <c r="K298" s="5">
        <v>44313.9</v>
      </c>
      <c r="L298" s="5">
        <v>36511.71</v>
      </c>
      <c r="M298" s="5">
        <v>7802.19</v>
      </c>
      <c r="N298" s="2" t="s">
        <v>33</v>
      </c>
    </row>
    <row r="299" spans="1:14" ht="12" customHeight="1">
      <c r="A299" s="2" t="s">
        <v>382</v>
      </c>
      <c r="B299" s="3">
        <v>45886</v>
      </c>
      <c r="C299" s="2" t="s">
        <v>28</v>
      </c>
      <c r="D299" s="2" t="s">
        <v>29</v>
      </c>
      <c r="E299" s="2" t="s">
        <v>49</v>
      </c>
      <c r="F299" s="2" t="s">
        <v>50</v>
      </c>
      <c r="G299" s="2" t="s">
        <v>61</v>
      </c>
      <c r="H299" s="4">
        <v>6</v>
      </c>
      <c r="I299" s="5">
        <v>4008.29</v>
      </c>
      <c r="J299" s="6">
        <v>0</v>
      </c>
      <c r="K299" s="5">
        <v>24049.74</v>
      </c>
      <c r="L299" s="5">
        <v>12464.53</v>
      </c>
      <c r="M299" s="5">
        <v>11585.21</v>
      </c>
      <c r="N299" s="2" t="s">
        <v>33</v>
      </c>
    </row>
    <row r="300" spans="1:14" ht="12" customHeight="1">
      <c r="A300" s="2" t="s">
        <v>383</v>
      </c>
      <c r="B300" s="3">
        <v>45702</v>
      </c>
      <c r="C300" s="2" t="s">
        <v>15</v>
      </c>
      <c r="D300" s="2" t="s">
        <v>43</v>
      </c>
      <c r="E300" s="2" t="s">
        <v>44</v>
      </c>
      <c r="F300" s="2" t="s">
        <v>69</v>
      </c>
      <c r="G300" s="2" t="s">
        <v>58</v>
      </c>
      <c r="H300" s="4">
        <v>8</v>
      </c>
      <c r="I300" s="5">
        <v>37464.910000000003</v>
      </c>
      <c r="J300" s="6">
        <v>0.1</v>
      </c>
      <c r="K300" s="5">
        <v>269747.34999999998</v>
      </c>
      <c r="L300" s="5">
        <v>208734.69</v>
      </c>
      <c r="M300" s="5">
        <v>61012.66</v>
      </c>
      <c r="N300" s="2" t="s">
        <v>20</v>
      </c>
    </row>
    <row r="301" spans="1:14" ht="12" customHeight="1">
      <c r="A301" s="2" t="s">
        <v>384</v>
      </c>
      <c r="B301" s="3">
        <v>45936</v>
      </c>
      <c r="C301" s="2" t="s">
        <v>22</v>
      </c>
      <c r="D301" s="2" t="s">
        <v>35</v>
      </c>
      <c r="E301" s="2" t="s">
        <v>44</v>
      </c>
      <c r="F301" s="2" t="s">
        <v>45</v>
      </c>
      <c r="G301" s="2" t="s">
        <v>70</v>
      </c>
      <c r="H301" s="4">
        <v>1</v>
      </c>
      <c r="I301" s="5">
        <v>30731.68</v>
      </c>
      <c r="J301" s="6">
        <v>0.15</v>
      </c>
      <c r="K301" s="5">
        <v>26121.93</v>
      </c>
      <c r="L301" s="5">
        <v>18907.62</v>
      </c>
      <c r="M301" s="5">
        <v>7214.31</v>
      </c>
      <c r="N301" s="2" t="s">
        <v>59</v>
      </c>
    </row>
    <row r="302" spans="1:14" ht="12" customHeight="1">
      <c r="A302" s="2" t="s">
        <v>385</v>
      </c>
      <c r="B302" s="3">
        <v>45673</v>
      </c>
      <c r="C302" s="2" t="s">
        <v>15</v>
      </c>
      <c r="D302" s="2" t="s">
        <v>43</v>
      </c>
      <c r="E302" s="2" t="s">
        <v>30</v>
      </c>
      <c r="F302" s="2" t="s">
        <v>40</v>
      </c>
      <c r="G302" s="2" t="s">
        <v>58</v>
      </c>
      <c r="H302" s="4">
        <v>5</v>
      </c>
      <c r="I302" s="5">
        <v>23244.880000000001</v>
      </c>
      <c r="J302" s="6">
        <v>0.05</v>
      </c>
      <c r="K302" s="5">
        <v>110413.18</v>
      </c>
      <c r="L302" s="5">
        <v>79932.05</v>
      </c>
      <c r="M302" s="5">
        <v>30481.13</v>
      </c>
      <c r="N302" s="2" t="s">
        <v>33</v>
      </c>
    </row>
    <row r="303" spans="1:14" ht="12" customHeight="1">
      <c r="A303" s="2" t="s">
        <v>386</v>
      </c>
      <c r="B303" s="3">
        <v>45931</v>
      </c>
      <c r="C303" s="2" t="s">
        <v>28</v>
      </c>
      <c r="D303" s="2" t="s">
        <v>29</v>
      </c>
      <c r="E303" s="2" t="s">
        <v>30</v>
      </c>
      <c r="F303" s="2" t="s">
        <v>86</v>
      </c>
      <c r="G303" s="2" t="s">
        <v>64</v>
      </c>
      <c r="H303" s="4">
        <v>3</v>
      </c>
      <c r="I303" s="5">
        <v>30888.71</v>
      </c>
      <c r="J303" s="6">
        <v>0.15</v>
      </c>
      <c r="K303" s="5">
        <v>78766.210000000006</v>
      </c>
      <c r="L303" s="5">
        <v>66614.45</v>
      </c>
      <c r="M303" s="5">
        <v>12151.76</v>
      </c>
      <c r="N303" s="2" t="s">
        <v>26</v>
      </c>
    </row>
    <row r="304" spans="1:14" ht="12" customHeight="1">
      <c r="A304" s="2" t="s">
        <v>387</v>
      </c>
      <c r="B304" s="3">
        <v>46015</v>
      </c>
      <c r="C304" s="2" t="s">
        <v>15</v>
      </c>
      <c r="D304" s="2" t="s">
        <v>63</v>
      </c>
      <c r="E304" s="2" t="s">
        <v>30</v>
      </c>
      <c r="F304" s="2" t="s">
        <v>86</v>
      </c>
      <c r="G304" s="2" t="s">
        <v>32</v>
      </c>
      <c r="H304" s="4">
        <v>3</v>
      </c>
      <c r="I304" s="5">
        <v>31608.99</v>
      </c>
      <c r="J304" s="6">
        <v>0.05</v>
      </c>
      <c r="K304" s="5">
        <v>90085.62</v>
      </c>
      <c r="L304" s="5">
        <v>69284.34</v>
      </c>
      <c r="M304" s="5">
        <v>20801.28</v>
      </c>
      <c r="N304" s="2" t="s">
        <v>33</v>
      </c>
    </row>
    <row r="305" spans="1:14" ht="12" customHeight="1">
      <c r="A305" s="2" t="s">
        <v>388</v>
      </c>
      <c r="B305" s="3">
        <v>45747</v>
      </c>
      <c r="C305" s="2" t="s">
        <v>15</v>
      </c>
      <c r="D305" s="2" t="s">
        <v>43</v>
      </c>
      <c r="E305" s="2" t="s">
        <v>30</v>
      </c>
      <c r="F305" s="2" t="s">
        <v>86</v>
      </c>
      <c r="G305" s="2" t="s">
        <v>70</v>
      </c>
      <c r="H305" s="4">
        <v>4</v>
      </c>
      <c r="I305" s="5">
        <v>34777.760000000002</v>
      </c>
      <c r="J305" s="6">
        <v>0.05</v>
      </c>
      <c r="K305" s="5">
        <v>132155.49</v>
      </c>
      <c r="L305" s="5">
        <v>90715.38</v>
      </c>
      <c r="M305" s="5">
        <v>41440.11</v>
      </c>
      <c r="N305" s="2" t="s">
        <v>33</v>
      </c>
    </row>
    <row r="306" spans="1:14" ht="12" customHeight="1">
      <c r="A306" s="2" t="s">
        <v>389</v>
      </c>
      <c r="B306" s="3">
        <v>45972</v>
      </c>
      <c r="C306" s="2" t="s">
        <v>22</v>
      </c>
      <c r="D306" s="2" t="s">
        <v>23</v>
      </c>
      <c r="E306" s="2" t="s">
        <v>44</v>
      </c>
      <c r="F306" s="2" t="s">
        <v>45</v>
      </c>
      <c r="G306" s="2" t="s">
        <v>47</v>
      </c>
      <c r="H306" s="4">
        <v>1</v>
      </c>
      <c r="I306" s="5">
        <v>28620.61</v>
      </c>
      <c r="J306" s="6">
        <v>0</v>
      </c>
      <c r="K306" s="5">
        <v>28620.61</v>
      </c>
      <c r="L306" s="5">
        <v>18871.21</v>
      </c>
      <c r="M306" s="5">
        <v>9749.4</v>
      </c>
      <c r="N306" s="2" t="s">
        <v>26</v>
      </c>
    </row>
    <row r="307" spans="1:14" ht="12" customHeight="1">
      <c r="A307" s="2" t="s">
        <v>390</v>
      </c>
      <c r="B307" s="3">
        <v>45730</v>
      </c>
      <c r="C307" s="2" t="s">
        <v>28</v>
      </c>
      <c r="D307" s="2" t="s">
        <v>29</v>
      </c>
      <c r="E307" s="2" t="s">
        <v>44</v>
      </c>
      <c r="F307" s="2" t="s">
        <v>69</v>
      </c>
      <c r="G307" s="2" t="s">
        <v>19</v>
      </c>
      <c r="H307" s="4">
        <v>1</v>
      </c>
      <c r="I307" s="5">
        <v>35093.230000000003</v>
      </c>
      <c r="J307" s="6">
        <v>0.1</v>
      </c>
      <c r="K307" s="5">
        <v>31583.91</v>
      </c>
      <c r="L307" s="5">
        <v>26502.55</v>
      </c>
      <c r="M307" s="5">
        <v>5081.3599999999997</v>
      </c>
      <c r="N307" s="2" t="s">
        <v>59</v>
      </c>
    </row>
    <row r="308" spans="1:14" ht="12" customHeight="1">
      <c r="A308" s="2" t="s">
        <v>391</v>
      </c>
      <c r="B308" s="3">
        <v>45881</v>
      </c>
      <c r="C308" s="2" t="s">
        <v>22</v>
      </c>
      <c r="D308" s="2" t="s">
        <v>35</v>
      </c>
      <c r="E308" s="2" t="s">
        <v>49</v>
      </c>
      <c r="F308" s="2" t="s">
        <v>91</v>
      </c>
      <c r="G308" s="2" t="s">
        <v>70</v>
      </c>
      <c r="H308" s="4">
        <v>6</v>
      </c>
      <c r="I308" s="5">
        <v>6293.84</v>
      </c>
      <c r="J308" s="6">
        <v>0</v>
      </c>
      <c r="K308" s="5">
        <v>37763.040000000001</v>
      </c>
      <c r="L308" s="5">
        <v>22427.5</v>
      </c>
      <c r="M308" s="5">
        <v>15335.54</v>
      </c>
      <c r="N308" s="2" t="s">
        <v>59</v>
      </c>
    </row>
    <row r="309" spans="1:14" ht="12" customHeight="1">
      <c r="A309" s="2" t="s">
        <v>392</v>
      </c>
      <c r="B309" s="3">
        <v>45723</v>
      </c>
      <c r="C309" s="2" t="s">
        <v>22</v>
      </c>
      <c r="D309" s="2" t="s">
        <v>37</v>
      </c>
      <c r="E309" s="2" t="s">
        <v>30</v>
      </c>
      <c r="F309" s="2" t="s">
        <v>86</v>
      </c>
      <c r="G309" s="2" t="s">
        <v>61</v>
      </c>
      <c r="H309" s="4">
        <v>3</v>
      </c>
      <c r="I309" s="5">
        <v>32357.87</v>
      </c>
      <c r="J309" s="6">
        <v>0.15</v>
      </c>
      <c r="K309" s="5">
        <v>82512.570000000007</v>
      </c>
      <c r="L309" s="5">
        <v>68728.160000000003</v>
      </c>
      <c r="M309" s="5">
        <v>13784.41</v>
      </c>
      <c r="N309" s="2" t="s">
        <v>33</v>
      </c>
    </row>
    <row r="310" spans="1:14" ht="12" customHeight="1">
      <c r="A310" s="2" t="s">
        <v>393</v>
      </c>
      <c r="B310" s="3">
        <v>45947</v>
      </c>
      <c r="C310" s="2" t="s">
        <v>15</v>
      </c>
      <c r="D310" s="2" t="s">
        <v>43</v>
      </c>
      <c r="E310" s="2" t="s">
        <v>49</v>
      </c>
      <c r="F310" s="2" t="s">
        <v>91</v>
      </c>
      <c r="G310" s="2" t="s">
        <v>19</v>
      </c>
      <c r="H310" s="4">
        <v>3</v>
      </c>
      <c r="I310" s="5">
        <v>6606.48</v>
      </c>
      <c r="J310" s="6">
        <v>0.1</v>
      </c>
      <c r="K310" s="5">
        <v>17837.5</v>
      </c>
      <c r="L310" s="5">
        <v>10643</v>
      </c>
      <c r="M310" s="5">
        <v>7194.5</v>
      </c>
      <c r="N310" s="2" t="s">
        <v>394</v>
      </c>
    </row>
    <row r="311" spans="1:14" ht="12" customHeight="1">
      <c r="A311" s="2" t="s">
        <v>395</v>
      </c>
      <c r="B311" s="3">
        <v>45703</v>
      </c>
      <c r="C311" s="2" t="s">
        <v>22</v>
      </c>
      <c r="D311" s="2" t="s">
        <v>35</v>
      </c>
      <c r="E311" s="2" t="s">
        <v>17</v>
      </c>
      <c r="F311" s="2" t="s">
        <v>24</v>
      </c>
      <c r="G311" s="2" t="s">
        <v>32</v>
      </c>
      <c r="H311" s="4">
        <v>6</v>
      </c>
      <c r="I311" s="5">
        <v>99100.63</v>
      </c>
      <c r="J311" s="6">
        <v>0</v>
      </c>
      <c r="K311" s="5">
        <v>594603.78</v>
      </c>
      <c r="L311" s="5">
        <v>413929.49</v>
      </c>
      <c r="M311" s="5">
        <v>180674.29</v>
      </c>
      <c r="N311" s="2" t="s">
        <v>20</v>
      </c>
    </row>
    <row r="312" spans="1:14" ht="12" customHeight="1">
      <c r="A312" s="2" t="s">
        <v>396</v>
      </c>
      <c r="B312" s="3">
        <v>45682</v>
      </c>
      <c r="C312" s="2" t="s">
        <v>22</v>
      </c>
      <c r="D312" s="2" t="s">
        <v>35</v>
      </c>
      <c r="E312" s="2" t="s">
        <v>44</v>
      </c>
      <c r="F312" s="2" t="s">
        <v>45</v>
      </c>
      <c r="G312" s="2" t="s">
        <v>25</v>
      </c>
      <c r="H312" s="4">
        <v>2</v>
      </c>
      <c r="I312" s="5">
        <v>27818.19</v>
      </c>
      <c r="J312" s="6">
        <v>0</v>
      </c>
      <c r="K312" s="5">
        <v>55636.38</v>
      </c>
      <c r="L312" s="5">
        <v>38776.300000000003</v>
      </c>
      <c r="M312" s="5">
        <v>16860.080000000002</v>
      </c>
      <c r="N312" s="2" t="s">
        <v>20</v>
      </c>
    </row>
    <row r="313" spans="1:14" ht="12" customHeight="1">
      <c r="A313" s="2" t="s">
        <v>397</v>
      </c>
      <c r="B313" s="3">
        <v>45709</v>
      </c>
      <c r="C313" s="2" t="s">
        <v>15</v>
      </c>
      <c r="D313" s="2" t="s">
        <v>63</v>
      </c>
      <c r="E313" s="2" t="s">
        <v>44</v>
      </c>
      <c r="F313" s="2" t="s">
        <v>53</v>
      </c>
      <c r="G313" s="2" t="s">
        <v>70</v>
      </c>
      <c r="H313" s="4">
        <v>8</v>
      </c>
      <c r="I313" s="5">
        <v>9019.2099999999991</v>
      </c>
      <c r="J313" s="6">
        <v>0.05</v>
      </c>
      <c r="K313" s="5">
        <v>68546</v>
      </c>
      <c r="L313" s="5">
        <v>39522.29</v>
      </c>
      <c r="M313" s="5">
        <v>29023.71</v>
      </c>
      <c r="N313" s="2" t="s">
        <v>26</v>
      </c>
    </row>
    <row r="314" spans="1:14" ht="12" customHeight="1">
      <c r="A314" s="2" t="s">
        <v>398</v>
      </c>
      <c r="B314" s="3">
        <v>45695</v>
      </c>
      <c r="C314" s="2" t="s">
        <v>22</v>
      </c>
      <c r="D314" s="2" t="s">
        <v>35</v>
      </c>
      <c r="E314" s="2" t="s">
        <v>17</v>
      </c>
      <c r="F314" s="2" t="s">
        <v>75</v>
      </c>
      <c r="G314" s="2" t="s">
        <v>32</v>
      </c>
      <c r="H314" s="4">
        <v>5</v>
      </c>
      <c r="I314" s="5">
        <v>170794.31</v>
      </c>
      <c r="J314" s="6">
        <v>0.05</v>
      </c>
      <c r="K314" s="5">
        <v>811272.97</v>
      </c>
      <c r="L314" s="5">
        <v>735997.61</v>
      </c>
      <c r="M314" s="5">
        <v>75275.360000000001</v>
      </c>
      <c r="N314" s="2" t="s">
        <v>26</v>
      </c>
    </row>
    <row r="315" spans="1:14" ht="12" customHeight="1">
      <c r="A315" s="2" t="s">
        <v>399</v>
      </c>
      <c r="B315" s="3">
        <v>46018</v>
      </c>
      <c r="C315" s="2" t="s">
        <v>28</v>
      </c>
      <c r="D315" s="2" t="s">
        <v>52</v>
      </c>
      <c r="E315" s="2" t="s">
        <v>17</v>
      </c>
      <c r="F315" s="2" t="s">
        <v>75</v>
      </c>
      <c r="G315" s="2" t="s">
        <v>64</v>
      </c>
      <c r="H315" s="4">
        <v>6</v>
      </c>
      <c r="I315" s="5">
        <v>187783.3</v>
      </c>
      <c r="J315" s="6">
        <v>0.1</v>
      </c>
      <c r="K315" s="5">
        <v>1014029.82</v>
      </c>
      <c r="L315" s="5">
        <v>879712.01</v>
      </c>
      <c r="M315" s="5">
        <v>134317.81</v>
      </c>
      <c r="N315" s="2" t="s">
        <v>20</v>
      </c>
    </row>
    <row r="316" spans="1:14" ht="12" customHeight="1">
      <c r="A316" s="2" t="s">
        <v>400</v>
      </c>
      <c r="B316" s="3">
        <v>45867</v>
      </c>
      <c r="C316" s="2" t="s">
        <v>68</v>
      </c>
      <c r="D316" s="2" t="s">
        <v>16</v>
      </c>
      <c r="E316" s="2" t="s">
        <v>49</v>
      </c>
      <c r="F316" s="2" t="s">
        <v>50</v>
      </c>
      <c r="G316" s="2" t="s">
        <v>58</v>
      </c>
      <c r="H316" s="4">
        <v>1</v>
      </c>
      <c r="I316" s="5">
        <v>3932.05</v>
      </c>
      <c r="J316" s="6">
        <v>0</v>
      </c>
      <c r="K316" s="5">
        <v>3932.05</v>
      </c>
      <c r="L316" s="5">
        <v>2180.2399999999998</v>
      </c>
      <c r="M316" s="5">
        <v>1751.81</v>
      </c>
      <c r="N316" s="2" t="s">
        <v>59</v>
      </c>
    </row>
    <row r="317" spans="1:14" ht="12" customHeight="1">
      <c r="A317" s="2" t="s">
        <v>401</v>
      </c>
      <c r="B317" s="3">
        <v>45842</v>
      </c>
      <c r="C317" s="2" t="s">
        <v>402</v>
      </c>
      <c r="D317" s="2" t="s">
        <v>52</v>
      </c>
      <c r="E317" s="2" t="s">
        <v>17</v>
      </c>
      <c r="F317" s="2" t="s">
        <v>75</v>
      </c>
      <c r="G317" s="2" t="s">
        <v>64</v>
      </c>
      <c r="H317" s="4">
        <v>7</v>
      </c>
      <c r="I317" s="5">
        <v>187124.39</v>
      </c>
      <c r="J317" s="6">
        <v>0.05</v>
      </c>
      <c r="K317" s="5">
        <v>1244377.19</v>
      </c>
      <c r="L317" s="5">
        <v>974866.79</v>
      </c>
      <c r="M317" s="5">
        <v>269510.40000000002</v>
      </c>
      <c r="N317" s="2" t="s">
        <v>20</v>
      </c>
    </row>
    <row r="318" spans="1:14" ht="12" customHeight="1">
      <c r="A318" s="2" t="s">
        <v>403</v>
      </c>
      <c r="B318" s="3">
        <v>45699</v>
      </c>
      <c r="C318" s="2" t="s">
        <v>22</v>
      </c>
      <c r="D318" s="2" t="s">
        <v>35</v>
      </c>
      <c r="E318" s="2" t="s">
        <v>49</v>
      </c>
      <c r="F318" s="2" t="s">
        <v>50</v>
      </c>
      <c r="G318" s="2" t="s">
        <v>70</v>
      </c>
      <c r="H318" s="4">
        <v>2</v>
      </c>
      <c r="I318" s="5">
        <v>3881.29</v>
      </c>
      <c r="J318" s="6">
        <v>0</v>
      </c>
      <c r="K318" s="5">
        <v>7762.58</v>
      </c>
      <c r="L318" s="5">
        <v>4261.63</v>
      </c>
      <c r="M318" s="5">
        <v>3500.95</v>
      </c>
      <c r="N318" s="2" t="s">
        <v>33</v>
      </c>
    </row>
    <row r="319" spans="1:14" ht="12" customHeight="1">
      <c r="A319" s="2" t="s">
        <v>404</v>
      </c>
      <c r="B319" s="3">
        <v>45847</v>
      </c>
      <c r="C319" s="2" t="s">
        <v>28</v>
      </c>
      <c r="D319" s="2" t="s">
        <v>56</v>
      </c>
      <c r="E319" s="2" t="s">
        <v>49</v>
      </c>
      <c r="F319" s="2" t="s">
        <v>107</v>
      </c>
      <c r="G319" s="2" t="s">
        <v>25</v>
      </c>
      <c r="H319" s="4">
        <v>5</v>
      </c>
      <c r="I319" s="5">
        <v>4859.83</v>
      </c>
      <c r="J319" s="6">
        <v>0.1</v>
      </c>
      <c r="K319" s="5">
        <v>21869.24</v>
      </c>
      <c r="L319" s="5">
        <v>13461.21</v>
      </c>
      <c r="M319" s="5">
        <v>8408.0300000000007</v>
      </c>
      <c r="N319" s="2" t="s">
        <v>59</v>
      </c>
    </row>
    <row r="320" spans="1:14" ht="12" customHeight="1">
      <c r="A320" s="2" t="s">
        <v>405</v>
      </c>
      <c r="B320" s="3">
        <v>45946</v>
      </c>
      <c r="C320" s="2" t="s">
        <v>22</v>
      </c>
      <c r="D320" s="2" t="s">
        <v>35</v>
      </c>
      <c r="E320" s="2" t="s">
        <v>17</v>
      </c>
      <c r="F320" s="2" t="s">
        <v>18</v>
      </c>
      <c r="G320" s="2" t="s">
        <v>64</v>
      </c>
      <c r="H320" s="4">
        <v>8</v>
      </c>
      <c r="I320" s="5">
        <v>14418.93</v>
      </c>
      <c r="J320" s="6">
        <v>0</v>
      </c>
      <c r="K320" s="5">
        <v>115351.44</v>
      </c>
      <c r="L320" s="5">
        <v>67475.87</v>
      </c>
      <c r="M320" s="5">
        <v>47875.57</v>
      </c>
      <c r="N320" s="2" t="s">
        <v>26</v>
      </c>
    </row>
    <row r="321" spans="1:14" ht="12" customHeight="1">
      <c r="A321" s="2" t="s">
        <v>406</v>
      </c>
      <c r="B321" s="3">
        <v>45959</v>
      </c>
      <c r="C321" s="2" t="s">
        <v>15</v>
      </c>
      <c r="D321" s="2" t="s">
        <v>43</v>
      </c>
      <c r="E321" s="2" t="s">
        <v>17</v>
      </c>
      <c r="F321" s="2" t="s">
        <v>75</v>
      </c>
      <c r="G321" s="2" t="s">
        <v>47</v>
      </c>
      <c r="H321" s="4">
        <v>6</v>
      </c>
      <c r="I321" s="5">
        <v>194122.13</v>
      </c>
      <c r="J321" s="6">
        <v>0.05</v>
      </c>
      <c r="K321" s="5">
        <v>1106496.1399999999</v>
      </c>
      <c r="L321" s="5">
        <v>884332.88</v>
      </c>
      <c r="M321" s="5">
        <v>222163.26</v>
      </c>
      <c r="N321" s="2" t="s">
        <v>33</v>
      </c>
    </row>
    <row r="322" spans="1:14" ht="12" customHeight="1">
      <c r="A322" s="2" t="s">
        <v>407</v>
      </c>
      <c r="B322" s="3">
        <v>45675</v>
      </c>
      <c r="C322" s="2" t="s">
        <v>28</v>
      </c>
      <c r="D322" s="2" t="s">
        <v>29</v>
      </c>
      <c r="E322" s="2" t="s">
        <v>49</v>
      </c>
      <c r="F322" s="2" t="s">
        <v>107</v>
      </c>
      <c r="G322" s="2" t="s">
        <v>61</v>
      </c>
      <c r="H322" s="4">
        <v>4</v>
      </c>
      <c r="I322" s="5">
        <v>5180.25</v>
      </c>
      <c r="J322" s="6">
        <v>0</v>
      </c>
      <c r="K322" s="5">
        <v>20721</v>
      </c>
      <c r="L322" s="5">
        <v>10774.47</v>
      </c>
      <c r="M322" s="5">
        <v>9946.5300000000007</v>
      </c>
      <c r="N322" s="2" t="s">
        <v>33</v>
      </c>
    </row>
    <row r="323" spans="1:14" ht="12" customHeight="1">
      <c r="A323" s="2" t="s">
        <v>408</v>
      </c>
      <c r="B323" s="3">
        <v>46007</v>
      </c>
      <c r="C323" s="2" t="s">
        <v>28</v>
      </c>
      <c r="D323" s="2" t="s">
        <v>52</v>
      </c>
      <c r="E323" s="2" t="s">
        <v>44</v>
      </c>
      <c r="F323" s="2" t="s">
        <v>45</v>
      </c>
      <c r="G323" s="2" t="s">
        <v>25</v>
      </c>
      <c r="H323" s="4">
        <v>4</v>
      </c>
      <c r="I323" s="5">
        <v>26795.41</v>
      </c>
      <c r="J323" s="6">
        <v>0.05</v>
      </c>
      <c r="K323" s="5">
        <v>101822.56</v>
      </c>
      <c r="L323" s="5">
        <v>74136.92</v>
      </c>
      <c r="M323" s="5">
        <v>27685.64</v>
      </c>
      <c r="N323" s="2" t="s">
        <v>26</v>
      </c>
    </row>
    <row r="324" spans="1:14" ht="12" customHeight="1">
      <c r="A324" s="2" t="s">
        <v>409</v>
      </c>
      <c r="B324" s="3">
        <v>45824</v>
      </c>
      <c r="C324" s="2" t="s">
        <v>68</v>
      </c>
      <c r="D324" s="2" t="s">
        <v>16</v>
      </c>
      <c r="E324" s="2" t="s">
        <v>30</v>
      </c>
      <c r="F324" s="2" t="s">
        <v>38</v>
      </c>
      <c r="G324" s="2" t="s">
        <v>58</v>
      </c>
      <c r="H324" s="4">
        <v>2</v>
      </c>
      <c r="I324" s="5">
        <v>25215.96</v>
      </c>
      <c r="J324" s="6">
        <v>0.1</v>
      </c>
      <c r="K324" s="5">
        <v>45388.73</v>
      </c>
      <c r="L324" s="5">
        <v>35921.33</v>
      </c>
      <c r="M324" s="5">
        <v>9467.4</v>
      </c>
      <c r="N324" s="2" t="s">
        <v>20</v>
      </c>
    </row>
    <row r="325" spans="1:14" ht="12" customHeight="1">
      <c r="A325" s="2" t="s">
        <v>410</v>
      </c>
      <c r="B325" s="3">
        <v>45709</v>
      </c>
      <c r="C325" s="2" t="s">
        <v>22</v>
      </c>
      <c r="D325" s="2" t="s">
        <v>37</v>
      </c>
      <c r="E325" s="2" t="s">
        <v>49</v>
      </c>
      <c r="F325" s="2" t="s">
        <v>91</v>
      </c>
      <c r="G325" s="2" t="s">
        <v>19</v>
      </c>
      <c r="H325" s="4">
        <v>7</v>
      </c>
      <c r="I325" s="5">
        <v>6135.63</v>
      </c>
      <c r="J325" s="6">
        <v>0.1</v>
      </c>
      <c r="K325" s="5">
        <v>38654.47</v>
      </c>
      <c r="L325" s="5">
        <v>25481.119999999999</v>
      </c>
      <c r="M325" s="5">
        <v>13173.35</v>
      </c>
      <c r="N325" s="2" t="s">
        <v>33</v>
      </c>
    </row>
    <row r="326" spans="1:14" ht="12" customHeight="1">
      <c r="A326" s="2" t="s">
        <v>411</v>
      </c>
      <c r="B326" s="3">
        <v>45900</v>
      </c>
      <c r="C326" s="2" t="s">
        <v>28</v>
      </c>
      <c r="D326" s="2" t="s">
        <v>29</v>
      </c>
      <c r="E326" s="2" t="s">
        <v>30</v>
      </c>
      <c r="F326" s="2" t="s">
        <v>40</v>
      </c>
      <c r="G326" s="2" t="s">
        <v>64</v>
      </c>
      <c r="H326" s="4"/>
      <c r="I326" s="5">
        <v>24041.53</v>
      </c>
      <c r="J326" s="6">
        <v>0.05</v>
      </c>
      <c r="K326" s="5">
        <v>114197.27</v>
      </c>
      <c r="L326" s="5">
        <v>79793.289999999994</v>
      </c>
      <c r="M326" s="5">
        <v>34403.980000000003</v>
      </c>
      <c r="N326" s="2" t="s">
        <v>26</v>
      </c>
    </row>
    <row r="327" spans="1:14" ht="12" customHeight="1">
      <c r="A327" s="2" t="s">
        <v>412</v>
      </c>
      <c r="B327" s="3">
        <v>45683</v>
      </c>
      <c r="C327" s="2" t="s">
        <v>28</v>
      </c>
      <c r="D327" s="2" t="s">
        <v>56</v>
      </c>
      <c r="E327" s="2" t="s">
        <v>44</v>
      </c>
      <c r="F327" s="2" t="s">
        <v>53</v>
      </c>
      <c r="G327" s="2" t="s">
        <v>70</v>
      </c>
      <c r="H327" s="4">
        <v>1</v>
      </c>
      <c r="I327" s="5">
        <v>8358.2800000000007</v>
      </c>
      <c r="J327" s="6">
        <v>0.05</v>
      </c>
      <c r="K327" s="5">
        <v>7940.37</v>
      </c>
      <c r="L327" s="5">
        <v>4989.8500000000004</v>
      </c>
      <c r="M327" s="5">
        <v>2950.52</v>
      </c>
      <c r="N327" s="2" t="s">
        <v>59</v>
      </c>
    </row>
    <row r="328" spans="1:14" ht="12" customHeight="1">
      <c r="A328" s="2" t="s">
        <v>413</v>
      </c>
      <c r="B328" s="3">
        <v>46008</v>
      </c>
      <c r="C328" s="2" t="s">
        <v>28</v>
      </c>
      <c r="D328" s="2" t="s">
        <v>52</v>
      </c>
      <c r="E328" s="2" t="s">
        <v>30</v>
      </c>
      <c r="F328" s="2" t="s">
        <v>38</v>
      </c>
      <c r="G328" s="2" t="s">
        <v>19</v>
      </c>
      <c r="H328" s="4">
        <v>5</v>
      </c>
      <c r="I328" s="5">
        <v>26051.1</v>
      </c>
      <c r="J328" s="6">
        <v>0.05</v>
      </c>
      <c r="K328" s="5">
        <v>123742.72</v>
      </c>
      <c r="L328" s="5">
        <v>92706.880000000005</v>
      </c>
      <c r="M328" s="5">
        <v>31035.84</v>
      </c>
      <c r="N328" s="2" t="s">
        <v>26</v>
      </c>
    </row>
    <row r="329" spans="1:14" ht="12" customHeight="1">
      <c r="A329" s="2" t="s">
        <v>414</v>
      </c>
      <c r="B329" s="3">
        <v>45754</v>
      </c>
      <c r="C329" s="2" t="s">
        <v>22</v>
      </c>
      <c r="D329" s="2" t="s">
        <v>35</v>
      </c>
      <c r="E329" s="2" t="s">
        <v>49</v>
      </c>
      <c r="F329" s="2" t="s">
        <v>57</v>
      </c>
      <c r="G329" s="2" t="s">
        <v>70</v>
      </c>
      <c r="H329" s="4">
        <v>5</v>
      </c>
      <c r="I329" s="5">
        <v>11920.99</v>
      </c>
      <c r="J329" s="6">
        <v>0.1</v>
      </c>
      <c r="K329" s="5">
        <v>53644.46</v>
      </c>
      <c r="L329" s="5">
        <v>32993.64</v>
      </c>
      <c r="M329" s="5">
        <v>20650.82</v>
      </c>
      <c r="N329" s="2" t="s">
        <v>26</v>
      </c>
    </row>
    <row r="330" spans="1:14" ht="12" customHeight="1">
      <c r="A330" s="2" t="s">
        <v>415</v>
      </c>
      <c r="B330" s="3">
        <v>46021</v>
      </c>
      <c r="C330" s="2" t="s">
        <v>28</v>
      </c>
      <c r="D330" s="2" t="s">
        <v>29</v>
      </c>
      <c r="E330" s="2" t="s">
        <v>49</v>
      </c>
      <c r="F330" s="2" t="s">
        <v>57</v>
      </c>
      <c r="G330" s="2" t="s">
        <v>25</v>
      </c>
      <c r="H330" s="4">
        <v>1</v>
      </c>
      <c r="I330" s="5">
        <v>11528.1</v>
      </c>
      <c r="J330" s="6">
        <v>0</v>
      </c>
      <c r="K330" s="5">
        <v>11528.1</v>
      </c>
      <c r="L330" s="5">
        <v>6334.86</v>
      </c>
      <c r="M330" s="5">
        <v>5193.24</v>
      </c>
      <c r="N330" s="2" t="s">
        <v>26</v>
      </c>
    </row>
    <row r="331" spans="1:14" ht="12" customHeight="1">
      <c r="A331" s="2" t="s">
        <v>416</v>
      </c>
      <c r="B331" s="3">
        <v>45785</v>
      </c>
      <c r="C331" s="2" t="s">
        <v>15</v>
      </c>
      <c r="D331" s="2" t="s">
        <v>43</v>
      </c>
      <c r="E331" s="2" t="s">
        <v>17</v>
      </c>
      <c r="F331" s="2" t="s">
        <v>24</v>
      </c>
      <c r="G331" s="2" t="s">
        <v>64</v>
      </c>
      <c r="H331" s="4">
        <v>4</v>
      </c>
      <c r="I331" s="5">
        <v>97522.66</v>
      </c>
      <c r="J331" s="6">
        <v>0</v>
      </c>
      <c r="K331" s="5">
        <v>390090.64</v>
      </c>
      <c r="L331" s="5">
        <v>279776.03999999998</v>
      </c>
      <c r="M331" s="5">
        <v>110314.6</v>
      </c>
      <c r="N331" s="2" t="s">
        <v>20</v>
      </c>
    </row>
    <row r="332" spans="1:14" ht="12" customHeight="1">
      <c r="A332" s="2" t="s">
        <v>417</v>
      </c>
      <c r="B332" s="3">
        <v>45721</v>
      </c>
      <c r="C332" s="2" t="s">
        <v>22</v>
      </c>
      <c r="D332" s="2" t="s">
        <v>35</v>
      </c>
      <c r="E332" s="2" t="s">
        <v>44</v>
      </c>
      <c r="F332" s="2" t="s">
        <v>69</v>
      </c>
      <c r="G332" s="2" t="s">
        <v>64</v>
      </c>
      <c r="H332" s="4">
        <v>6</v>
      </c>
      <c r="I332" s="5">
        <v>39966.92</v>
      </c>
      <c r="J332" s="6">
        <v>0.1</v>
      </c>
      <c r="K332" s="5">
        <v>215821.37</v>
      </c>
      <c r="L332" s="5">
        <v>155654.60999999999</v>
      </c>
      <c r="M332" s="5">
        <v>60166.76</v>
      </c>
      <c r="N332" s="2" t="s">
        <v>26</v>
      </c>
    </row>
    <row r="333" spans="1:14" ht="12" customHeight="1">
      <c r="A333" s="2" t="s">
        <v>418</v>
      </c>
      <c r="B333" s="3">
        <v>45790</v>
      </c>
      <c r="C333" s="2" t="s">
        <v>28</v>
      </c>
      <c r="D333" s="2" t="s">
        <v>56</v>
      </c>
      <c r="E333" s="2" t="s">
        <v>49</v>
      </c>
      <c r="F333" s="2" t="s">
        <v>50</v>
      </c>
      <c r="G333" s="2" t="s">
        <v>19</v>
      </c>
      <c r="H333" s="4">
        <v>8</v>
      </c>
      <c r="I333" s="5">
        <v>4258.38</v>
      </c>
      <c r="J333" s="6">
        <v>0.05</v>
      </c>
      <c r="K333" s="5">
        <v>32363.69</v>
      </c>
      <c r="L333" s="5">
        <v>16700.84</v>
      </c>
      <c r="M333" s="5">
        <v>15662.85</v>
      </c>
      <c r="N333" s="2" t="s">
        <v>59</v>
      </c>
    </row>
    <row r="334" spans="1:14" ht="12" customHeight="1">
      <c r="A334" s="2" t="s">
        <v>419</v>
      </c>
      <c r="B334" s="3">
        <v>45763</v>
      </c>
      <c r="C334" s="2" t="s">
        <v>22</v>
      </c>
      <c r="D334" s="2" t="s">
        <v>35</v>
      </c>
      <c r="E334" s="2" t="s">
        <v>17</v>
      </c>
      <c r="F334" s="2" t="s">
        <v>24</v>
      </c>
      <c r="G334" s="2" t="s">
        <v>58</v>
      </c>
      <c r="H334" s="4">
        <v>4</v>
      </c>
      <c r="I334" s="5">
        <v>97256.68</v>
      </c>
      <c r="J334" s="6">
        <v>0.15</v>
      </c>
      <c r="K334" s="5">
        <v>330672.71000000002</v>
      </c>
      <c r="L334" s="5">
        <v>268126.13</v>
      </c>
      <c r="M334" s="5">
        <v>62546.58</v>
      </c>
      <c r="N334" s="2" t="s">
        <v>20</v>
      </c>
    </row>
    <row r="335" spans="1:14" ht="12" customHeight="1">
      <c r="A335" s="2" t="s">
        <v>420</v>
      </c>
      <c r="B335" s="3">
        <v>45772</v>
      </c>
      <c r="C335" s="2" t="s">
        <v>15</v>
      </c>
      <c r="D335" s="2" t="s">
        <v>16</v>
      </c>
      <c r="E335" s="2" t="s">
        <v>17</v>
      </c>
      <c r="F335" s="2" t="s">
        <v>114</v>
      </c>
      <c r="G335" s="2" t="s">
        <v>58</v>
      </c>
      <c r="H335" s="4">
        <v>3</v>
      </c>
      <c r="I335" s="5">
        <v>53226.13</v>
      </c>
      <c r="J335" s="6">
        <v>0.1</v>
      </c>
      <c r="K335" s="5">
        <v>143710.54999999999</v>
      </c>
      <c r="L335" s="5">
        <v>112353.63</v>
      </c>
      <c r="M335" s="5">
        <v>31356.92</v>
      </c>
      <c r="N335" s="2" t="s">
        <v>59</v>
      </c>
    </row>
    <row r="336" spans="1:14" ht="12" customHeight="1">
      <c r="A336" s="2" t="s">
        <v>421</v>
      </c>
      <c r="B336" s="3">
        <v>45896</v>
      </c>
      <c r="C336" s="2" t="s">
        <v>15</v>
      </c>
      <c r="D336" s="2" t="s">
        <v>43</v>
      </c>
      <c r="E336" s="2" t="s">
        <v>30</v>
      </c>
      <c r="F336" s="2" t="s">
        <v>40</v>
      </c>
      <c r="G336" s="2" t="s">
        <v>58</v>
      </c>
      <c r="H336" s="4">
        <v>7</v>
      </c>
      <c r="I336" s="5">
        <v>25878.22</v>
      </c>
      <c r="J336" s="6">
        <v>0.05</v>
      </c>
      <c r="K336" s="5">
        <v>172090.16</v>
      </c>
      <c r="L336" s="5">
        <v>109232.97</v>
      </c>
      <c r="M336" s="5">
        <v>62857.19</v>
      </c>
      <c r="N336" s="2" t="s">
        <v>20</v>
      </c>
    </row>
    <row r="337" spans="1:14" ht="12" customHeight="1">
      <c r="A337" s="2" t="s">
        <v>422</v>
      </c>
      <c r="B337" s="3">
        <v>45830</v>
      </c>
      <c r="C337" s="2" t="s">
        <v>15</v>
      </c>
      <c r="D337" s="2" t="s">
        <v>16</v>
      </c>
      <c r="E337" s="2" t="s">
        <v>17</v>
      </c>
      <c r="F337" s="2" t="s">
        <v>18</v>
      </c>
      <c r="G337" s="2" t="s">
        <v>58</v>
      </c>
      <c r="H337" s="4">
        <v>5</v>
      </c>
      <c r="I337" s="5">
        <v>14032.46</v>
      </c>
      <c r="J337" s="6">
        <v>0</v>
      </c>
      <c r="K337" s="5">
        <v>70162.3</v>
      </c>
      <c r="L337" s="5">
        <v>41152.589999999997</v>
      </c>
      <c r="M337" s="5">
        <v>29009.71</v>
      </c>
      <c r="N337" s="2" t="s">
        <v>59</v>
      </c>
    </row>
    <row r="338" spans="1:14" ht="12" customHeight="1">
      <c r="A338" s="2" t="s">
        <v>423</v>
      </c>
      <c r="B338" s="3">
        <v>45965</v>
      </c>
      <c r="C338" s="2" t="s">
        <v>28</v>
      </c>
      <c r="D338" s="2" t="s">
        <v>56</v>
      </c>
      <c r="E338" s="2" t="s">
        <v>30</v>
      </c>
      <c r="F338" s="2" t="s">
        <v>86</v>
      </c>
      <c r="G338" s="2" t="s">
        <v>25</v>
      </c>
      <c r="H338" s="4">
        <v>3</v>
      </c>
      <c r="I338" s="5">
        <v>33091.31</v>
      </c>
      <c r="J338" s="6">
        <v>0</v>
      </c>
      <c r="K338" s="5">
        <v>99273.93</v>
      </c>
      <c r="L338" s="5">
        <v>69726.02</v>
      </c>
      <c r="M338" s="5">
        <v>29547.91</v>
      </c>
      <c r="N338" s="2" t="s">
        <v>59</v>
      </c>
    </row>
    <row r="339" spans="1:14" ht="12" customHeight="1">
      <c r="A339" s="2" t="s">
        <v>424</v>
      </c>
      <c r="B339" s="3">
        <v>45676</v>
      </c>
      <c r="C339" s="2" t="s">
        <v>15</v>
      </c>
      <c r="D339" s="2" t="s">
        <v>16</v>
      </c>
      <c r="E339" s="2" t="s">
        <v>17</v>
      </c>
      <c r="F339" s="2" t="s">
        <v>114</v>
      </c>
      <c r="G339" s="2" t="s">
        <v>47</v>
      </c>
      <c r="H339" s="4">
        <v>5</v>
      </c>
      <c r="I339" s="5">
        <v>49998.43</v>
      </c>
      <c r="J339" s="6">
        <v>0.05</v>
      </c>
      <c r="K339" s="5">
        <v>237492.54</v>
      </c>
      <c r="L339" s="5">
        <v>182193.75</v>
      </c>
      <c r="M339" s="5">
        <v>55298.79</v>
      </c>
      <c r="N339" s="2" t="s">
        <v>59</v>
      </c>
    </row>
    <row r="340" spans="1:14" ht="12" customHeight="1">
      <c r="A340" s="2" t="s">
        <v>425</v>
      </c>
      <c r="B340" s="3">
        <v>45943</v>
      </c>
      <c r="C340" s="2" t="s">
        <v>15</v>
      </c>
      <c r="D340" s="2" t="s">
        <v>43</v>
      </c>
      <c r="E340" s="2" t="s">
        <v>44</v>
      </c>
      <c r="F340" s="2" t="s">
        <v>53</v>
      </c>
      <c r="G340" s="2" t="s">
        <v>61</v>
      </c>
      <c r="H340" s="4">
        <v>6</v>
      </c>
      <c r="I340" s="5">
        <v>8509.9500000000007</v>
      </c>
      <c r="J340" s="6">
        <v>0</v>
      </c>
      <c r="K340" s="5">
        <v>51059.7</v>
      </c>
      <c r="L340" s="5">
        <v>30248.03</v>
      </c>
      <c r="M340" s="5">
        <v>20811.669999999998</v>
      </c>
      <c r="N340" s="2" t="s">
        <v>59</v>
      </c>
    </row>
    <row r="341" spans="1:14" ht="12" customHeight="1">
      <c r="A341" s="2" t="s">
        <v>426</v>
      </c>
      <c r="B341" s="3">
        <v>45771</v>
      </c>
      <c r="C341" s="2" t="s">
        <v>22</v>
      </c>
      <c r="D341" s="2" t="s">
        <v>35</v>
      </c>
      <c r="E341" s="2" t="s">
        <v>44</v>
      </c>
      <c r="F341" s="2" t="s">
        <v>69</v>
      </c>
      <c r="G341" s="2" t="s">
        <v>32</v>
      </c>
      <c r="H341" s="4">
        <v>3</v>
      </c>
      <c r="I341" s="5">
        <v>40717.29</v>
      </c>
      <c r="J341" s="6">
        <v>0.05</v>
      </c>
      <c r="K341" s="5">
        <v>116044.28</v>
      </c>
      <c r="L341" s="5">
        <v>79233.210000000006</v>
      </c>
      <c r="M341" s="5">
        <v>36811.07</v>
      </c>
      <c r="N341" s="2" t="s">
        <v>26</v>
      </c>
    </row>
    <row r="342" spans="1:14" ht="12" customHeight="1">
      <c r="A342" s="2" t="s">
        <v>427</v>
      </c>
      <c r="B342" s="3">
        <v>45718</v>
      </c>
      <c r="C342" s="2" t="s">
        <v>428</v>
      </c>
      <c r="D342" s="2" t="s">
        <v>63</v>
      </c>
      <c r="E342" s="2" t="s">
        <v>49</v>
      </c>
      <c r="F342" s="2" t="s">
        <v>57</v>
      </c>
      <c r="G342" s="2" t="s">
        <v>70</v>
      </c>
      <c r="H342" s="4">
        <v>6</v>
      </c>
      <c r="I342" s="5">
        <v>11059.43</v>
      </c>
      <c r="J342" s="6">
        <v>0.05</v>
      </c>
      <c r="K342" s="5">
        <v>63038.75</v>
      </c>
      <c r="L342" s="5">
        <v>39096.07</v>
      </c>
      <c r="M342" s="5">
        <v>23942.68</v>
      </c>
      <c r="N342" s="2" t="s">
        <v>33</v>
      </c>
    </row>
    <row r="343" spans="1:14" ht="12" customHeight="1">
      <c r="A343" s="2" t="s">
        <v>429</v>
      </c>
      <c r="B343" s="3">
        <v>45810</v>
      </c>
      <c r="C343" s="2" t="s">
        <v>15</v>
      </c>
      <c r="D343" s="2" t="s">
        <v>43</v>
      </c>
      <c r="E343" s="2" t="s">
        <v>17</v>
      </c>
      <c r="F343" s="2" t="s">
        <v>114</v>
      </c>
      <c r="G343" s="2" t="s">
        <v>25</v>
      </c>
      <c r="H343" s="4">
        <v>4</v>
      </c>
      <c r="I343" s="5">
        <v>52003.97</v>
      </c>
      <c r="J343" s="6">
        <v>0.15</v>
      </c>
      <c r="K343" s="5">
        <v>176813.5</v>
      </c>
      <c r="L343" s="5">
        <v>145520.66</v>
      </c>
      <c r="M343" s="5">
        <v>31292.84</v>
      </c>
      <c r="N343" s="2" t="s">
        <v>33</v>
      </c>
    </row>
    <row r="344" spans="1:14" ht="12" customHeight="1">
      <c r="A344" s="2" t="s">
        <v>430</v>
      </c>
      <c r="B344" s="3">
        <v>45750</v>
      </c>
      <c r="C344" s="2" t="s">
        <v>22</v>
      </c>
      <c r="D344" s="2" t="s">
        <v>23</v>
      </c>
      <c r="E344" s="2" t="s">
        <v>44</v>
      </c>
      <c r="F344" s="2" t="s">
        <v>69</v>
      </c>
      <c r="G344" s="2" t="s">
        <v>19</v>
      </c>
      <c r="H344" s="4">
        <v>7</v>
      </c>
      <c r="I344" s="5">
        <v>40962.120000000003</v>
      </c>
      <c r="J344" s="6">
        <v>0.05</v>
      </c>
      <c r="K344" s="5">
        <v>272398.09999999998</v>
      </c>
      <c r="L344" s="5">
        <v>178364.68</v>
      </c>
      <c r="M344" s="5">
        <v>94033.42</v>
      </c>
      <c r="N344" s="2" t="s">
        <v>20</v>
      </c>
    </row>
    <row r="345" spans="1:14" ht="12" customHeight="1">
      <c r="A345" s="2" t="s">
        <v>431</v>
      </c>
      <c r="B345" s="3">
        <v>45744</v>
      </c>
      <c r="C345" s="2" t="s">
        <v>28</v>
      </c>
      <c r="D345" s="2" t="s">
        <v>29</v>
      </c>
      <c r="E345" s="2" t="s">
        <v>44</v>
      </c>
      <c r="F345" s="2" t="s">
        <v>69</v>
      </c>
      <c r="G345" s="2" t="s">
        <v>61</v>
      </c>
      <c r="H345" s="4">
        <v>1</v>
      </c>
      <c r="I345" s="5">
        <v>34988.660000000003</v>
      </c>
      <c r="J345" s="6">
        <v>0.05</v>
      </c>
      <c r="K345" s="5">
        <v>33239.230000000003</v>
      </c>
      <c r="L345" s="5">
        <v>25601.08</v>
      </c>
      <c r="M345" s="5">
        <v>7638.15</v>
      </c>
      <c r="N345" s="2" t="s">
        <v>20</v>
      </c>
    </row>
    <row r="346" spans="1:14" ht="12" customHeight="1">
      <c r="A346" s="2" t="s">
        <v>432</v>
      </c>
      <c r="B346" s="3">
        <v>45677</v>
      </c>
      <c r="C346" s="2" t="s">
        <v>22</v>
      </c>
      <c r="D346" s="2" t="s">
        <v>23</v>
      </c>
      <c r="E346" s="2" t="s">
        <v>49</v>
      </c>
      <c r="F346" s="2" t="s">
        <v>107</v>
      </c>
      <c r="G346" s="2" t="s">
        <v>47</v>
      </c>
      <c r="H346" s="4">
        <v>7</v>
      </c>
      <c r="I346" s="5">
        <v>5140.95</v>
      </c>
      <c r="J346" s="6">
        <v>0.05</v>
      </c>
      <c r="K346" s="5">
        <v>34187.32</v>
      </c>
      <c r="L346" s="5">
        <v>18840.13</v>
      </c>
      <c r="M346" s="5">
        <v>15347.19</v>
      </c>
      <c r="N346" s="2" t="s">
        <v>59</v>
      </c>
    </row>
    <row r="347" spans="1:14" ht="12" customHeight="1">
      <c r="A347" s="2" t="s">
        <v>433</v>
      </c>
      <c r="B347" s="3">
        <v>45834</v>
      </c>
      <c r="C347" s="2" t="s">
        <v>22</v>
      </c>
      <c r="D347" s="2" t="s">
        <v>35</v>
      </c>
      <c r="E347" s="2" t="s">
        <v>44</v>
      </c>
      <c r="F347" s="2" t="s">
        <v>80</v>
      </c>
      <c r="G347" s="2" t="s">
        <v>58</v>
      </c>
      <c r="H347" s="4">
        <v>1</v>
      </c>
      <c r="I347" s="5">
        <v>43871.61</v>
      </c>
      <c r="J347" s="6">
        <v>0</v>
      </c>
      <c r="K347" s="5">
        <v>43871.61</v>
      </c>
      <c r="L347" s="5">
        <v>30561</v>
      </c>
      <c r="M347" s="5">
        <v>13310.61</v>
      </c>
      <c r="N347" s="2" t="s">
        <v>26</v>
      </c>
    </row>
    <row r="348" spans="1:14" ht="12" customHeight="1">
      <c r="A348" s="2" t="s">
        <v>434</v>
      </c>
      <c r="B348" s="3">
        <v>45891</v>
      </c>
      <c r="C348" s="2" t="s">
        <v>22</v>
      </c>
      <c r="D348" s="2" t="s">
        <v>35</v>
      </c>
      <c r="E348" s="2" t="s">
        <v>30</v>
      </c>
      <c r="F348" s="2" t="s">
        <v>86</v>
      </c>
      <c r="G348" s="2" t="s">
        <v>32</v>
      </c>
      <c r="H348" s="4">
        <v>2</v>
      </c>
      <c r="I348" s="5">
        <v>34709.9</v>
      </c>
      <c r="J348" s="6">
        <v>0.05</v>
      </c>
      <c r="K348" s="5">
        <v>65948.81</v>
      </c>
      <c r="L348" s="5">
        <v>46637.66</v>
      </c>
      <c r="M348" s="5">
        <v>19311.150000000001</v>
      </c>
      <c r="N348" s="2" t="s">
        <v>20</v>
      </c>
    </row>
    <row r="349" spans="1:14" ht="12" customHeight="1">
      <c r="A349" s="2" t="s">
        <v>435</v>
      </c>
      <c r="B349" s="3">
        <v>45864</v>
      </c>
      <c r="C349" s="2" t="s">
        <v>15</v>
      </c>
      <c r="D349" s="2" t="s">
        <v>16</v>
      </c>
      <c r="E349" s="2" t="s">
        <v>30</v>
      </c>
      <c r="F349" s="2" t="s">
        <v>40</v>
      </c>
      <c r="G349" s="2" t="s">
        <v>64</v>
      </c>
      <c r="H349" s="4">
        <v>6</v>
      </c>
      <c r="I349" s="5">
        <v>25480.45</v>
      </c>
      <c r="J349" s="6">
        <v>0</v>
      </c>
      <c r="K349" s="5">
        <v>152882.70000000001</v>
      </c>
      <c r="L349" s="5">
        <v>98247.49</v>
      </c>
      <c r="M349" s="5">
        <v>54635.21</v>
      </c>
      <c r="N349" s="2" t="s">
        <v>26</v>
      </c>
    </row>
    <row r="350" spans="1:14" ht="12" customHeight="1">
      <c r="A350" s="2" t="s">
        <v>436</v>
      </c>
      <c r="B350" s="3">
        <v>46022</v>
      </c>
      <c r="C350" s="2" t="s">
        <v>22</v>
      </c>
      <c r="D350" s="2"/>
      <c r="E350" s="2" t="s">
        <v>44</v>
      </c>
      <c r="F350" s="2" t="s">
        <v>45</v>
      </c>
      <c r="G350" s="2" t="s">
        <v>64</v>
      </c>
      <c r="H350" s="4">
        <v>1</v>
      </c>
      <c r="I350" s="5">
        <v>28909</v>
      </c>
      <c r="J350" s="6">
        <v>0</v>
      </c>
      <c r="K350" s="5">
        <v>28909</v>
      </c>
      <c r="L350" s="5">
        <v>18593.810000000001</v>
      </c>
      <c r="M350" s="5">
        <v>10315.19</v>
      </c>
      <c r="N350" s="2" t="s">
        <v>20</v>
      </c>
    </row>
    <row r="351" spans="1:14" ht="12" customHeight="1">
      <c r="A351" s="2" t="s">
        <v>437</v>
      </c>
      <c r="B351" s="3">
        <v>45717</v>
      </c>
      <c r="C351" s="2" t="s">
        <v>15</v>
      </c>
      <c r="D351" s="2" t="s">
        <v>63</v>
      </c>
      <c r="E351" s="2" t="s">
        <v>17</v>
      </c>
      <c r="F351" s="2" t="s">
        <v>75</v>
      </c>
      <c r="G351" s="2" t="s">
        <v>25</v>
      </c>
      <c r="H351" s="4">
        <v>2</v>
      </c>
      <c r="I351" s="5">
        <v>189545.60000000001</v>
      </c>
      <c r="J351" s="6">
        <v>0</v>
      </c>
      <c r="K351" s="5">
        <v>379091.20000000001</v>
      </c>
      <c r="L351" s="5">
        <v>276438.90999999997</v>
      </c>
      <c r="M351" s="5">
        <v>102652.29</v>
      </c>
      <c r="N351" s="2" t="s">
        <v>20</v>
      </c>
    </row>
    <row r="352" spans="1:14" ht="12" customHeight="1">
      <c r="A352" s="2" t="s">
        <v>438</v>
      </c>
      <c r="B352" s="3">
        <v>45812</v>
      </c>
      <c r="C352" s="2" t="s">
        <v>402</v>
      </c>
      <c r="D352" s="2" t="s">
        <v>52</v>
      </c>
      <c r="E352" s="2" t="s">
        <v>30</v>
      </c>
      <c r="F352" s="2" t="s">
        <v>40</v>
      </c>
      <c r="G352" s="2" t="s">
        <v>25</v>
      </c>
      <c r="H352" s="4">
        <v>3</v>
      </c>
      <c r="I352" s="5">
        <v>23345.54</v>
      </c>
      <c r="J352" s="6">
        <v>0.15</v>
      </c>
      <c r="K352" s="5">
        <v>59531.13</v>
      </c>
      <c r="L352" s="5">
        <v>48069.37</v>
      </c>
      <c r="M352" s="5">
        <v>11461.76</v>
      </c>
      <c r="N352" s="2" t="s">
        <v>33</v>
      </c>
    </row>
    <row r="353" spans="1:14" ht="12" customHeight="1">
      <c r="A353" s="2" t="s">
        <v>439</v>
      </c>
      <c r="B353" s="3">
        <v>45974</v>
      </c>
      <c r="C353" s="2" t="s">
        <v>15</v>
      </c>
      <c r="D353" s="2" t="s">
        <v>43</v>
      </c>
      <c r="E353" s="2" t="s">
        <v>30</v>
      </c>
      <c r="F353" s="2" t="s">
        <v>86</v>
      </c>
      <c r="G353" s="2" t="s">
        <v>19</v>
      </c>
      <c r="H353" s="4">
        <v>7</v>
      </c>
      <c r="I353" s="5">
        <v>34745.85</v>
      </c>
      <c r="J353" s="6">
        <v>0</v>
      </c>
      <c r="K353" s="5">
        <v>243220.95</v>
      </c>
      <c r="L353" s="5">
        <v>158415.22</v>
      </c>
      <c r="M353" s="5">
        <v>84805.73</v>
      </c>
      <c r="N353" s="2" t="s">
        <v>59</v>
      </c>
    </row>
    <row r="354" spans="1:14" ht="12" customHeight="1">
      <c r="A354" s="2" t="s">
        <v>440</v>
      </c>
      <c r="B354" s="3">
        <v>45841</v>
      </c>
      <c r="C354" s="2" t="s">
        <v>22</v>
      </c>
      <c r="D354" s="2" t="s">
        <v>23</v>
      </c>
      <c r="E354" s="2" t="s">
        <v>49</v>
      </c>
      <c r="F354" s="2" t="s">
        <v>50</v>
      </c>
      <c r="G354" s="2" t="s">
        <v>25</v>
      </c>
      <c r="H354" s="4">
        <v>4</v>
      </c>
      <c r="I354" s="5">
        <v>4386.79</v>
      </c>
      <c r="J354" s="6">
        <v>0.1</v>
      </c>
      <c r="K354" s="5">
        <v>15792.44</v>
      </c>
      <c r="L354" s="5">
        <v>8720.19</v>
      </c>
      <c r="M354" s="5">
        <v>7072.25</v>
      </c>
      <c r="N354" s="2" t="s">
        <v>59</v>
      </c>
    </row>
    <row r="355" spans="1:14" ht="12" customHeight="1">
      <c r="A355" s="2" t="s">
        <v>441</v>
      </c>
      <c r="B355" s="3">
        <v>45703</v>
      </c>
      <c r="C355" s="2" t="s">
        <v>22</v>
      </c>
      <c r="D355" s="2" t="s">
        <v>23</v>
      </c>
      <c r="E355" s="2" t="s">
        <v>49</v>
      </c>
      <c r="F355" s="2" t="s">
        <v>50</v>
      </c>
      <c r="G355" s="2" t="s">
        <v>19</v>
      </c>
      <c r="H355" s="4">
        <v>8</v>
      </c>
      <c r="I355" s="5">
        <v>4086.17</v>
      </c>
      <c r="J355" s="6">
        <v>0</v>
      </c>
      <c r="K355" s="5">
        <v>32689.360000000001</v>
      </c>
      <c r="L355" s="5">
        <v>16310.99</v>
      </c>
      <c r="M355" s="5">
        <v>16378.37</v>
      </c>
      <c r="N355" s="2" t="s">
        <v>20</v>
      </c>
    </row>
    <row r="356" spans="1:14" ht="12" customHeight="1">
      <c r="A356" s="2" t="s">
        <v>442</v>
      </c>
      <c r="B356" s="3">
        <v>45809</v>
      </c>
      <c r="C356" s="2" t="s">
        <v>22</v>
      </c>
      <c r="D356" s="2" t="s">
        <v>23</v>
      </c>
      <c r="E356" s="2" t="s">
        <v>17</v>
      </c>
      <c r="F356" s="2" t="s">
        <v>75</v>
      </c>
      <c r="G356" s="2" t="s">
        <v>58</v>
      </c>
      <c r="H356" s="4">
        <v>5</v>
      </c>
      <c r="I356" s="5">
        <v>189272.37</v>
      </c>
      <c r="J356" s="6">
        <v>0.05</v>
      </c>
      <c r="K356" s="5">
        <v>899043.76</v>
      </c>
      <c r="L356" s="5">
        <v>737836.7</v>
      </c>
      <c r="M356" s="5">
        <v>161207.06</v>
      </c>
      <c r="N356" s="2" t="s">
        <v>20</v>
      </c>
    </row>
    <row r="357" spans="1:14" ht="12" customHeight="1">
      <c r="A357" s="2" t="s">
        <v>443</v>
      </c>
      <c r="B357" s="3">
        <v>45717</v>
      </c>
      <c r="C357" s="2" t="s">
        <v>22</v>
      </c>
      <c r="D357" s="2" t="s">
        <v>23</v>
      </c>
      <c r="E357" s="2" t="s">
        <v>44</v>
      </c>
      <c r="F357" s="2" t="s">
        <v>80</v>
      </c>
      <c r="G357" s="2" t="s">
        <v>19</v>
      </c>
      <c r="H357" s="4">
        <v>5</v>
      </c>
      <c r="I357" s="5">
        <v>42038.28</v>
      </c>
      <c r="J357" s="6">
        <v>0.15</v>
      </c>
      <c r="K357" s="5">
        <v>178662.69</v>
      </c>
      <c r="L357" s="5">
        <v>153742.87</v>
      </c>
      <c r="M357" s="5">
        <v>24919.82</v>
      </c>
      <c r="N357" s="2" t="s">
        <v>33</v>
      </c>
    </row>
    <row r="358" spans="1:14" ht="12" customHeight="1">
      <c r="A358" s="2" t="s">
        <v>444</v>
      </c>
      <c r="B358" s="3">
        <v>45705</v>
      </c>
      <c r="C358" s="2" t="s">
        <v>22</v>
      </c>
      <c r="D358" s="2" t="s">
        <v>23</v>
      </c>
      <c r="E358" s="2" t="s">
        <v>44</v>
      </c>
      <c r="F358" s="2" t="s">
        <v>69</v>
      </c>
      <c r="G358" s="2" t="s">
        <v>32</v>
      </c>
      <c r="H358" s="4">
        <v>6</v>
      </c>
      <c r="I358" s="5">
        <v>40398.730000000003</v>
      </c>
      <c r="J358" s="6">
        <v>0.1</v>
      </c>
      <c r="K358" s="5">
        <v>218153.14</v>
      </c>
      <c r="L358" s="5">
        <v>154249.94</v>
      </c>
      <c r="M358" s="5">
        <v>63903.199999999997</v>
      </c>
      <c r="N358" s="2" t="s">
        <v>59</v>
      </c>
    </row>
    <row r="359" spans="1:14" ht="12" customHeight="1">
      <c r="A359" s="2" t="s">
        <v>445</v>
      </c>
      <c r="B359" s="3">
        <v>45902</v>
      </c>
      <c r="C359" s="2" t="s">
        <v>22</v>
      </c>
      <c r="D359" s="2" t="s">
        <v>23</v>
      </c>
      <c r="E359" s="2" t="s">
        <v>49</v>
      </c>
      <c r="F359" s="2" t="s">
        <v>107</v>
      </c>
      <c r="G359" s="2" t="s">
        <v>25</v>
      </c>
      <c r="H359" s="4">
        <v>8</v>
      </c>
      <c r="I359" s="5">
        <v>5010.17</v>
      </c>
      <c r="J359" s="6">
        <v>0.05</v>
      </c>
      <c r="K359" s="5">
        <v>38077.29</v>
      </c>
      <c r="L359" s="5">
        <v>21995.13</v>
      </c>
      <c r="M359" s="5">
        <v>16082.16</v>
      </c>
      <c r="N359" s="2" t="s">
        <v>26</v>
      </c>
    </row>
    <row r="360" spans="1:14" ht="12" customHeight="1">
      <c r="A360" s="2" t="s">
        <v>446</v>
      </c>
      <c r="B360" s="3">
        <v>45949</v>
      </c>
      <c r="C360" s="2" t="s">
        <v>301</v>
      </c>
      <c r="D360" s="2" t="s">
        <v>23</v>
      </c>
      <c r="E360" s="2" t="s">
        <v>17</v>
      </c>
      <c r="F360" s="2" t="s">
        <v>24</v>
      </c>
      <c r="G360" s="2" t="s">
        <v>70</v>
      </c>
      <c r="H360" s="4">
        <v>2</v>
      </c>
      <c r="I360" s="5">
        <v>90763.93</v>
      </c>
      <c r="J360" s="6">
        <v>0.1</v>
      </c>
      <c r="K360" s="5">
        <v>163375.07</v>
      </c>
      <c r="L360" s="5">
        <v>136515.06</v>
      </c>
      <c r="M360" s="5">
        <v>26860.01</v>
      </c>
      <c r="N360" s="2" t="s">
        <v>26</v>
      </c>
    </row>
    <row r="361" spans="1:14" ht="12" customHeight="1">
      <c r="A361" s="2" t="s">
        <v>447</v>
      </c>
      <c r="B361" s="3">
        <v>45868</v>
      </c>
      <c r="C361" s="2" t="s">
        <v>15</v>
      </c>
      <c r="D361" s="2" t="s">
        <v>63</v>
      </c>
      <c r="E361" s="2" t="s">
        <v>30</v>
      </c>
      <c r="F361" s="2" t="s">
        <v>31</v>
      </c>
      <c r="G361" s="2" t="s">
        <v>70</v>
      </c>
      <c r="H361" s="4">
        <v>3</v>
      </c>
      <c r="I361" s="5">
        <v>134634.51999999999</v>
      </c>
      <c r="J361" s="6">
        <v>0.05</v>
      </c>
      <c r="K361" s="5">
        <v>383708.38</v>
      </c>
      <c r="L361" s="5">
        <v>296305.40000000002</v>
      </c>
      <c r="M361" s="5">
        <v>87402.98</v>
      </c>
      <c r="N361" s="2" t="s">
        <v>155</v>
      </c>
    </row>
    <row r="362" spans="1:14" ht="12" customHeight="1">
      <c r="A362" s="2" t="s">
        <v>448</v>
      </c>
      <c r="B362" s="3">
        <v>45923</v>
      </c>
      <c r="C362" s="2" t="s">
        <v>22</v>
      </c>
      <c r="D362" s="2" t="s">
        <v>35</v>
      </c>
      <c r="E362" s="2" t="s">
        <v>30</v>
      </c>
      <c r="F362" s="2" t="s">
        <v>31</v>
      </c>
      <c r="G362" s="2" t="s">
        <v>19</v>
      </c>
      <c r="H362" s="4">
        <v>4</v>
      </c>
      <c r="I362" s="5">
        <v>145322.54</v>
      </c>
      <c r="J362" s="6">
        <v>0.15</v>
      </c>
      <c r="K362" s="5">
        <v>494096.64000000001</v>
      </c>
      <c r="L362" s="5">
        <v>416572.5</v>
      </c>
      <c r="M362" s="5">
        <v>77524.14</v>
      </c>
      <c r="N362" s="2" t="s">
        <v>20</v>
      </c>
    </row>
    <row r="363" spans="1:14" ht="12" customHeight="1">
      <c r="A363" s="2" t="s">
        <v>449</v>
      </c>
      <c r="B363" s="3">
        <v>45943</v>
      </c>
      <c r="C363" s="2" t="s">
        <v>15</v>
      </c>
      <c r="D363" s="2" t="s">
        <v>43</v>
      </c>
      <c r="E363" s="2" t="s">
        <v>44</v>
      </c>
      <c r="F363" s="2" t="s">
        <v>53</v>
      </c>
      <c r="G363" s="2" t="s">
        <v>64</v>
      </c>
      <c r="H363" s="4">
        <v>6</v>
      </c>
      <c r="I363" s="5">
        <v>8722.65</v>
      </c>
      <c r="J363" s="6">
        <v>0.15</v>
      </c>
      <c r="K363" s="5">
        <v>44485.51</v>
      </c>
      <c r="L363" s="5">
        <v>29310.080000000002</v>
      </c>
      <c r="M363" s="5">
        <v>15175.43</v>
      </c>
      <c r="N363" s="2" t="s">
        <v>33</v>
      </c>
    </row>
    <row r="364" spans="1:14" ht="12" customHeight="1">
      <c r="A364" s="2" t="s">
        <v>450</v>
      </c>
      <c r="B364" s="3">
        <v>45827</v>
      </c>
      <c r="C364" s="2" t="s">
        <v>15</v>
      </c>
      <c r="D364" s="2" t="s">
        <v>16</v>
      </c>
      <c r="E364" s="2" t="s">
        <v>49</v>
      </c>
      <c r="F364" s="2" t="s">
        <v>107</v>
      </c>
      <c r="G364" s="2" t="s">
        <v>58</v>
      </c>
      <c r="H364" s="4">
        <v>3</v>
      </c>
      <c r="I364" s="5">
        <v>4846.29</v>
      </c>
      <c r="J364" s="6">
        <v>0.05</v>
      </c>
      <c r="K364" s="5">
        <v>13811.93</v>
      </c>
      <c r="L364" s="5">
        <v>8038.8</v>
      </c>
      <c r="M364" s="5">
        <v>5773.13</v>
      </c>
      <c r="N364" s="2" t="s">
        <v>33</v>
      </c>
    </row>
    <row r="365" spans="1:14" ht="12" customHeight="1">
      <c r="A365" s="2" t="s">
        <v>451</v>
      </c>
      <c r="B365" s="3" t="s">
        <v>452</v>
      </c>
      <c r="C365" s="2" t="s">
        <v>15</v>
      </c>
      <c r="D365" s="2" t="s">
        <v>16</v>
      </c>
      <c r="E365" s="2" t="s">
        <v>49</v>
      </c>
      <c r="F365" s="2" t="s">
        <v>107</v>
      </c>
      <c r="G365" s="2" t="s">
        <v>19</v>
      </c>
      <c r="H365" s="4">
        <v>4</v>
      </c>
      <c r="I365" s="5">
        <v>4849.59</v>
      </c>
      <c r="J365" s="6">
        <v>0.05</v>
      </c>
      <c r="K365" s="5">
        <v>18428.439999999999</v>
      </c>
      <c r="L365" s="5">
        <v>11081.75</v>
      </c>
      <c r="M365" s="5">
        <v>7346.69</v>
      </c>
      <c r="N365" s="2" t="s">
        <v>20</v>
      </c>
    </row>
    <row r="366" spans="1:14" ht="12" customHeight="1">
      <c r="A366" s="2" t="s">
        <v>453</v>
      </c>
      <c r="B366" s="3">
        <v>45939</v>
      </c>
      <c r="C366" s="2" t="s">
        <v>28</v>
      </c>
      <c r="D366" s="2" t="s">
        <v>56</v>
      </c>
      <c r="E366" s="2" t="s">
        <v>17</v>
      </c>
      <c r="F366" s="2" t="s">
        <v>114</v>
      </c>
      <c r="G366" s="2" t="s">
        <v>64</v>
      </c>
      <c r="H366" s="4">
        <v>1</v>
      </c>
      <c r="I366" s="5">
        <v>48693.99</v>
      </c>
      <c r="J366" s="6">
        <v>0.05</v>
      </c>
      <c r="K366" s="5">
        <v>46259.29</v>
      </c>
      <c r="L366" s="5">
        <v>35496.550000000003</v>
      </c>
      <c r="M366" s="5">
        <v>10762.74</v>
      </c>
      <c r="N366" s="2" t="s">
        <v>33</v>
      </c>
    </row>
    <row r="367" spans="1:14" ht="12" customHeight="1">
      <c r="A367" s="2" t="s">
        <v>454</v>
      </c>
      <c r="B367" s="3">
        <v>45772</v>
      </c>
      <c r="C367" s="2" t="s">
        <v>15</v>
      </c>
      <c r="D367" s="2" t="s">
        <v>43</v>
      </c>
      <c r="E367" s="2" t="s">
        <v>30</v>
      </c>
      <c r="F367" s="2" t="s">
        <v>86</v>
      </c>
      <c r="G367" s="2" t="s">
        <v>70</v>
      </c>
      <c r="H367" s="4">
        <v>8</v>
      </c>
      <c r="I367" s="5">
        <v>35377.879999999997</v>
      </c>
      <c r="J367" s="6">
        <v>0.05</v>
      </c>
      <c r="K367" s="5">
        <v>268871.89</v>
      </c>
      <c r="L367" s="5">
        <v>184998.92</v>
      </c>
      <c r="M367" s="5">
        <v>83872.97</v>
      </c>
      <c r="N367" s="2" t="s">
        <v>59</v>
      </c>
    </row>
    <row r="368" spans="1:14" ht="12" customHeight="1">
      <c r="A368" s="2" t="s">
        <v>455</v>
      </c>
      <c r="B368" s="3">
        <v>45832</v>
      </c>
      <c r="C368" s="2" t="s">
        <v>15</v>
      </c>
      <c r="D368" s="2" t="s">
        <v>43</v>
      </c>
      <c r="E368" s="2" t="s">
        <v>49</v>
      </c>
      <c r="F368" s="2" t="s">
        <v>57</v>
      </c>
      <c r="G368" s="2" t="s">
        <v>32</v>
      </c>
      <c r="H368" s="4">
        <v>8</v>
      </c>
      <c r="I368" s="5">
        <v>10789.8</v>
      </c>
      <c r="J368" s="6">
        <v>0.15</v>
      </c>
      <c r="K368" s="5">
        <v>73370.64</v>
      </c>
      <c r="L368" s="5">
        <v>51247.16</v>
      </c>
      <c r="M368" s="5">
        <v>22123.48</v>
      </c>
      <c r="N368" s="2" t="s">
        <v>59</v>
      </c>
    </row>
    <row r="369" spans="1:14" ht="12" customHeight="1">
      <c r="A369" s="2" t="s">
        <v>456</v>
      </c>
      <c r="B369" s="3">
        <v>45867</v>
      </c>
      <c r="C369" s="2" t="s">
        <v>15</v>
      </c>
      <c r="D369" s="2" t="s">
        <v>43</v>
      </c>
      <c r="E369" s="2" t="s">
        <v>30</v>
      </c>
      <c r="F369" s="2" t="s">
        <v>31</v>
      </c>
      <c r="G369" s="2" t="s">
        <v>19</v>
      </c>
      <c r="H369" s="4">
        <v>1</v>
      </c>
      <c r="I369" s="5">
        <v>143572.54999999999</v>
      </c>
      <c r="J369" s="6">
        <v>0.05</v>
      </c>
      <c r="K369" s="5">
        <v>136393.92000000001</v>
      </c>
      <c r="L369" s="5">
        <v>98962.98</v>
      </c>
      <c r="M369" s="5">
        <v>37430.94</v>
      </c>
      <c r="N369" s="2" t="s">
        <v>59</v>
      </c>
    </row>
    <row r="370" spans="1:14" ht="12" customHeight="1">
      <c r="A370" s="2" t="s">
        <v>457</v>
      </c>
      <c r="B370" s="3">
        <v>45713</v>
      </c>
      <c r="C370" s="2" t="s">
        <v>15</v>
      </c>
      <c r="D370" s="2" t="s">
        <v>16</v>
      </c>
      <c r="E370" s="2" t="s">
        <v>44</v>
      </c>
      <c r="F370" s="2" t="s">
        <v>80</v>
      </c>
      <c r="G370" s="2" t="s">
        <v>25</v>
      </c>
      <c r="H370" s="4">
        <v>7</v>
      </c>
      <c r="I370" s="5">
        <v>41043.26</v>
      </c>
      <c r="J370" s="6">
        <v>0</v>
      </c>
      <c r="K370" s="5">
        <v>287302.82</v>
      </c>
      <c r="L370" s="5">
        <v>221378.01</v>
      </c>
      <c r="M370" s="5">
        <v>65924.81</v>
      </c>
      <c r="N370" s="2" t="s">
        <v>33</v>
      </c>
    </row>
    <row r="371" spans="1:14" ht="12" customHeight="1">
      <c r="A371" s="2" t="s">
        <v>458</v>
      </c>
      <c r="B371" s="3">
        <v>45913</v>
      </c>
      <c r="C371" s="2" t="s">
        <v>15</v>
      </c>
      <c r="D371" s="2" t="s">
        <v>43</v>
      </c>
      <c r="E371" s="2" t="s">
        <v>17</v>
      </c>
      <c r="F371" s="2" t="s">
        <v>114</v>
      </c>
      <c r="G371" s="2" t="s">
        <v>64</v>
      </c>
      <c r="H371" s="4">
        <v>8</v>
      </c>
      <c r="I371" s="5">
        <v>53318.36</v>
      </c>
      <c r="J371" s="6">
        <v>0.1</v>
      </c>
      <c r="K371" s="5">
        <v>383892.19</v>
      </c>
      <c r="L371" s="5">
        <v>285991.96000000002</v>
      </c>
      <c r="M371" s="5">
        <v>97900.23</v>
      </c>
      <c r="N371" s="2" t="s">
        <v>33</v>
      </c>
    </row>
    <row r="372" spans="1:14" ht="12" customHeight="1">
      <c r="A372" s="2" t="s">
        <v>459</v>
      </c>
      <c r="B372" s="3">
        <v>45994</v>
      </c>
      <c r="C372" s="2" t="s">
        <v>15</v>
      </c>
      <c r="D372" s="2" t="s">
        <v>63</v>
      </c>
      <c r="E372" s="2" t="s">
        <v>49</v>
      </c>
      <c r="F372" s="2" t="s">
        <v>50</v>
      </c>
      <c r="G372" s="2" t="s">
        <v>32</v>
      </c>
      <c r="H372" s="4">
        <v>3</v>
      </c>
      <c r="I372" s="5">
        <v>4354.8900000000003</v>
      </c>
      <c r="J372" s="6">
        <v>0</v>
      </c>
      <c r="K372" s="5">
        <v>13064.67</v>
      </c>
      <c r="L372" s="5">
        <v>6156.67</v>
      </c>
      <c r="M372" s="5">
        <v>6908</v>
      </c>
      <c r="N372" s="2" t="s">
        <v>20</v>
      </c>
    </row>
    <row r="373" spans="1:14" ht="12" customHeight="1">
      <c r="A373" s="2" t="s">
        <v>460</v>
      </c>
      <c r="B373" s="3">
        <v>45726</v>
      </c>
      <c r="C373" s="2" t="s">
        <v>28</v>
      </c>
      <c r="D373" s="2" t="s">
        <v>29</v>
      </c>
      <c r="E373" s="2" t="s">
        <v>44</v>
      </c>
      <c r="F373" s="2" t="s">
        <v>69</v>
      </c>
      <c r="G373" s="2" t="s">
        <v>61</v>
      </c>
      <c r="H373" s="4">
        <v>7</v>
      </c>
      <c r="I373" s="5">
        <v>40818.65</v>
      </c>
      <c r="J373" s="6">
        <v>0.05</v>
      </c>
      <c r="K373" s="5">
        <v>271444.02</v>
      </c>
      <c r="L373" s="5">
        <v>182309.25</v>
      </c>
      <c r="M373" s="5">
        <v>89134.77</v>
      </c>
      <c r="N373" s="2" t="s">
        <v>20</v>
      </c>
    </row>
    <row r="374" spans="1:14" ht="12" customHeight="1">
      <c r="A374" s="2" t="s">
        <v>461</v>
      </c>
      <c r="B374" s="3">
        <v>46009</v>
      </c>
      <c r="C374" s="2" t="s">
        <v>15</v>
      </c>
      <c r="D374" s="2" t="s">
        <v>43</v>
      </c>
      <c r="E374" s="2" t="s">
        <v>30</v>
      </c>
      <c r="F374" s="2" t="s">
        <v>38</v>
      </c>
      <c r="G374" s="2" t="s">
        <v>32</v>
      </c>
      <c r="H374" s="4">
        <v>4</v>
      </c>
      <c r="I374" s="5">
        <v>25707.84</v>
      </c>
      <c r="J374" s="6">
        <v>0.1</v>
      </c>
      <c r="K374" s="5">
        <v>92548.22</v>
      </c>
      <c r="L374" s="5">
        <v>73440.5</v>
      </c>
      <c r="M374" s="5">
        <v>19107.72</v>
      </c>
      <c r="N374" s="2" t="s">
        <v>26</v>
      </c>
    </row>
    <row r="375" spans="1:14" ht="12" customHeight="1">
      <c r="A375" s="2" t="s">
        <v>462</v>
      </c>
      <c r="B375" s="3">
        <v>45950</v>
      </c>
      <c r="C375" s="2" t="s">
        <v>15</v>
      </c>
      <c r="D375" s="2" t="s">
        <v>43</v>
      </c>
      <c r="E375" s="2" t="s">
        <v>44</v>
      </c>
      <c r="F375" s="2" t="s">
        <v>69</v>
      </c>
      <c r="G375" s="2" t="s">
        <v>25</v>
      </c>
      <c r="H375" s="4">
        <v>2</v>
      </c>
      <c r="I375" s="5">
        <v>39585.51</v>
      </c>
      <c r="J375" s="6">
        <v>0.1</v>
      </c>
      <c r="K375" s="5">
        <v>71253.919999999998</v>
      </c>
      <c r="L375" s="5">
        <v>52188.55</v>
      </c>
      <c r="M375" s="5">
        <v>19065.37</v>
      </c>
      <c r="N375" s="2" t="s">
        <v>59</v>
      </c>
    </row>
    <row r="376" spans="1:14" ht="12" customHeight="1">
      <c r="A376" s="2" t="s">
        <v>463</v>
      </c>
      <c r="B376" s="3">
        <v>45794</v>
      </c>
      <c r="C376" s="2" t="s">
        <v>28</v>
      </c>
      <c r="D376" s="2" t="s">
        <v>52</v>
      </c>
      <c r="E376" s="2" t="s">
        <v>17</v>
      </c>
      <c r="F376" s="2" t="s">
        <v>75</v>
      </c>
      <c r="G376" s="2" t="s">
        <v>61</v>
      </c>
      <c r="H376" s="4">
        <v>7</v>
      </c>
      <c r="I376" s="5">
        <v>174501.67</v>
      </c>
      <c r="J376" s="6">
        <v>0.15</v>
      </c>
      <c r="K376" s="5">
        <v>1038284.94</v>
      </c>
      <c r="L376" s="5">
        <v>968118.56</v>
      </c>
      <c r="M376" s="5">
        <v>70166.38</v>
      </c>
      <c r="N376" s="2" t="s">
        <v>59</v>
      </c>
    </row>
    <row r="377" spans="1:14" ht="12" customHeight="1">
      <c r="A377" s="2" t="s">
        <v>464</v>
      </c>
      <c r="B377" s="3">
        <v>45889</v>
      </c>
      <c r="C377" s="2" t="s">
        <v>15</v>
      </c>
      <c r="D377" s="2" t="s">
        <v>63</v>
      </c>
      <c r="E377" s="2" t="s">
        <v>44</v>
      </c>
      <c r="F377" s="2" t="s">
        <v>80</v>
      </c>
      <c r="G377" s="2" t="s">
        <v>19</v>
      </c>
      <c r="H377" s="4">
        <v>5</v>
      </c>
      <c r="I377" s="5">
        <v>40963.53</v>
      </c>
      <c r="J377" s="6">
        <v>0.1</v>
      </c>
      <c r="K377" s="5">
        <v>184335.89</v>
      </c>
      <c r="L377" s="5">
        <v>150700.51999999999</v>
      </c>
      <c r="M377" s="5">
        <v>33635.370000000003</v>
      </c>
      <c r="N377" s="2" t="s">
        <v>26</v>
      </c>
    </row>
    <row r="378" spans="1:14" ht="12" customHeight="1">
      <c r="A378" s="2" t="s">
        <v>465</v>
      </c>
      <c r="B378" s="3">
        <v>45856</v>
      </c>
      <c r="C378" s="2" t="s">
        <v>15</v>
      </c>
      <c r="D378" s="2" t="s">
        <v>43</v>
      </c>
      <c r="E378" s="2" t="s">
        <v>49</v>
      </c>
      <c r="F378" s="2" t="s">
        <v>50</v>
      </c>
      <c r="G378" s="2" t="s">
        <v>25</v>
      </c>
      <c r="H378" s="4">
        <v>5</v>
      </c>
      <c r="I378" s="5">
        <v>4329.6499999999996</v>
      </c>
      <c r="J378" s="6">
        <v>0</v>
      </c>
      <c r="K378" s="5">
        <v>21648.25</v>
      </c>
      <c r="L378" s="5">
        <v>10865.97</v>
      </c>
      <c r="M378" s="5">
        <v>10782.28</v>
      </c>
      <c r="N378" s="2" t="s">
        <v>59</v>
      </c>
    </row>
    <row r="379" spans="1:14" ht="12" customHeight="1">
      <c r="A379" s="2" t="s">
        <v>466</v>
      </c>
      <c r="B379" s="3">
        <v>45982</v>
      </c>
      <c r="C379" s="2" t="s">
        <v>15</v>
      </c>
      <c r="D379" s="2" t="s">
        <v>16</v>
      </c>
      <c r="E379" s="2" t="s">
        <v>17</v>
      </c>
      <c r="F379" s="2" t="s">
        <v>18</v>
      </c>
      <c r="G379" s="2" t="s">
        <v>32</v>
      </c>
      <c r="H379" s="4">
        <v>4</v>
      </c>
      <c r="I379" s="5">
        <v>14779.7</v>
      </c>
      <c r="J379" s="6">
        <v>0.05</v>
      </c>
      <c r="K379" s="5">
        <v>56162.86</v>
      </c>
      <c r="L379" s="5">
        <v>33721.64</v>
      </c>
      <c r="M379" s="5">
        <v>22441.22</v>
      </c>
      <c r="N379" s="2" t="s">
        <v>26</v>
      </c>
    </row>
    <row r="380" spans="1:14" ht="12" customHeight="1">
      <c r="A380" s="2" t="s">
        <v>467</v>
      </c>
      <c r="B380" s="3">
        <v>45746</v>
      </c>
      <c r="C380" s="2" t="s">
        <v>15</v>
      </c>
      <c r="D380" s="2" t="s">
        <v>16</v>
      </c>
      <c r="E380" s="2" t="s">
        <v>30</v>
      </c>
      <c r="F380" s="2" t="s">
        <v>40</v>
      </c>
      <c r="G380" s="2" t="s">
        <v>19</v>
      </c>
      <c r="H380" s="4">
        <v>3</v>
      </c>
      <c r="I380" s="5">
        <v>26395.14</v>
      </c>
      <c r="J380" s="6">
        <v>0</v>
      </c>
      <c r="K380" s="5">
        <v>79185.42</v>
      </c>
      <c r="L380" s="5">
        <v>46598.39</v>
      </c>
      <c r="M380" s="5">
        <v>32587.03</v>
      </c>
      <c r="N380" s="2"/>
    </row>
    <row r="381" spans="1:14" ht="12" customHeight="1">
      <c r="A381" s="2" t="s">
        <v>468</v>
      </c>
      <c r="B381" s="3">
        <v>45896</v>
      </c>
      <c r="C381" s="2" t="s">
        <v>22</v>
      </c>
      <c r="D381" s="2" t="s">
        <v>35</v>
      </c>
      <c r="E381" s="2" t="s">
        <v>30</v>
      </c>
      <c r="F381" s="2" t="s">
        <v>38</v>
      </c>
      <c r="G381" s="2" t="s">
        <v>61</v>
      </c>
      <c r="H381" s="4">
        <v>3</v>
      </c>
      <c r="I381" s="5">
        <v>25535.21</v>
      </c>
      <c r="J381" s="6">
        <v>0.05</v>
      </c>
      <c r="K381" s="5">
        <v>72775.350000000006</v>
      </c>
      <c r="L381" s="5">
        <v>52401.34</v>
      </c>
      <c r="M381" s="5">
        <v>20374.009999999998</v>
      </c>
      <c r="N381" s="2" t="s">
        <v>33</v>
      </c>
    </row>
    <row r="382" spans="1:14" ht="12" customHeight="1">
      <c r="A382" s="2" t="s">
        <v>469</v>
      </c>
      <c r="B382" s="3">
        <v>46020</v>
      </c>
      <c r="C382" s="2" t="s">
        <v>22</v>
      </c>
      <c r="D382" s="2" t="s">
        <v>35</v>
      </c>
      <c r="E382" s="2" t="s">
        <v>17</v>
      </c>
      <c r="F382" s="2" t="s">
        <v>18</v>
      </c>
      <c r="G382" s="2" t="s">
        <v>32</v>
      </c>
      <c r="H382" s="4">
        <v>8</v>
      </c>
      <c r="I382" s="5">
        <v>15172.59</v>
      </c>
      <c r="J382" s="6">
        <v>0.1</v>
      </c>
      <c r="K382" s="5">
        <v>109242.65</v>
      </c>
      <c r="L382" s="5">
        <v>65276.33</v>
      </c>
      <c r="M382" s="5">
        <v>43966.32</v>
      </c>
      <c r="N382" s="2" t="s">
        <v>26</v>
      </c>
    </row>
    <row r="383" spans="1:14" ht="12" customHeight="1">
      <c r="A383" s="2" t="s">
        <v>470</v>
      </c>
      <c r="B383" s="3">
        <v>45771</v>
      </c>
      <c r="C383" s="2" t="s">
        <v>22</v>
      </c>
      <c r="D383" s="2" t="s">
        <v>37</v>
      </c>
      <c r="E383" s="2" t="s">
        <v>17</v>
      </c>
      <c r="F383" s="2" t="s">
        <v>24</v>
      </c>
      <c r="G383" s="2" t="s">
        <v>47</v>
      </c>
      <c r="H383" s="4">
        <v>7</v>
      </c>
      <c r="I383" s="5">
        <v>92634.14</v>
      </c>
      <c r="J383" s="6">
        <v>0.05</v>
      </c>
      <c r="K383" s="5">
        <v>616017.03</v>
      </c>
      <c r="L383" s="5">
        <v>464783.63</v>
      </c>
      <c r="M383" s="5">
        <v>151233.4</v>
      </c>
      <c r="N383" s="2" t="s">
        <v>59</v>
      </c>
    </row>
    <row r="384" spans="1:14" ht="12" customHeight="1">
      <c r="A384" s="2" t="s">
        <v>471</v>
      </c>
      <c r="B384" s="3">
        <v>46000</v>
      </c>
      <c r="C384" s="2" t="s">
        <v>28</v>
      </c>
      <c r="D384" s="2" t="s">
        <v>56</v>
      </c>
      <c r="E384" s="2" t="s">
        <v>30</v>
      </c>
      <c r="F384" s="2" t="s">
        <v>86</v>
      </c>
      <c r="G384" s="2" t="s">
        <v>32</v>
      </c>
      <c r="H384" s="4">
        <v>8</v>
      </c>
      <c r="I384" s="5">
        <v>35622.21</v>
      </c>
      <c r="J384" s="6">
        <v>0.15</v>
      </c>
      <c r="K384" s="5">
        <v>242231.03</v>
      </c>
      <c r="L384" s="5">
        <v>174710.93</v>
      </c>
      <c r="M384" s="5">
        <v>67520.100000000006</v>
      </c>
      <c r="N384" s="2" t="s">
        <v>20</v>
      </c>
    </row>
    <row r="385" spans="1:14" ht="12" customHeight="1">
      <c r="A385" s="2" t="s">
        <v>472</v>
      </c>
      <c r="B385" s="3">
        <v>45934</v>
      </c>
      <c r="C385" s="2" t="s">
        <v>22</v>
      </c>
      <c r="D385" s="2" t="s">
        <v>37</v>
      </c>
      <c r="E385" s="2" t="s">
        <v>44</v>
      </c>
      <c r="F385" s="2" t="s">
        <v>80</v>
      </c>
      <c r="G385" s="2" t="s">
        <v>58</v>
      </c>
      <c r="H385" s="4">
        <v>6</v>
      </c>
      <c r="I385" s="5">
        <v>42183.839999999997</v>
      </c>
      <c r="J385" s="6">
        <v>0</v>
      </c>
      <c r="K385" s="5">
        <v>253103.04</v>
      </c>
      <c r="L385" s="5">
        <v>185444.1</v>
      </c>
      <c r="M385" s="5">
        <v>67658.94</v>
      </c>
      <c r="N385" s="2" t="s">
        <v>33</v>
      </c>
    </row>
    <row r="386" spans="1:14" ht="12" customHeight="1">
      <c r="A386" s="2" t="s">
        <v>473</v>
      </c>
      <c r="B386" s="3">
        <v>45921</v>
      </c>
      <c r="C386" s="2" t="s">
        <v>15</v>
      </c>
      <c r="D386" s="2" t="s">
        <v>63</v>
      </c>
      <c r="E386" s="2" t="s">
        <v>49</v>
      </c>
      <c r="F386" s="2" t="s">
        <v>107</v>
      </c>
      <c r="G386" s="2" t="s">
        <v>19</v>
      </c>
      <c r="H386" s="4">
        <v>1</v>
      </c>
      <c r="I386" s="5">
        <v>5030.63</v>
      </c>
      <c r="J386" s="6">
        <v>0.15</v>
      </c>
      <c r="K386" s="5">
        <v>4276.04</v>
      </c>
      <c r="L386" s="5">
        <v>2655.38</v>
      </c>
      <c r="M386" s="5">
        <v>1620.66</v>
      </c>
      <c r="N386" s="2" t="s">
        <v>33</v>
      </c>
    </row>
    <row r="387" spans="1:14" ht="12" customHeight="1">
      <c r="A387" s="2" t="s">
        <v>474</v>
      </c>
      <c r="B387" s="3">
        <v>45875</v>
      </c>
      <c r="C387" s="2" t="s">
        <v>22</v>
      </c>
      <c r="D387" s="2" t="s">
        <v>37</v>
      </c>
      <c r="E387" s="2" t="s">
        <v>17</v>
      </c>
      <c r="F387" s="2" t="s">
        <v>75</v>
      </c>
      <c r="G387" s="2" t="s">
        <v>19</v>
      </c>
      <c r="H387" s="4">
        <v>4</v>
      </c>
      <c r="I387" s="5">
        <v>190041.92</v>
      </c>
      <c r="J387" s="6">
        <v>0</v>
      </c>
      <c r="K387" s="5">
        <v>760167.68</v>
      </c>
      <c r="L387" s="5">
        <v>585350.44999999995</v>
      </c>
      <c r="M387" s="5">
        <v>174817.23</v>
      </c>
      <c r="N387" s="2" t="s">
        <v>26</v>
      </c>
    </row>
    <row r="388" spans="1:14" ht="12" customHeight="1">
      <c r="A388" s="2" t="s">
        <v>475</v>
      </c>
      <c r="B388" s="3">
        <v>45702</v>
      </c>
      <c r="C388" s="2" t="s">
        <v>15</v>
      </c>
      <c r="D388" s="2" t="s">
        <v>43</v>
      </c>
      <c r="E388" s="2" t="s">
        <v>49</v>
      </c>
      <c r="F388" s="2" t="s">
        <v>91</v>
      </c>
      <c r="G388" s="2" t="s">
        <v>19</v>
      </c>
      <c r="H388" s="4">
        <v>3</v>
      </c>
      <c r="I388" s="5">
        <v>6004.7</v>
      </c>
      <c r="J388" s="6">
        <v>0.15</v>
      </c>
      <c r="K388" s="5">
        <v>15311.98</v>
      </c>
      <c r="L388" s="5">
        <v>10726.78</v>
      </c>
      <c r="M388" s="5">
        <v>4585.2</v>
      </c>
      <c r="N388" s="2" t="s">
        <v>33</v>
      </c>
    </row>
    <row r="389" spans="1:14" ht="12" customHeight="1">
      <c r="A389" s="2" t="s">
        <v>476</v>
      </c>
      <c r="B389" s="3">
        <v>45879</v>
      </c>
      <c r="C389" s="2" t="s">
        <v>22</v>
      </c>
      <c r="D389" s="2" t="s">
        <v>35</v>
      </c>
      <c r="E389" s="2" t="s">
        <v>17</v>
      </c>
      <c r="F389" s="2" t="s">
        <v>24</v>
      </c>
      <c r="G389" s="2" t="s">
        <v>32</v>
      </c>
      <c r="H389" s="4">
        <v>5</v>
      </c>
      <c r="I389" s="5">
        <v>90640.35</v>
      </c>
      <c r="J389" s="6">
        <v>0.05</v>
      </c>
      <c r="K389" s="5">
        <v>430541.66</v>
      </c>
      <c r="L389" s="5">
        <v>344799.17</v>
      </c>
      <c r="M389" s="5">
        <v>85742.49</v>
      </c>
      <c r="N389" s="2" t="s">
        <v>33</v>
      </c>
    </row>
    <row r="390" spans="1:14" ht="12" customHeight="1">
      <c r="A390" s="2" t="s">
        <v>477</v>
      </c>
      <c r="B390" s="3">
        <v>45695</v>
      </c>
      <c r="C390" s="2" t="s">
        <v>28</v>
      </c>
      <c r="D390" s="2" t="s">
        <v>29</v>
      </c>
      <c r="E390" s="2" t="s">
        <v>17</v>
      </c>
      <c r="F390" s="2" t="s">
        <v>75</v>
      </c>
      <c r="G390" s="2" t="s">
        <v>32</v>
      </c>
      <c r="H390" s="4">
        <v>2</v>
      </c>
      <c r="I390" s="5">
        <v>192576.43</v>
      </c>
      <c r="J390" s="6">
        <v>0.1</v>
      </c>
      <c r="K390" s="5">
        <v>346637.57</v>
      </c>
      <c r="L390" s="5">
        <v>276384.88</v>
      </c>
      <c r="M390" s="5">
        <v>70252.69</v>
      </c>
      <c r="N390" s="2" t="s">
        <v>33</v>
      </c>
    </row>
    <row r="391" spans="1:14" ht="12" customHeight="1">
      <c r="A391" s="2" t="s">
        <v>478</v>
      </c>
      <c r="B391" s="3">
        <v>45996</v>
      </c>
      <c r="C391" s="2" t="s">
        <v>28</v>
      </c>
      <c r="D391" s="2" t="s">
        <v>29</v>
      </c>
      <c r="E391" s="2" t="s">
        <v>30</v>
      </c>
      <c r="F391" s="2" t="s">
        <v>31</v>
      </c>
      <c r="G391" s="2" t="s">
        <v>64</v>
      </c>
      <c r="H391" s="4">
        <v>5</v>
      </c>
      <c r="I391" s="5">
        <v>140729.92000000001</v>
      </c>
      <c r="J391" s="6">
        <v>0.05</v>
      </c>
      <c r="K391" s="5">
        <v>668467.12</v>
      </c>
      <c r="L391" s="5">
        <v>503332.97</v>
      </c>
      <c r="M391" s="5">
        <v>165134.15</v>
      </c>
      <c r="N391" s="2" t="s">
        <v>20</v>
      </c>
    </row>
    <row r="392" spans="1:14" ht="12" customHeight="1">
      <c r="A392" s="2" t="s">
        <v>479</v>
      </c>
      <c r="B392" s="3">
        <v>45982</v>
      </c>
      <c r="C392" s="2" t="s">
        <v>22</v>
      </c>
      <c r="D392" s="2" t="s">
        <v>37</v>
      </c>
      <c r="E392" s="2" t="s">
        <v>44</v>
      </c>
      <c r="F392" s="2" t="s">
        <v>45</v>
      </c>
      <c r="G392" s="2" t="s">
        <v>61</v>
      </c>
      <c r="H392" s="4">
        <v>7</v>
      </c>
      <c r="I392" s="5">
        <v>29853.27</v>
      </c>
      <c r="J392" s="6">
        <v>0.1</v>
      </c>
      <c r="K392" s="5">
        <v>188075.6</v>
      </c>
      <c r="L392" s="5">
        <v>131756.25</v>
      </c>
      <c r="M392" s="5">
        <v>56319.35</v>
      </c>
      <c r="N392" s="2" t="s">
        <v>59</v>
      </c>
    </row>
    <row r="393" spans="1:14" ht="12" customHeight="1">
      <c r="A393" s="2" t="s">
        <v>480</v>
      </c>
      <c r="B393" s="3">
        <v>45859</v>
      </c>
      <c r="C393" s="2" t="s">
        <v>15</v>
      </c>
      <c r="D393" s="2" t="s">
        <v>43</v>
      </c>
      <c r="E393" s="2" t="s">
        <v>30</v>
      </c>
      <c r="F393" s="2" t="s">
        <v>31</v>
      </c>
      <c r="G393" s="2" t="s">
        <v>19</v>
      </c>
      <c r="H393" s="4">
        <v>3</v>
      </c>
      <c r="I393" s="5">
        <v>126861.88</v>
      </c>
      <c r="J393" s="6">
        <v>0</v>
      </c>
      <c r="K393" s="5">
        <v>380585.64</v>
      </c>
      <c r="L393" s="5">
        <v>306057.36</v>
      </c>
      <c r="M393" s="5">
        <v>74528.28</v>
      </c>
      <c r="N393" s="2" t="s">
        <v>59</v>
      </c>
    </row>
    <row r="394" spans="1:14" ht="12" customHeight="1">
      <c r="A394" s="2" t="s">
        <v>481</v>
      </c>
      <c r="B394" s="3">
        <v>45752</v>
      </c>
      <c r="C394" s="2" t="s">
        <v>22</v>
      </c>
      <c r="D394" s="2" t="s">
        <v>37</v>
      </c>
      <c r="E394" s="2" t="s">
        <v>30</v>
      </c>
      <c r="F394" s="2" t="s">
        <v>86</v>
      </c>
      <c r="G394" s="2" t="s">
        <v>47</v>
      </c>
      <c r="H394" s="4">
        <v>7</v>
      </c>
      <c r="I394" s="5">
        <v>35141.72</v>
      </c>
      <c r="J394" s="6">
        <v>0.1</v>
      </c>
      <c r="K394" s="5">
        <v>221392.84</v>
      </c>
      <c r="L394" s="5">
        <v>154345.57</v>
      </c>
      <c r="M394" s="5">
        <v>67047.27</v>
      </c>
      <c r="N394" s="2" t="s">
        <v>59</v>
      </c>
    </row>
    <row r="395" spans="1:14" ht="12" customHeight="1">
      <c r="A395" s="2" t="s">
        <v>482</v>
      </c>
      <c r="B395" s="3">
        <v>45692</v>
      </c>
      <c r="C395" s="2" t="s">
        <v>22</v>
      </c>
      <c r="D395" s="2" t="s">
        <v>23</v>
      </c>
      <c r="E395" s="2" t="s">
        <v>44</v>
      </c>
      <c r="F395" s="2" t="s">
        <v>80</v>
      </c>
      <c r="G395" s="2" t="s">
        <v>58</v>
      </c>
      <c r="H395" s="4">
        <v>8</v>
      </c>
      <c r="I395" s="5">
        <v>43995.360000000001</v>
      </c>
      <c r="J395" s="6">
        <v>0</v>
      </c>
      <c r="K395" s="5">
        <v>351962.88</v>
      </c>
      <c r="L395" s="5">
        <v>245605.73</v>
      </c>
      <c r="M395" s="5">
        <v>106357.15</v>
      </c>
      <c r="N395" s="2" t="s">
        <v>33</v>
      </c>
    </row>
    <row r="396" spans="1:14" ht="12" customHeight="1">
      <c r="A396" s="2" t="s">
        <v>483</v>
      </c>
      <c r="B396" s="3">
        <v>45803</v>
      </c>
      <c r="C396" s="2" t="s">
        <v>22</v>
      </c>
      <c r="D396" s="2" t="s">
        <v>37</v>
      </c>
      <c r="E396" s="2" t="s">
        <v>49</v>
      </c>
      <c r="F396" s="2" t="s">
        <v>57</v>
      </c>
      <c r="G396" s="2" t="s">
        <v>19</v>
      </c>
      <c r="H396" s="4">
        <v>6</v>
      </c>
      <c r="I396" s="5">
        <v>10815.92</v>
      </c>
      <c r="J396" s="6">
        <v>0.15</v>
      </c>
      <c r="K396" s="5">
        <v>55161.19</v>
      </c>
      <c r="L396" s="5">
        <v>38470.269999999997</v>
      </c>
      <c r="M396" s="5">
        <v>16690.919999999998</v>
      </c>
      <c r="N396" s="2" t="s">
        <v>26</v>
      </c>
    </row>
    <row r="397" spans="1:14" ht="12" customHeight="1">
      <c r="A397" s="2" t="s">
        <v>484</v>
      </c>
      <c r="B397" s="3">
        <v>45844</v>
      </c>
      <c r="C397" s="2" t="s">
        <v>28</v>
      </c>
      <c r="D397" s="2" t="s">
        <v>56</v>
      </c>
      <c r="E397" s="2" t="s">
        <v>49</v>
      </c>
      <c r="F397" s="2" t="s">
        <v>57</v>
      </c>
      <c r="G397" s="2" t="s">
        <v>32</v>
      </c>
      <c r="H397" s="4">
        <v>5</v>
      </c>
      <c r="I397" s="5">
        <v>11855.96</v>
      </c>
      <c r="J397" s="6">
        <v>0</v>
      </c>
      <c r="K397" s="5">
        <v>59279.8</v>
      </c>
      <c r="L397" s="5">
        <v>32811.629999999997</v>
      </c>
      <c r="M397" s="5">
        <v>26468.17</v>
      </c>
      <c r="N397" s="2" t="s">
        <v>20</v>
      </c>
    </row>
    <row r="398" spans="1:14" ht="12" customHeight="1">
      <c r="A398" s="2" t="s">
        <v>485</v>
      </c>
      <c r="B398" s="3">
        <v>45842</v>
      </c>
      <c r="C398" s="2" t="s">
        <v>22</v>
      </c>
      <c r="D398" s="2" t="s">
        <v>23</v>
      </c>
      <c r="E398" s="2" t="s">
        <v>30</v>
      </c>
      <c r="F398" s="2" t="s">
        <v>86</v>
      </c>
      <c r="G398" s="2" t="s">
        <v>61</v>
      </c>
      <c r="H398" s="4">
        <v>4</v>
      </c>
      <c r="I398" s="5">
        <v>34120.410000000003</v>
      </c>
      <c r="J398" s="6">
        <v>0.15</v>
      </c>
      <c r="K398" s="5">
        <v>116009.39</v>
      </c>
      <c r="L398" s="5">
        <v>90047.58</v>
      </c>
      <c r="M398" s="5">
        <v>25961.81</v>
      </c>
      <c r="N398" s="2" t="s">
        <v>59</v>
      </c>
    </row>
    <row r="399" spans="1:14" ht="12" customHeight="1">
      <c r="A399" s="2" t="s">
        <v>486</v>
      </c>
      <c r="B399" s="3" t="s">
        <v>487</v>
      </c>
      <c r="C399" s="2" t="s">
        <v>28</v>
      </c>
      <c r="D399" s="2" t="s">
        <v>56</v>
      </c>
      <c r="E399" s="2" t="s">
        <v>49</v>
      </c>
      <c r="F399" s="2" t="s">
        <v>57</v>
      </c>
      <c r="G399" s="2" t="s">
        <v>19</v>
      </c>
      <c r="H399" s="4">
        <v>5</v>
      </c>
      <c r="I399" s="5">
        <v>11476.03</v>
      </c>
      <c r="J399" s="6">
        <v>0</v>
      </c>
      <c r="K399" s="5">
        <v>57380.15</v>
      </c>
      <c r="L399" s="5">
        <v>31924.880000000001</v>
      </c>
      <c r="M399" s="5">
        <v>25455.27</v>
      </c>
      <c r="N399" s="2" t="s">
        <v>59</v>
      </c>
    </row>
    <row r="400" spans="1:14" ht="12" customHeight="1">
      <c r="A400" s="2" t="s">
        <v>488</v>
      </c>
      <c r="B400" s="3">
        <v>45981</v>
      </c>
      <c r="C400" s="2" t="s">
        <v>22</v>
      </c>
      <c r="D400" s="2" t="s">
        <v>37</v>
      </c>
      <c r="E400" s="2" t="s">
        <v>44</v>
      </c>
      <c r="F400" s="2" t="s">
        <v>69</v>
      </c>
      <c r="G400" s="2" t="s">
        <v>64</v>
      </c>
      <c r="H400" s="4">
        <v>2</v>
      </c>
      <c r="I400" s="5">
        <v>39382.75</v>
      </c>
      <c r="J400" s="6">
        <v>0</v>
      </c>
      <c r="K400" s="5">
        <v>78765.5</v>
      </c>
      <c r="L400" s="5">
        <v>53532.5</v>
      </c>
      <c r="M400" s="5">
        <v>25233</v>
      </c>
      <c r="N400" s="2" t="s">
        <v>20</v>
      </c>
    </row>
    <row r="401" spans="1:14" ht="12" customHeight="1">
      <c r="A401" s="2" t="s">
        <v>489</v>
      </c>
      <c r="B401" s="3">
        <v>45772</v>
      </c>
      <c r="C401" s="2" t="s">
        <v>15</v>
      </c>
      <c r="D401" s="2" t="s">
        <v>16</v>
      </c>
      <c r="E401" s="2" t="s">
        <v>17</v>
      </c>
      <c r="F401" s="2" t="s">
        <v>18</v>
      </c>
      <c r="G401" s="2" t="s">
        <v>58</v>
      </c>
      <c r="H401" s="4">
        <v>8</v>
      </c>
      <c r="I401" s="5">
        <v>14857.07</v>
      </c>
      <c r="J401" s="6">
        <v>0</v>
      </c>
      <c r="K401" s="5">
        <v>118856.56</v>
      </c>
      <c r="L401" s="5">
        <v>65311.839999999997</v>
      </c>
      <c r="M401" s="5">
        <v>53544.72</v>
      </c>
      <c r="N401" s="2" t="s">
        <v>26</v>
      </c>
    </row>
    <row r="402" spans="1:14" ht="12" customHeight="1">
      <c r="A402" s="2" t="s">
        <v>490</v>
      </c>
      <c r="B402" s="3">
        <v>45972</v>
      </c>
      <c r="C402" s="2" t="s">
        <v>28</v>
      </c>
      <c r="D402" s="2" t="s">
        <v>29</v>
      </c>
      <c r="E402" s="2" t="s">
        <v>17</v>
      </c>
      <c r="F402" s="2" t="s">
        <v>114</v>
      </c>
      <c r="G402" s="2" t="s">
        <v>61</v>
      </c>
      <c r="H402" s="4">
        <v>6</v>
      </c>
      <c r="I402" s="5">
        <v>52018.03</v>
      </c>
      <c r="J402" s="6">
        <v>0.15</v>
      </c>
      <c r="K402" s="5">
        <v>265291.95</v>
      </c>
      <c r="L402" s="5">
        <v>216092.04</v>
      </c>
      <c r="M402" s="5">
        <v>49199.91</v>
      </c>
      <c r="N402" s="2" t="s">
        <v>26</v>
      </c>
    </row>
    <row r="403" spans="1:14" ht="12" customHeight="1">
      <c r="A403" s="2" t="s">
        <v>491</v>
      </c>
      <c r="B403" s="3">
        <v>45907</v>
      </c>
      <c r="C403" s="2" t="s">
        <v>28</v>
      </c>
      <c r="D403" s="2" t="s">
        <v>52</v>
      </c>
      <c r="E403" s="2" t="s">
        <v>44</v>
      </c>
      <c r="F403" s="2" t="s">
        <v>45</v>
      </c>
      <c r="G403" s="2" t="s">
        <v>47</v>
      </c>
      <c r="H403" s="4">
        <v>8</v>
      </c>
      <c r="I403" s="5">
        <v>30502.639999999999</v>
      </c>
      <c r="J403" s="6">
        <v>0</v>
      </c>
      <c r="K403" s="5">
        <v>244021.12</v>
      </c>
      <c r="L403" s="5">
        <v>149768.24</v>
      </c>
      <c r="M403" s="5">
        <v>94252.88</v>
      </c>
      <c r="N403" s="2" t="s">
        <v>33</v>
      </c>
    </row>
    <row r="404" spans="1:14" ht="12" customHeight="1">
      <c r="A404" s="2" t="s">
        <v>492</v>
      </c>
      <c r="B404" s="3">
        <v>45890</v>
      </c>
      <c r="C404" s="2" t="s">
        <v>28</v>
      </c>
      <c r="D404" s="2" t="s">
        <v>56</v>
      </c>
      <c r="E404" s="2" t="s">
        <v>44</v>
      </c>
      <c r="F404" s="2" t="s">
        <v>80</v>
      </c>
      <c r="G404" s="2" t="s">
        <v>64</v>
      </c>
      <c r="H404" s="4">
        <v>4</v>
      </c>
      <c r="I404" s="5">
        <v>43123.05</v>
      </c>
      <c r="J404" s="6">
        <v>0.05</v>
      </c>
      <c r="K404" s="5">
        <v>163867.59</v>
      </c>
      <c r="L404" s="5">
        <v>123648.65</v>
      </c>
      <c r="M404" s="5">
        <v>40218.94</v>
      </c>
      <c r="N404" s="2" t="s">
        <v>33</v>
      </c>
    </row>
    <row r="405" spans="1:14" ht="12" customHeight="1">
      <c r="A405" s="2" t="s">
        <v>493</v>
      </c>
      <c r="B405" s="3">
        <v>45992</v>
      </c>
      <c r="C405" s="2" t="s">
        <v>15</v>
      </c>
      <c r="D405" s="2" t="s">
        <v>63</v>
      </c>
      <c r="E405" s="2" t="s">
        <v>17</v>
      </c>
      <c r="F405" s="2" t="s">
        <v>18</v>
      </c>
      <c r="G405" s="2" t="s">
        <v>25</v>
      </c>
      <c r="H405" s="4">
        <v>5</v>
      </c>
      <c r="I405" s="5">
        <v>14682.42</v>
      </c>
      <c r="J405" s="6">
        <v>0.1</v>
      </c>
      <c r="K405" s="5">
        <v>66070.89</v>
      </c>
      <c r="L405" s="5">
        <v>40268.949999999997</v>
      </c>
      <c r="M405" s="5">
        <v>25801.94</v>
      </c>
      <c r="N405" s="2" t="s">
        <v>59</v>
      </c>
    </row>
    <row r="406" spans="1:14" ht="12" customHeight="1">
      <c r="A406" s="2" t="s">
        <v>494</v>
      </c>
      <c r="B406" s="3">
        <v>45838</v>
      </c>
      <c r="C406" s="2" t="s">
        <v>15</v>
      </c>
      <c r="D406" s="2" t="s">
        <v>43</v>
      </c>
      <c r="E406" s="2" t="s">
        <v>17</v>
      </c>
      <c r="F406" s="2" t="s">
        <v>18</v>
      </c>
      <c r="G406" s="2" t="s">
        <v>32</v>
      </c>
      <c r="H406" s="4">
        <v>7</v>
      </c>
      <c r="I406" s="5">
        <v>15596.6</v>
      </c>
      <c r="J406" s="6">
        <v>0</v>
      </c>
      <c r="K406" s="5">
        <v>109176.2</v>
      </c>
      <c r="L406" s="5">
        <v>57752.78</v>
      </c>
      <c r="M406" s="5">
        <v>51423.42</v>
      </c>
      <c r="N406" s="2" t="s">
        <v>20</v>
      </c>
    </row>
    <row r="407" spans="1:14" ht="12" customHeight="1">
      <c r="A407" s="2" t="s">
        <v>495</v>
      </c>
      <c r="B407" s="3">
        <v>45801</v>
      </c>
      <c r="C407" s="2" t="s">
        <v>28</v>
      </c>
      <c r="D407" s="2" t="s">
        <v>29</v>
      </c>
      <c r="E407" s="2" t="s">
        <v>17</v>
      </c>
      <c r="F407" s="2" t="s">
        <v>24</v>
      </c>
      <c r="G407" s="2" t="s">
        <v>47</v>
      </c>
      <c r="H407" s="4">
        <v>8</v>
      </c>
      <c r="I407" s="5">
        <v>87077.72</v>
      </c>
      <c r="J407" s="6">
        <v>0</v>
      </c>
      <c r="K407" s="5">
        <v>696621.76</v>
      </c>
      <c r="L407" s="5">
        <v>547273.73</v>
      </c>
      <c r="M407" s="5">
        <v>149348.03</v>
      </c>
      <c r="N407" s="2" t="s">
        <v>26</v>
      </c>
    </row>
    <row r="408" spans="1:14" ht="12" customHeight="1">
      <c r="A408" s="2" t="s">
        <v>496</v>
      </c>
      <c r="B408" s="3">
        <v>45904</v>
      </c>
      <c r="C408" s="2" t="s">
        <v>22</v>
      </c>
      <c r="D408" s="2" t="s">
        <v>23</v>
      </c>
      <c r="E408" s="2" t="s">
        <v>30</v>
      </c>
      <c r="F408" s="2" t="s">
        <v>31</v>
      </c>
      <c r="G408" s="2" t="s">
        <v>70</v>
      </c>
      <c r="H408" s="4">
        <v>4</v>
      </c>
      <c r="I408" s="5">
        <v>133155.66</v>
      </c>
      <c r="J408" s="6">
        <v>0.05</v>
      </c>
      <c r="K408" s="5">
        <v>505991.51</v>
      </c>
      <c r="L408" s="5">
        <v>412248.83</v>
      </c>
      <c r="M408" s="5">
        <v>93742.68</v>
      </c>
      <c r="N408" s="2" t="s">
        <v>20</v>
      </c>
    </row>
    <row r="409" spans="1:14" ht="12" customHeight="1">
      <c r="A409" s="2" t="s">
        <v>497</v>
      </c>
      <c r="B409" s="3">
        <v>45740</v>
      </c>
      <c r="C409" s="2" t="s">
        <v>22</v>
      </c>
      <c r="D409" s="2" t="s">
        <v>37</v>
      </c>
      <c r="E409" s="2" t="s">
        <v>44</v>
      </c>
      <c r="F409" s="2" t="s">
        <v>53</v>
      </c>
      <c r="G409" s="2" t="s">
        <v>61</v>
      </c>
      <c r="H409" s="4">
        <v>1</v>
      </c>
      <c r="I409" s="5">
        <v>8151.39</v>
      </c>
      <c r="J409" s="6">
        <v>0</v>
      </c>
      <c r="K409" s="5">
        <v>8151.39</v>
      </c>
      <c r="L409" s="5">
        <v>4949.71</v>
      </c>
      <c r="M409" s="5">
        <v>3201.68</v>
      </c>
      <c r="N409" s="2" t="s">
        <v>33</v>
      </c>
    </row>
    <row r="410" spans="1:14" ht="12" customHeight="1">
      <c r="A410" s="2" t="s">
        <v>498</v>
      </c>
      <c r="B410" s="3">
        <v>45964</v>
      </c>
      <c r="C410" s="2" t="s">
        <v>15</v>
      </c>
      <c r="D410" s="2" t="s">
        <v>16</v>
      </c>
      <c r="E410" s="2" t="s">
        <v>17</v>
      </c>
      <c r="F410" s="2" t="s">
        <v>24</v>
      </c>
      <c r="G410" s="2" t="s">
        <v>64</v>
      </c>
      <c r="H410" s="4">
        <v>5</v>
      </c>
      <c r="I410" s="5">
        <v>98218.42</v>
      </c>
      <c r="J410" s="6">
        <v>0.1</v>
      </c>
      <c r="K410" s="5">
        <v>441982.89</v>
      </c>
      <c r="L410" s="5">
        <v>352606.07</v>
      </c>
      <c r="M410" s="5">
        <v>89376.82</v>
      </c>
      <c r="N410" s="2" t="s">
        <v>59</v>
      </c>
    </row>
    <row r="411" spans="1:14" ht="12" customHeight="1">
      <c r="A411" s="2" t="s">
        <v>499</v>
      </c>
      <c r="B411" s="3">
        <v>45956</v>
      </c>
      <c r="C411" s="2" t="s">
        <v>22</v>
      </c>
      <c r="D411" s="2" t="s">
        <v>23</v>
      </c>
      <c r="E411" s="2" t="s">
        <v>49</v>
      </c>
      <c r="F411" s="2" t="s">
        <v>107</v>
      </c>
      <c r="G411" s="2" t="s">
        <v>61</v>
      </c>
      <c r="H411" s="4">
        <v>8</v>
      </c>
      <c r="I411" s="5">
        <v>4925.91</v>
      </c>
      <c r="J411" s="6">
        <v>0.05</v>
      </c>
      <c r="K411" s="5">
        <v>37436.92</v>
      </c>
      <c r="L411" s="5">
        <v>21860.47</v>
      </c>
      <c r="M411" s="5">
        <v>15576.45</v>
      </c>
      <c r="N411" s="2" t="s">
        <v>59</v>
      </c>
    </row>
    <row r="412" spans="1:14" ht="12" customHeight="1">
      <c r="A412" s="2" t="s">
        <v>500</v>
      </c>
      <c r="B412" s="3">
        <v>45666</v>
      </c>
      <c r="C412" s="2" t="s">
        <v>22</v>
      </c>
      <c r="D412" s="2" t="s">
        <v>37</v>
      </c>
      <c r="E412" s="2" t="s">
        <v>30</v>
      </c>
      <c r="F412" s="2" t="s">
        <v>40</v>
      </c>
      <c r="G412" s="2" t="s">
        <v>47</v>
      </c>
      <c r="H412" s="4">
        <v>2</v>
      </c>
      <c r="I412" s="5">
        <v>23440.87</v>
      </c>
      <c r="J412" s="6">
        <v>0.05</v>
      </c>
      <c r="K412" s="5">
        <v>44537.65</v>
      </c>
      <c r="L412" s="5">
        <v>30944.46</v>
      </c>
      <c r="M412" s="5">
        <v>13593.19</v>
      </c>
      <c r="N412" s="2" t="s">
        <v>20</v>
      </c>
    </row>
    <row r="413" spans="1:14" ht="12" customHeight="1">
      <c r="A413" s="2" t="s">
        <v>501</v>
      </c>
      <c r="B413" s="3">
        <v>45930</v>
      </c>
      <c r="C413" s="2" t="s">
        <v>22</v>
      </c>
      <c r="D413" s="2" t="s">
        <v>37</v>
      </c>
      <c r="E413" s="2" t="s">
        <v>17</v>
      </c>
      <c r="F413" s="2" t="s">
        <v>24</v>
      </c>
      <c r="G413" s="2" t="s">
        <v>19</v>
      </c>
      <c r="H413" s="4">
        <v>8</v>
      </c>
      <c r="I413" s="5">
        <v>97911.67</v>
      </c>
      <c r="J413" s="6">
        <v>0.1</v>
      </c>
      <c r="K413" s="5">
        <v>704964.02</v>
      </c>
      <c r="L413" s="5">
        <v>529166.51</v>
      </c>
      <c r="M413" s="5">
        <v>175797.51</v>
      </c>
      <c r="N413" s="2" t="s">
        <v>33</v>
      </c>
    </row>
    <row r="414" spans="1:14" ht="12" customHeight="1">
      <c r="A414" s="2" t="s">
        <v>502</v>
      </c>
      <c r="B414" s="3">
        <v>46015</v>
      </c>
      <c r="C414" s="2" t="s">
        <v>28</v>
      </c>
      <c r="D414" s="2" t="s">
        <v>29</v>
      </c>
      <c r="E414" s="2" t="s">
        <v>44</v>
      </c>
      <c r="F414" s="2" t="s">
        <v>80</v>
      </c>
      <c r="G414" s="2" t="s">
        <v>25</v>
      </c>
      <c r="H414" s="4">
        <v>7</v>
      </c>
      <c r="I414" s="5">
        <v>43151.66</v>
      </c>
      <c r="J414" s="6">
        <v>0.05</v>
      </c>
      <c r="K414" s="5">
        <v>286958.53999999998</v>
      </c>
      <c r="L414" s="5">
        <v>223778.58</v>
      </c>
      <c r="M414" s="5">
        <v>63179.96</v>
      </c>
      <c r="N414" s="2" t="s">
        <v>26</v>
      </c>
    </row>
    <row r="415" spans="1:14" ht="12" customHeight="1">
      <c r="A415" s="2" t="s">
        <v>503</v>
      </c>
      <c r="B415" s="3">
        <v>45700</v>
      </c>
      <c r="C415" s="2" t="s">
        <v>28</v>
      </c>
      <c r="D415" s="2" t="s">
        <v>56</v>
      </c>
      <c r="E415" s="2" t="s">
        <v>30</v>
      </c>
      <c r="F415" s="2" t="s">
        <v>31</v>
      </c>
      <c r="G415" s="2" t="s">
        <v>58</v>
      </c>
      <c r="H415" s="4">
        <v>7</v>
      </c>
      <c r="I415" s="5">
        <v>127091.88</v>
      </c>
      <c r="J415" s="6">
        <v>0.05</v>
      </c>
      <c r="K415" s="5">
        <v>845161</v>
      </c>
      <c r="L415" s="5">
        <v>723692.36</v>
      </c>
      <c r="M415" s="5">
        <v>121468.64</v>
      </c>
      <c r="N415" s="2" t="s">
        <v>20</v>
      </c>
    </row>
    <row r="416" spans="1:14" ht="12" customHeight="1">
      <c r="A416" s="2" t="s">
        <v>504</v>
      </c>
      <c r="B416" s="3">
        <v>46010</v>
      </c>
      <c r="C416" s="2" t="s">
        <v>28</v>
      </c>
      <c r="D416" s="2" t="s">
        <v>52</v>
      </c>
      <c r="E416" s="2" t="s">
        <v>17</v>
      </c>
      <c r="F416" s="2" t="s">
        <v>75</v>
      </c>
      <c r="G416" s="2" t="s">
        <v>32</v>
      </c>
      <c r="H416" s="4">
        <v>2</v>
      </c>
      <c r="I416" s="5">
        <v>185584.95</v>
      </c>
      <c r="J416" s="6">
        <v>0.05</v>
      </c>
      <c r="K416" s="5">
        <v>352611.41</v>
      </c>
      <c r="L416" s="5">
        <v>288492.38</v>
      </c>
      <c r="M416" s="5">
        <v>64119.03</v>
      </c>
      <c r="N416" s="2" t="s">
        <v>20</v>
      </c>
    </row>
    <row r="417" spans="1:14" ht="12" customHeight="1">
      <c r="A417" s="2" t="s">
        <v>505</v>
      </c>
      <c r="B417" s="3">
        <v>45845</v>
      </c>
      <c r="C417" s="2" t="s">
        <v>28</v>
      </c>
      <c r="D417" s="2" t="s">
        <v>52</v>
      </c>
      <c r="E417" s="2" t="s">
        <v>44</v>
      </c>
      <c r="F417" s="2" t="s">
        <v>53</v>
      </c>
      <c r="G417" s="2" t="s">
        <v>58</v>
      </c>
      <c r="H417" s="4">
        <v>5</v>
      </c>
      <c r="I417" s="5">
        <v>8175.37</v>
      </c>
      <c r="J417" s="6">
        <v>0.1</v>
      </c>
      <c r="K417" s="5">
        <v>36789.17</v>
      </c>
      <c r="L417" s="5">
        <v>24491.41</v>
      </c>
      <c r="M417" s="5">
        <v>12297.76</v>
      </c>
      <c r="N417" s="2" t="s">
        <v>20</v>
      </c>
    </row>
    <row r="418" spans="1:14" ht="12" customHeight="1">
      <c r="A418" s="2" t="s">
        <v>506</v>
      </c>
      <c r="B418" s="3">
        <v>45815</v>
      </c>
      <c r="C418" s="2" t="s">
        <v>22</v>
      </c>
      <c r="D418" s="2" t="s">
        <v>35</v>
      </c>
      <c r="E418" s="2" t="s">
        <v>49</v>
      </c>
      <c r="F418" s="2" t="s">
        <v>50</v>
      </c>
      <c r="G418" s="2" t="s">
        <v>32</v>
      </c>
      <c r="H418" s="4">
        <v>6</v>
      </c>
      <c r="I418" s="5">
        <v>4239.71</v>
      </c>
      <c r="J418" s="6">
        <v>0.05</v>
      </c>
      <c r="K418" s="5">
        <v>24166.35</v>
      </c>
      <c r="L418" s="5">
        <v>12445.83</v>
      </c>
      <c r="M418" s="5">
        <v>11720.52</v>
      </c>
      <c r="N418" s="2" t="s">
        <v>20</v>
      </c>
    </row>
    <row r="419" spans="1:14" ht="12" customHeight="1">
      <c r="A419" s="2" t="s">
        <v>507</v>
      </c>
      <c r="B419" s="3">
        <v>45918</v>
      </c>
      <c r="C419" s="2" t="s">
        <v>15</v>
      </c>
      <c r="D419" s="2" t="s">
        <v>16</v>
      </c>
      <c r="E419" s="2" t="s">
        <v>17</v>
      </c>
      <c r="F419" s="2" t="s">
        <v>24</v>
      </c>
      <c r="G419" s="2" t="s">
        <v>25</v>
      </c>
      <c r="H419" s="4">
        <v>8</v>
      </c>
      <c r="I419" s="5">
        <v>96167.37</v>
      </c>
      <c r="J419" s="6">
        <v>0</v>
      </c>
      <c r="K419" s="5">
        <v>769338.96</v>
      </c>
      <c r="L419" s="5">
        <v>531498.61</v>
      </c>
      <c r="M419" s="5">
        <v>237840.35</v>
      </c>
      <c r="N419" s="2" t="s">
        <v>59</v>
      </c>
    </row>
    <row r="420" spans="1:14" ht="12" customHeight="1">
      <c r="A420" s="2" t="s">
        <v>508</v>
      </c>
      <c r="B420" s="3">
        <v>45732</v>
      </c>
      <c r="C420" s="2" t="s">
        <v>15</v>
      </c>
      <c r="D420" s="2" t="s">
        <v>43</v>
      </c>
      <c r="E420" s="2" t="s">
        <v>17</v>
      </c>
      <c r="F420" s="2" t="s">
        <v>24</v>
      </c>
      <c r="G420" s="2" t="s">
        <v>70</v>
      </c>
      <c r="H420" s="4">
        <v>7</v>
      </c>
      <c r="I420" s="5">
        <v>98838.47</v>
      </c>
      <c r="J420" s="6">
        <v>0</v>
      </c>
      <c r="K420" s="5">
        <v>691869.29</v>
      </c>
      <c r="L420" s="5">
        <v>488521.59</v>
      </c>
      <c r="M420" s="5">
        <v>203347.7</v>
      </c>
      <c r="N420" s="2" t="s">
        <v>20</v>
      </c>
    </row>
    <row r="421" spans="1:14" ht="12" customHeight="1">
      <c r="A421" s="2" t="s">
        <v>509</v>
      </c>
      <c r="B421" s="3">
        <v>45863</v>
      </c>
      <c r="C421" s="2" t="s">
        <v>22</v>
      </c>
      <c r="D421" s="2" t="s">
        <v>23</v>
      </c>
      <c r="E421" s="2" t="s">
        <v>30</v>
      </c>
      <c r="F421" s="2" t="s">
        <v>86</v>
      </c>
      <c r="G421" s="2" t="s">
        <v>58</v>
      </c>
      <c r="H421" s="4">
        <v>6</v>
      </c>
      <c r="I421" s="5">
        <v>30782.61</v>
      </c>
      <c r="J421" s="6">
        <v>0</v>
      </c>
      <c r="K421" s="5">
        <v>184695.66</v>
      </c>
      <c r="L421" s="5">
        <v>137796.48000000001</v>
      </c>
      <c r="M421" s="5">
        <v>46899.18</v>
      </c>
      <c r="N421" s="2" t="s">
        <v>33</v>
      </c>
    </row>
    <row r="422" spans="1:14" ht="12" customHeight="1">
      <c r="A422" s="2" t="s">
        <v>510</v>
      </c>
      <c r="B422" s="3">
        <v>45923</v>
      </c>
      <c r="C422" s="2" t="s">
        <v>22</v>
      </c>
      <c r="D422" s="2" t="s">
        <v>37</v>
      </c>
      <c r="E422" s="2" t="s">
        <v>49</v>
      </c>
      <c r="F422" s="2" t="s">
        <v>107</v>
      </c>
      <c r="G422" s="2" t="s">
        <v>58</v>
      </c>
      <c r="H422" s="4">
        <v>1</v>
      </c>
      <c r="I422" s="5">
        <v>4951.82</v>
      </c>
      <c r="J422" s="6">
        <v>0.15</v>
      </c>
      <c r="K422" s="5">
        <v>4209.05</v>
      </c>
      <c r="L422" s="5">
        <v>2794.91</v>
      </c>
      <c r="M422" s="5">
        <v>1414.14</v>
      </c>
      <c r="N422" s="2" t="s">
        <v>26</v>
      </c>
    </row>
    <row r="423" spans="1:14" ht="12" customHeight="1">
      <c r="A423" s="2" t="s">
        <v>511</v>
      </c>
      <c r="B423" s="3">
        <v>45738</v>
      </c>
      <c r="C423" s="2" t="s">
        <v>22</v>
      </c>
      <c r="D423" s="2" t="s">
        <v>37</v>
      </c>
      <c r="E423" s="2" t="s">
        <v>44</v>
      </c>
      <c r="F423" s="2" t="s">
        <v>45</v>
      </c>
      <c r="G423" s="2" t="s">
        <v>19</v>
      </c>
      <c r="H423" s="4">
        <v>1</v>
      </c>
      <c r="I423" s="5">
        <v>27860.41</v>
      </c>
      <c r="J423" s="6">
        <v>0.15</v>
      </c>
      <c r="K423" s="5">
        <v>23681.35</v>
      </c>
      <c r="L423" s="5">
        <v>18430.38</v>
      </c>
      <c r="M423" s="5">
        <v>5250.97</v>
      </c>
      <c r="N423" s="2" t="s">
        <v>59</v>
      </c>
    </row>
    <row r="424" spans="1:14" ht="12" customHeight="1">
      <c r="A424" s="2" t="s">
        <v>512</v>
      </c>
      <c r="B424" s="3">
        <v>45704</v>
      </c>
      <c r="C424" s="2" t="s">
        <v>28</v>
      </c>
      <c r="D424" s="2" t="s">
        <v>56</v>
      </c>
      <c r="E424" s="2" t="s">
        <v>49</v>
      </c>
      <c r="F424" s="2" t="s">
        <v>107</v>
      </c>
      <c r="G424" s="2" t="s">
        <v>58</v>
      </c>
      <c r="H424" s="4">
        <v>4</v>
      </c>
      <c r="I424" s="5">
        <v>5214.76</v>
      </c>
      <c r="J424" s="6">
        <v>0.15</v>
      </c>
      <c r="K424" s="5">
        <v>17730.18</v>
      </c>
      <c r="L424" s="5">
        <v>11007.94</v>
      </c>
      <c r="M424" s="5">
        <v>6722.24</v>
      </c>
      <c r="N424" s="2" t="s">
        <v>59</v>
      </c>
    </row>
    <row r="425" spans="1:14" ht="12" customHeight="1">
      <c r="A425" s="2" t="s">
        <v>513</v>
      </c>
      <c r="B425" s="3">
        <v>45747</v>
      </c>
      <c r="C425" s="2" t="s">
        <v>28</v>
      </c>
      <c r="D425" s="2" t="s">
        <v>56</v>
      </c>
      <c r="E425" s="2" t="s">
        <v>44</v>
      </c>
      <c r="F425" s="2" t="s">
        <v>45</v>
      </c>
      <c r="G425" s="2" t="s">
        <v>25</v>
      </c>
      <c r="H425" s="4">
        <v>8</v>
      </c>
      <c r="I425" s="5">
        <v>30459.5</v>
      </c>
      <c r="J425" s="6">
        <v>0.1</v>
      </c>
      <c r="K425" s="5">
        <v>219308.4</v>
      </c>
      <c r="L425" s="5">
        <v>147489.49</v>
      </c>
      <c r="M425" s="5">
        <v>71818.91</v>
      </c>
      <c r="N425" s="2" t="s">
        <v>33</v>
      </c>
    </row>
    <row r="426" spans="1:14" ht="12" customHeight="1">
      <c r="A426" s="2" t="s">
        <v>514</v>
      </c>
      <c r="B426" s="3">
        <v>45952</v>
      </c>
      <c r="C426" s="2" t="s">
        <v>15</v>
      </c>
      <c r="D426" s="2" t="s">
        <v>16</v>
      </c>
      <c r="E426" s="2" t="s">
        <v>30</v>
      </c>
      <c r="F426" s="2" t="s">
        <v>38</v>
      </c>
      <c r="G426" s="2" t="s">
        <v>58</v>
      </c>
      <c r="H426" s="4">
        <v>2</v>
      </c>
      <c r="I426" s="5">
        <v>28308.71</v>
      </c>
      <c r="J426" s="6">
        <v>0.05</v>
      </c>
      <c r="K426" s="5">
        <v>53786.55</v>
      </c>
      <c r="L426" s="5">
        <v>37127.800000000003</v>
      </c>
      <c r="M426" s="5">
        <v>16658.75</v>
      </c>
      <c r="N426" s="2" t="s">
        <v>20</v>
      </c>
    </row>
    <row r="427" spans="1:14" ht="12" customHeight="1">
      <c r="A427" s="2" t="s">
        <v>515</v>
      </c>
      <c r="B427" s="3">
        <v>45958</v>
      </c>
      <c r="C427" s="2" t="s">
        <v>28</v>
      </c>
      <c r="D427" s="2" t="s">
        <v>29</v>
      </c>
      <c r="E427" s="2" t="s">
        <v>49</v>
      </c>
      <c r="F427" s="2" t="s">
        <v>50</v>
      </c>
      <c r="G427" s="2" t="s">
        <v>64</v>
      </c>
      <c r="H427" s="4">
        <v>6</v>
      </c>
      <c r="I427" s="5">
        <v>4509.95</v>
      </c>
      <c r="J427" s="6">
        <v>0.05</v>
      </c>
      <c r="K427" s="5">
        <v>25706.71</v>
      </c>
      <c r="L427" s="5">
        <v>12823.17</v>
      </c>
      <c r="M427" s="5">
        <v>12883.54</v>
      </c>
      <c r="N427" s="2"/>
    </row>
    <row r="428" spans="1:14" ht="12" customHeight="1">
      <c r="A428" s="2" t="s">
        <v>516</v>
      </c>
      <c r="B428" s="3">
        <v>45869</v>
      </c>
      <c r="C428" s="2" t="s">
        <v>22</v>
      </c>
      <c r="D428" s="2" t="s">
        <v>35</v>
      </c>
      <c r="E428" s="2" t="s">
        <v>17</v>
      </c>
      <c r="F428" s="2" t="s">
        <v>114</v>
      </c>
      <c r="G428" s="2" t="s">
        <v>32</v>
      </c>
      <c r="H428" s="4">
        <v>4</v>
      </c>
      <c r="I428" s="5">
        <v>53471.92</v>
      </c>
      <c r="J428" s="6">
        <v>0</v>
      </c>
      <c r="K428" s="5">
        <v>213887.68</v>
      </c>
      <c r="L428" s="5">
        <v>149797.65</v>
      </c>
      <c r="M428" s="5">
        <v>64090.03</v>
      </c>
      <c r="N428" s="2" t="s">
        <v>33</v>
      </c>
    </row>
    <row r="429" spans="1:14" ht="12" customHeight="1">
      <c r="A429" s="2" t="s">
        <v>517</v>
      </c>
      <c r="B429" s="3">
        <v>45696</v>
      </c>
      <c r="C429" s="2" t="s">
        <v>15</v>
      </c>
      <c r="D429" s="2" t="s">
        <v>63</v>
      </c>
      <c r="E429" s="2" t="s">
        <v>44</v>
      </c>
      <c r="F429" s="2" t="s">
        <v>69</v>
      </c>
      <c r="G429" s="2" t="s">
        <v>61</v>
      </c>
      <c r="H429" s="4">
        <v>2</v>
      </c>
      <c r="I429" s="5">
        <v>37385.5</v>
      </c>
      <c r="J429" s="6">
        <v>0.15</v>
      </c>
      <c r="K429" s="5">
        <v>63555.35</v>
      </c>
      <c r="L429" s="5">
        <v>53428.71</v>
      </c>
      <c r="M429" s="5">
        <v>10126.64</v>
      </c>
      <c r="N429" s="2" t="s">
        <v>20</v>
      </c>
    </row>
    <row r="430" spans="1:14" ht="12" customHeight="1">
      <c r="A430" s="2" t="s">
        <v>518</v>
      </c>
      <c r="B430" s="3">
        <v>45755</v>
      </c>
      <c r="C430" s="2" t="s">
        <v>28</v>
      </c>
      <c r="D430" s="2" t="s">
        <v>56</v>
      </c>
      <c r="E430" s="2" t="s">
        <v>44</v>
      </c>
      <c r="F430" s="2" t="s">
        <v>69</v>
      </c>
      <c r="G430" s="2" t="s">
        <v>70</v>
      </c>
      <c r="H430" s="4">
        <v>3</v>
      </c>
      <c r="I430" s="5">
        <v>40718.480000000003</v>
      </c>
      <c r="J430" s="6">
        <v>0.15</v>
      </c>
      <c r="K430" s="5">
        <v>103832.12</v>
      </c>
      <c r="L430" s="5">
        <v>80739.19</v>
      </c>
      <c r="M430" s="5">
        <v>23092.93</v>
      </c>
      <c r="N430" s="2" t="s">
        <v>26</v>
      </c>
    </row>
    <row r="431" spans="1:14" ht="12" customHeight="1">
      <c r="A431" s="2" t="s">
        <v>519</v>
      </c>
      <c r="B431" s="3">
        <v>45840</v>
      </c>
      <c r="C431" s="2" t="s">
        <v>22</v>
      </c>
      <c r="D431" s="2" t="s">
        <v>37</v>
      </c>
      <c r="E431" s="2" t="s">
        <v>44</v>
      </c>
      <c r="F431" s="2" t="s">
        <v>69</v>
      </c>
      <c r="G431" s="2" t="s">
        <v>61</v>
      </c>
      <c r="H431" s="4">
        <v>4</v>
      </c>
      <c r="I431" s="5">
        <v>36353.58</v>
      </c>
      <c r="J431" s="6">
        <v>0</v>
      </c>
      <c r="K431" s="5">
        <v>145414.32</v>
      </c>
      <c r="L431" s="5">
        <v>106968.52</v>
      </c>
      <c r="M431" s="5">
        <v>38445.800000000003</v>
      </c>
      <c r="N431" s="2" t="s">
        <v>33</v>
      </c>
    </row>
    <row r="432" spans="1:14" ht="12" customHeight="1">
      <c r="A432" s="2" t="s">
        <v>520</v>
      </c>
      <c r="B432" s="3">
        <v>45910</v>
      </c>
      <c r="C432" s="2" t="s">
        <v>22</v>
      </c>
      <c r="D432" s="2" t="s">
        <v>23</v>
      </c>
      <c r="E432" s="2" t="s">
        <v>49</v>
      </c>
      <c r="F432" s="2" t="s">
        <v>91</v>
      </c>
      <c r="G432" s="2" t="s">
        <v>58</v>
      </c>
      <c r="H432" s="4">
        <v>1</v>
      </c>
      <c r="I432" s="5">
        <v>6861.93</v>
      </c>
      <c r="J432" s="6">
        <v>0.05</v>
      </c>
      <c r="K432" s="5">
        <v>6518.83</v>
      </c>
      <c r="L432" s="5">
        <v>3648.41</v>
      </c>
      <c r="M432" s="5">
        <v>2870.42</v>
      </c>
      <c r="N432" s="2" t="s">
        <v>20</v>
      </c>
    </row>
    <row r="433" spans="1:14" ht="12" customHeight="1">
      <c r="A433" s="2" t="s">
        <v>521</v>
      </c>
      <c r="B433" s="3">
        <v>45874</v>
      </c>
      <c r="C433" s="2" t="s">
        <v>22</v>
      </c>
      <c r="D433" s="2" t="s">
        <v>37</v>
      </c>
      <c r="E433" s="2" t="s">
        <v>30</v>
      </c>
      <c r="F433" s="2" t="s">
        <v>40</v>
      </c>
      <c r="G433" s="2" t="s">
        <v>70</v>
      </c>
      <c r="H433" s="4">
        <v>4</v>
      </c>
      <c r="I433" s="5">
        <v>25480.66</v>
      </c>
      <c r="J433" s="6">
        <v>0</v>
      </c>
      <c r="K433" s="5">
        <v>101922.64</v>
      </c>
      <c r="L433" s="5">
        <v>61543.55</v>
      </c>
      <c r="M433" s="5">
        <v>40379.089999999997</v>
      </c>
      <c r="N433" s="2" t="s">
        <v>33</v>
      </c>
    </row>
    <row r="434" spans="1:14" ht="12" customHeight="1">
      <c r="A434" s="2" t="s">
        <v>522</v>
      </c>
      <c r="B434" s="3">
        <v>45819</v>
      </c>
      <c r="C434" s="2" t="s">
        <v>15</v>
      </c>
      <c r="D434" s="2" t="s">
        <v>63</v>
      </c>
      <c r="E434" s="2" t="s">
        <v>49</v>
      </c>
      <c r="F434" s="2" t="s">
        <v>50</v>
      </c>
      <c r="G434" s="2" t="s">
        <v>64</v>
      </c>
      <c r="H434" s="4">
        <v>8</v>
      </c>
      <c r="I434" s="5">
        <v>4520.21</v>
      </c>
      <c r="J434" s="6">
        <v>0.15</v>
      </c>
      <c r="K434" s="5">
        <v>30737.43</v>
      </c>
      <c r="L434" s="5">
        <v>16905.41</v>
      </c>
      <c r="M434" s="5">
        <v>13832.02</v>
      </c>
      <c r="N434" s="2" t="s">
        <v>33</v>
      </c>
    </row>
    <row r="435" spans="1:14" ht="12" customHeight="1">
      <c r="A435" s="2" t="s">
        <v>523</v>
      </c>
      <c r="B435" s="3">
        <v>45792</v>
      </c>
      <c r="C435" s="2" t="s">
        <v>15</v>
      </c>
      <c r="D435" s="2" t="s">
        <v>16</v>
      </c>
      <c r="E435" s="2" t="s">
        <v>49</v>
      </c>
      <c r="F435" s="2" t="s">
        <v>91</v>
      </c>
      <c r="G435" s="2" t="s">
        <v>47</v>
      </c>
      <c r="H435" s="4">
        <v>6</v>
      </c>
      <c r="I435" s="5">
        <v>6356.07</v>
      </c>
      <c r="J435" s="6">
        <v>0.05</v>
      </c>
      <c r="K435" s="5">
        <v>36229.599999999999</v>
      </c>
      <c r="L435" s="5">
        <v>21234.97</v>
      </c>
      <c r="M435" s="5">
        <v>14994.63</v>
      </c>
      <c r="N435" s="2" t="s">
        <v>59</v>
      </c>
    </row>
    <row r="436" spans="1:14" ht="12" customHeight="1">
      <c r="A436" s="2" t="s">
        <v>524</v>
      </c>
      <c r="B436" s="3">
        <v>45848</v>
      </c>
      <c r="C436" s="2" t="s">
        <v>28</v>
      </c>
      <c r="D436" s="2" t="s">
        <v>29</v>
      </c>
      <c r="E436" s="2" t="s">
        <v>30</v>
      </c>
      <c r="F436" s="2" t="s">
        <v>38</v>
      </c>
      <c r="G436" s="2" t="s">
        <v>32</v>
      </c>
      <c r="H436" s="4">
        <v>3</v>
      </c>
      <c r="I436" s="5">
        <v>26994.69</v>
      </c>
      <c r="J436" s="6">
        <v>0</v>
      </c>
      <c r="K436" s="5">
        <v>80984.070000000007</v>
      </c>
      <c r="L436" s="5">
        <v>53964.17</v>
      </c>
      <c r="M436" s="5">
        <v>27019.9</v>
      </c>
      <c r="N436" s="2" t="s">
        <v>20</v>
      </c>
    </row>
    <row r="437" spans="1:14" ht="12" customHeight="1">
      <c r="A437" s="2" t="s">
        <v>525</v>
      </c>
      <c r="B437" s="3">
        <v>45778</v>
      </c>
      <c r="C437" s="2" t="s">
        <v>28</v>
      </c>
      <c r="D437" s="2" t="s">
        <v>56</v>
      </c>
      <c r="E437" s="2" t="s">
        <v>44</v>
      </c>
      <c r="F437" s="2" t="s">
        <v>45</v>
      </c>
      <c r="G437" s="2" t="s">
        <v>25</v>
      </c>
      <c r="H437" s="4">
        <v>4</v>
      </c>
      <c r="I437" s="5">
        <v>29932.71</v>
      </c>
      <c r="J437" s="6">
        <v>0.15</v>
      </c>
      <c r="K437" s="5">
        <v>101771.21</v>
      </c>
      <c r="L437" s="5">
        <v>75156.13</v>
      </c>
      <c r="M437" s="5">
        <v>26615.08</v>
      </c>
      <c r="N437" s="2" t="s">
        <v>20</v>
      </c>
    </row>
    <row r="438" spans="1:14" ht="12" customHeight="1">
      <c r="A438" s="2" t="s">
        <v>526</v>
      </c>
      <c r="B438" s="3">
        <v>45980</v>
      </c>
      <c r="C438" s="2" t="s">
        <v>22</v>
      </c>
      <c r="D438" s="2" t="s">
        <v>23</v>
      </c>
      <c r="E438" s="2" t="s">
        <v>44</v>
      </c>
      <c r="F438" s="2" t="s">
        <v>53</v>
      </c>
      <c r="G438" s="2" t="s">
        <v>32</v>
      </c>
      <c r="H438" s="4">
        <v>1</v>
      </c>
      <c r="I438" s="5">
        <v>8060.19</v>
      </c>
      <c r="J438" s="6">
        <v>0.05</v>
      </c>
      <c r="K438" s="5">
        <v>7657.18</v>
      </c>
      <c r="L438" s="5">
        <v>4799.12</v>
      </c>
      <c r="M438" s="5">
        <v>2858.06</v>
      </c>
      <c r="N438" s="2" t="s">
        <v>20</v>
      </c>
    </row>
    <row r="439" spans="1:14" ht="12" customHeight="1">
      <c r="A439" s="2" t="s">
        <v>527</v>
      </c>
      <c r="B439" s="3">
        <v>45788</v>
      </c>
      <c r="C439" s="2" t="s">
        <v>28</v>
      </c>
      <c r="D439" s="2" t="s">
        <v>56</v>
      </c>
      <c r="E439" s="2" t="s">
        <v>17</v>
      </c>
      <c r="F439" s="2" t="s">
        <v>114</v>
      </c>
      <c r="G439" s="2" t="s">
        <v>70</v>
      </c>
      <c r="H439" s="4">
        <v>2</v>
      </c>
      <c r="I439" s="5">
        <v>53585.32</v>
      </c>
      <c r="J439" s="6">
        <v>0</v>
      </c>
      <c r="K439" s="5">
        <v>107170.64</v>
      </c>
      <c r="L439" s="5">
        <v>71911.039999999994</v>
      </c>
      <c r="M439" s="5">
        <v>35259.599999999999</v>
      </c>
      <c r="N439" s="2" t="s">
        <v>33</v>
      </c>
    </row>
    <row r="440" spans="1:14" ht="12" customHeight="1">
      <c r="A440" s="2" t="s">
        <v>528</v>
      </c>
      <c r="B440" s="3">
        <v>45789</v>
      </c>
      <c r="C440" s="2" t="s">
        <v>28</v>
      </c>
      <c r="D440" s="2" t="s">
        <v>29</v>
      </c>
      <c r="E440" s="2" t="s">
        <v>30</v>
      </c>
      <c r="F440" s="2" t="s">
        <v>38</v>
      </c>
      <c r="G440" s="2" t="s">
        <v>32</v>
      </c>
      <c r="H440" s="4">
        <v>6</v>
      </c>
      <c r="I440" s="5">
        <v>26396.52</v>
      </c>
      <c r="J440" s="6">
        <v>-0.05</v>
      </c>
      <c r="K440" s="5">
        <v>142541.21</v>
      </c>
      <c r="L440" s="5">
        <v>111804.74</v>
      </c>
      <c r="M440" s="5">
        <v>30736.47</v>
      </c>
      <c r="N440" s="2" t="s">
        <v>33</v>
      </c>
    </row>
    <row r="441" spans="1:14" ht="12" customHeight="1">
      <c r="A441" s="2" t="s">
        <v>529</v>
      </c>
      <c r="B441" s="3">
        <v>46002</v>
      </c>
      <c r="C441" s="2" t="s">
        <v>28</v>
      </c>
      <c r="D441" s="2" t="s">
        <v>52</v>
      </c>
      <c r="E441" s="2" t="s">
        <v>30</v>
      </c>
      <c r="F441" s="2" t="s">
        <v>86</v>
      </c>
      <c r="G441" s="2" t="s">
        <v>70</v>
      </c>
      <c r="H441" s="4">
        <v>3</v>
      </c>
      <c r="I441" s="5">
        <v>35531.089999999997</v>
      </c>
      <c r="J441" s="6">
        <v>0.05</v>
      </c>
      <c r="K441" s="5">
        <v>101263.61</v>
      </c>
      <c r="L441" s="5">
        <v>67152.89</v>
      </c>
      <c r="M441" s="5">
        <v>34110.720000000001</v>
      </c>
      <c r="N441" s="2" t="s">
        <v>20</v>
      </c>
    </row>
    <row r="442" spans="1:14" ht="12" customHeight="1">
      <c r="A442" s="2" t="s">
        <v>530</v>
      </c>
      <c r="B442" s="3">
        <v>45830</v>
      </c>
      <c r="C442" s="2" t="s">
        <v>22</v>
      </c>
      <c r="D442" s="2" t="s">
        <v>35</v>
      </c>
      <c r="E442" s="2" t="s">
        <v>30</v>
      </c>
      <c r="F442" s="2" t="s">
        <v>40</v>
      </c>
      <c r="G442" s="2" t="s">
        <v>25</v>
      </c>
      <c r="H442" s="4">
        <v>3</v>
      </c>
      <c r="I442" s="5">
        <v>25943.57</v>
      </c>
      <c r="J442" s="6">
        <v>0.15</v>
      </c>
      <c r="K442" s="5">
        <v>66156.100000000006</v>
      </c>
      <c r="L442" s="5">
        <v>48658.01</v>
      </c>
      <c r="M442" s="5">
        <v>17498.09</v>
      </c>
      <c r="N442" s="2" t="s">
        <v>20</v>
      </c>
    </row>
    <row r="443" spans="1:14" ht="12" customHeight="1">
      <c r="A443" s="2" t="s">
        <v>531</v>
      </c>
      <c r="B443" s="3">
        <v>45794</v>
      </c>
      <c r="C443" s="2" t="s">
        <v>22</v>
      </c>
      <c r="D443" s="2" t="s">
        <v>23</v>
      </c>
      <c r="E443" s="2" t="s">
        <v>44</v>
      </c>
      <c r="F443" s="2" t="s">
        <v>69</v>
      </c>
      <c r="G443" s="2" t="s">
        <v>25</v>
      </c>
      <c r="H443" s="4">
        <v>4</v>
      </c>
      <c r="I443" s="5">
        <v>36865.97</v>
      </c>
      <c r="J443" s="6">
        <v>0.15</v>
      </c>
      <c r="K443" s="5">
        <v>125344.3</v>
      </c>
      <c r="L443" s="5">
        <v>103001.07</v>
      </c>
      <c r="M443" s="5">
        <v>22343.23</v>
      </c>
      <c r="N443" s="2" t="s">
        <v>59</v>
      </c>
    </row>
    <row r="444" spans="1:14" ht="12" customHeight="1">
      <c r="A444" s="2" t="s">
        <v>532</v>
      </c>
      <c r="B444" s="3">
        <v>45778</v>
      </c>
      <c r="C444" s="2" t="s">
        <v>28</v>
      </c>
      <c r="D444" s="2" t="s">
        <v>56</v>
      </c>
      <c r="E444" s="2" t="s">
        <v>49</v>
      </c>
      <c r="F444" s="2" t="s">
        <v>107</v>
      </c>
      <c r="G444" s="2" t="s">
        <v>58</v>
      </c>
      <c r="H444" s="4">
        <v>3</v>
      </c>
      <c r="I444" s="5">
        <v>4936.99</v>
      </c>
      <c r="J444" s="6">
        <v>0</v>
      </c>
      <c r="K444" s="5">
        <v>14810.97</v>
      </c>
      <c r="L444" s="5">
        <v>7927.9</v>
      </c>
      <c r="M444" s="5">
        <v>6883.07</v>
      </c>
      <c r="N444" s="2" t="s">
        <v>33</v>
      </c>
    </row>
    <row r="445" spans="1:14" ht="12" customHeight="1">
      <c r="A445" s="2" t="s">
        <v>533</v>
      </c>
      <c r="B445" s="3">
        <v>45671</v>
      </c>
      <c r="C445" s="2" t="s">
        <v>22</v>
      </c>
      <c r="D445" s="2" t="s">
        <v>23</v>
      </c>
      <c r="E445" s="2" t="s">
        <v>49</v>
      </c>
      <c r="F445" s="2" t="s">
        <v>91</v>
      </c>
      <c r="G445" s="2" t="s">
        <v>25</v>
      </c>
      <c r="H445" s="4">
        <v>2</v>
      </c>
      <c r="I445" s="5">
        <v>6046.34</v>
      </c>
      <c r="J445" s="6">
        <v>0.05</v>
      </c>
      <c r="K445" s="5">
        <v>11488.05</v>
      </c>
      <c r="L445" s="5">
        <v>7260.41</v>
      </c>
      <c r="M445" s="5">
        <v>4227.6400000000003</v>
      </c>
      <c r="N445" s="2" t="s">
        <v>33</v>
      </c>
    </row>
    <row r="446" spans="1:14" ht="12" customHeight="1">
      <c r="A446" s="2" t="s">
        <v>534</v>
      </c>
      <c r="B446" s="3">
        <v>45884</v>
      </c>
      <c r="C446" s="2" t="s">
        <v>22</v>
      </c>
      <c r="D446" s="2" t="s">
        <v>35</v>
      </c>
      <c r="E446" s="2" t="s">
        <v>44</v>
      </c>
      <c r="F446" s="2" t="s">
        <v>80</v>
      </c>
      <c r="G446" s="2" t="s">
        <v>61</v>
      </c>
      <c r="H446" s="4">
        <v>7</v>
      </c>
      <c r="I446" s="5">
        <v>41688.47</v>
      </c>
      <c r="J446" s="6">
        <v>0</v>
      </c>
      <c r="K446" s="5">
        <v>291819.28999999998</v>
      </c>
      <c r="L446" s="5">
        <v>221694.04</v>
      </c>
      <c r="M446" s="5">
        <v>70125.25</v>
      </c>
      <c r="N446" s="2" t="s">
        <v>26</v>
      </c>
    </row>
    <row r="447" spans="1:14" ht="12" customHeight="1">
      <c r="A447" s="2" t="s">
        <v>535</v>
      </c>
      <c r="B447" s="3">
        <v>45897</v>
      </c>
      <c r="C447" s="2" t="s">
        <v>15</v>
      </c>
      <c r="D447" s="2" t="s">
        <v>16</v>
      </c>
      <c r="E447" s="2" t="s">
        <v>17</v>
      </c>
      <c r="F447" s="2" t="s">
        <v>75</v>
      </c>
      <c r="G447" s="2" t="s">
        <v>58</v>
      </c>
      <c r="H447" s="4">
        <v>6</v>
      </c>
      <c r="I447" s="5">
        <v>195666.92</v>
      </c>
      <c r="J447" s="6">
        <v>0.05</v>
      </c>
      <c r="K447" s="5">
        <v>1115301.44</v>
      </c>
      <c r="L447" s="5">
        <v>877983.34</v>
      </c>
      <c r="M447" s="5">
        <v>237318.1</v>
      </c>
      <c r="N447" s="2" t="s">
        <v>20</v>
      </c>
    </row>
    <row r="448" spans="1:14" ht="12" customHeight="1">
      <c r="A448" s="2" t="s">
        <v>536</v>
      </c>
      <c r="B448" s="3">
        <v>45835</v>
      </c>
      <c r="C448" s="2" t="s">
        <v>22</v>
      </c>
      <c r="D448" s="2" t="s">
        <v>37</v>
      </c>
      <c r="E448" s="2" t="s">
        <v>44</v>
      </c>
      <c r="F448" s="2" t="s">
        <v>53</v>
      </c>
      <c r="G448" s="2" t="s">
        <v>70</v>
      </c>
      <c r="H448" s="4">
        <v>7</v>
      </c>
      <c r="I448" s="5">
        <v>8531.91</v>
      </c>
      <c r="J448" s="6">
        <v>0.15</v>
      </c>
      <c r="K448" s="5">
        <v>50764.86</v>
      </c>
      <c r="L448" s="5">
        <v>34552.620000000003</v>
      </c>
      <c r="M448" s="5">
        <v>16212.24</v>
      </c>
      <c r="N448" s="2" t="s">
        <v>26</v>
      </c>
    </row>
    <row r="449" spans="1:14" ht="12" customHeight="1">
      <c r="A449" s="2" t="s">
        <v>537</v>
      </c>
      <c r="B449" s="3">
        <v>45925</v>
      </c>
      <c r="C449" s="2" t="s">
        <v>22</v>
      </c>
      <c r="D449" s="2" t="s">
        <v>35</v>
      </c>
      <c r="E449" s="2" t="s">
        <v>30</v>
      </c>
      <c r="F449" s="2" t="s">
        <v>38</v>
      </c>
      <c r="G449" s="2" t="s">
        <v>61</v>
      </c>
      <c r="H449" s="4">
        <v>7</v>
      </c>
      <c r="I449" s="5">
        <v>25962.37</v>
      </c>
      <c r="J449" s="6">
        <v>0.05</v>
      </c>
      <c r="K449" s="5">
        <v>172649.76</v>
      </c>
      <c r="L449" s="5">
        <v>122313.1</v>
      </c>
      <c r="M449" s="5">
        <v>50336.66</v>
      </c>
      <c r="N449" s="2" t="s">
        <v>59</v>
      </c>
    </row>
    <row r="450" spans="1:14" ht="12" customHeight="1">
      <c r="A450" s="2" t="s">
        <v>538</v>
      </c>
      <c r="B450" s="3">
        <v>45963</v>
      </c>
      <c r="C450" s="2" t="s">
        <v>28</v>
      </c>
      <c r="D450" s="2" t="s">
        <v>56</v>
      </c>
      <c r="E450" s="2" t="s">
        <v>17</v>
      </c>
      <c r="F450" s="2" t="s">
        <v>114</v>
      </c>
      <c r="G450" s="2" t="s">
        <v>47</v>
      </c>
      <c r="H450" s="4">
        <v>8</v>
      </c>
      <c r="I450" s="5">
        <v>50332.76</v>
      </c>
      <c r="J450" s="6">
        <v>0.05</v>
      </c>
      <c r="K450" s="5">
        <v>382528.98</v>
      </c>
      <c r="L450" s="5">
        <v>299550.40000000002</v>
      </c>
      <c r="M450" s="5">
        <v>82978.58</v>
      </c>
      <c r="N450" s="2" t="s">
        <v>33</v>
      </c>
    </row>
    <row r="451" spans="1:14" ht="12" customHeight="1">
      <c r="A451" s="2" t="s">
        <v>539</v>
      </c>
      <c r="B451" s="3">
        <v>45988</v>
      </c>
      <c r="C451" s="2" t="s">
        <v>15</v>
      </c>
      <c r="D451" s="2" t="s">
        <v>63</v>
      </c>
      <c r="E451" s="2" t="s">
        <v>44</v>
      </c>
      <c r="F451" s="2" t="s">
        <v>53</v>
      </c>
      <c r="G451" s="2" t="s">
        <v>25</v>
      </c>
      <c r="H451" s="4">
        <v>7</v>
      </c>
      <c r="I451" s="5">
        <v>8356.86</v>
      </c>
      <c r="J451" s="6">
        <v>0</v>
      </c>
      <c r="K451" s="5">
        <v>58498.02</v>
      </c>
      <c r="L451" s="5">
        <v>34987.57</v>
      </c>
      <c r="M451" s="5">
        <v>23510.45</v>
      </c>
      <c r="N451" s="2" t="s">
        <v>20</v>
      </c>
    </row>
    <row r="452" spans="1:14" ht="12" customHeight="1">
      <c r="A452" s="2" t="s">
        <v>540</v>
      </c>
      <c r="B452" s="3">
        <v>46008</v>
      </c>
      <c r="C452" s="2" t="s">
        <v>22</v>
      </c>
      <c r="D452" s="2" t="s">
        <v>35</v>
      </c>
      <c r="E452" s="2" t="s">
        <v>17</v>
      </c>
      <c r="F452" s="2" t="s">
        <v>114</v>
      </c>
      <c r="G452" s="2" t="s">
        <v>58</v>
      </c>
      <c r="H452" s="4">
        <v>4</v>
      </c>
      <c r="I452" s="5">
        <v>52138.2</v>
      </c>
      <c r="J452" s="6">
        <v>0.1</v>
      </c>
      <c r="K452" s="5">
        <v>187697.52</v>
      </c>
      <c r="L452" s="5">
        <v>149873.42000000001</v>
      </c>
      <c r="M452" s="5">
        <v>37824.1</v>
      </c>
      <c r="N452" s="2" t="s">
        <v>59</v>
      </c>
    </row>
    <row r="453" spans="1:14" ht="12" customHeight="1">
      <c r="A453" s="2" t="s">
        <v>541</v>
      </c>
      <c r="B453" s="3">
        <v>45714</v>
      </c>
      <c r="C453" s="2" t="s">
        <v>15</v>
      </c>
      <c r="D453" s="2" t="s">
        <v>43</v>
      </c>
      <c r="E453" s="2" t="s">
        <v>30</v>
      </c>
      <c r="F453" s="2" t="s">
        <v>40</v>
      </c>
      <c r="G453" s="2" t="s">
        <v>70</v>
      </c>
      <c r="H453" s="4">
        <v>4</v>
      </c>
      <c r="I453" s="5">
        <v>25885.65</v>
      </c>
      <c r="J453" s="6">
        <v>0</v>
      </c>
      <c r="K453" s="5">
        <v>103542.6</v>
      </c>
      <c r="L453" s="5">
        <v>61908.42</v>
      </c>
      <c r="M453" s="5">
        <v>41634.18</v>
      </c>
      <c r="N453" s="2" t="s">
        <v>20</v>
      </c>
    </row>
    <row r="454" spans="1:14" ht="12" customHeight="1">
      <c r="A454" s="2" t="s">
        <v>542</v>
      </c>
      <c r="B454" s="3">
        <v>45669</v>
      </c>
      <c r="C454" s="2" t="s">
        <v>28</v>
      </c>
      <c r="D454" s="2" t="s">
        <v>29</v>
      </c>
      <c r="E454" s="2" t="s">
        <v>49</v>
      </c>
      <c r="F454" s="2" t="s">
        <v>50</v>
      </c>
      <c r="G454" s="2" t="s">
        <v>61</v>
      </c>
      <c r="H454" s="4">
        <v>6</v>
      </c>
      <c r="I454" s="5">
        <v>3877.03</v>
      </c>
      <c r="J454" s="6">
        <v>0</v>
      </c>
      <c r="K454" s="5">
        <v>23262.18</v>
      </c>
      <c r="L454" s="5">
        <v>13077.29</v>
      </c>
      <c r="M454" s="5">
        <v>10184.89</v>
      </c>
      <c r="N454" s="2" t="s">
        <v>33</v>
      </c>
    </row>
    <row r="455" spans="1:14" ht="12" customHeight="1">
      <c r="A455" s="2" t="s">
        <v>543</v>
      </c>
      <c r="B455" s="3">
        <v>45769</v>
      </c>
      <c r="C455" s="2" t="s">
        <v>28</v>
      </c>
      <c r="D455" s="2" t="s">
        <v>56</v>
      </c>
      <c r="E455" s="2" t="s">
        <v>44</v>
      </c>
      <c r="F455" s="2" t="s">
        <v>53</v>
      </c>
      <c r="G455" s="2" t="s">
        <v>32</v>
      </c>
      <c r="H455" s="4">
        <v>1</v>
      </c>
      <c r="I455" s="5">
        <v>8136.62</v>
      </c>
      <c r="J455" s="6">
        <v>0</v>
      </c>
      <c r="K455" s="5">
        <v>8136.62</v>
      </c>
      <c r="L455" s="5">
        <v>4758.05</v>
      </c>
      <c r="M455" s="5">
        <v>3378.57</v>
      </c>
      <c r="N455" s="2" t="s">
        <v>20</v>
      </c>
    </row>
    <row r="456" spans="1:14" ht="12" customHeight="1">
      <c r="A456" s="2" t="s">
        <v>544</v>
      </c>
      <c r="B456" s="3">
        <v>45858</v>
      </c>
      <c r="C456" s="2" t="s">
        <v>28</v>
      </c>
      <c r="D456" s="2" t="s">
        <v>56</v>
      </c>
      <c r="E456" s="2" t="s">
        <v>30</v>
      </c>
      <c r="F456" s="2" t="s">
        <v>40</v>
      </c>
      <c r="G456" s="2" t="s">
        <v>19</v>
      </c>
      <c r="H456" s="4">
        <v>1</v>
      </c>
      <c r="I456" s="5">
        <v>23834.57</v>
      </c>
      <c r="J456" s="6">
        <v>0</v>
      </c>
      <c r="K456" s="5">
        <v>23834.57</v>
      </c>
      <c r="L456" s="5">
        <v>15387.98</v>
      </c>
      <c r="M456" s="5">
        <v>8446.59</v>
      </c>
      <c r="N456" s="2" t="s">
        <v>20</v>
      </c>
    </row>
    <row r="457" spans="1:14" ht="12" customHeight="1">
      <c r="A457" s="2" t="s">
        <v>545</v>
      </c>
      <c r="B457" s="3">
        <v>45884</v>
      </c>
      <c r="C457" s="2" t="s">
        <v>22</v>
      </c>
      <c r="D457" s="2" t="s">
        <v>23</v>
      </c>
      <c r="E457" s="2" t="s">
        <v>30</v>
      </c>
      <c r="F457" s="2" t="s">
        <v>40</v>
      </c>
      <c r="G457" s="2" t="s">
        <v>47</v>
      </c>
      <c r="H457" s="4">
        <v>1</v>
      </c>
      <c r="I457" s="5">
        <v>23018.09</v>
      </c>
      <c r="J457" s="6">
        <v>0.15</v>
      </c>
      <c r="K457" s="5">
        <v>19565.38</v>
      </c>
      <c r="L457" s="5">
        <v>15601.35</v>
      </c>
      <c r="M457" s="5">
        <v>3964.03</v>
      </c>
      <c r="N457" s="2" t="s">
        <v>33</v>
      </c>
    </row>
    <row r="458" spans="1:14" ht="12" customHeight="1">
      <c r="A458" s="2" t="s">
        <v>546</v>
      </c>
      <c r="B458" s="3">
        <v>45739</v>
      </c>
      <c r="C458" s="2" t="s">
        <v>22</v>
      </c>
      <c r="D458" s="2" t="s">
        <v>35</v>
      </c>
      <c r="E458" s="2" t="s">
        <v>17</v>
      </c>
      <c r="F458" s="2" t="s">
        <v>24</v>
      </c>
      <c r="G458" s="2" t="s">
        <v>64</v>
      </c>
      <c r="H458" s="4">
        <v>8</v>
      </c>
      <c r="I458" s="5">
        <v>90367.89</v>
      </c>
      <c r="J458" s="6">
        <v>0.05</v>
      </c>
      <c r="K458" s="5">
        <v>686795.96</v>
      </c>
      <c r="L458" s="5">
        <v>563331.07999999996</v>
      </c>
      <c r="M458" s="5">
        <v>123464.88</v>
      </c>
      <c r="N458" s="2" t="s">
        <v>33</v>
      </c>
    </row>
    <row r="459" spans="1:14" ht="12" customHeight="1">
      <c r="A459" s="2" t="s">
        <v>547</v>
      </c>
      <c r="B459" s="3">
        <v>45715</v>
      </c>
      <c r="C459" s="2" t="s">
        <v>28</v>
      </c>
      <c r="D459" s="2" t="s">
        <v>56</v>
      </c>
      <c r="E459" s="2" t="s">
        <v>30</v>
      </c>
      <c r="F459" s="2" t="s">
        <v>86</v>
      </c>
      <c r="G459" s="2" t="s">
        <v>47</v>
      </c>
      <c r="H459" s="4">
        <v>6</v>
      </c>
      <c r="I459" s="5">
        <v>35046.1</v>
      </c>
      <c r="J459" s="6">
        <v>0.15</v>
      </c>
      <c r="K459" s="5">
        <v>178735.11</v>
      </c>
      <c r="L459" s="5">
        <v>133008.1</v>
      </c>
      <c r="M459" s="5">
        <v>45727.01</v>
      </c>
      <c r="N459" s="2" t="s">
        <v>20</v>
      </c>
    </row>
    <row r="460" spans="1:14" ht="12" customHeight="1">
      <c r="A460" s="2" t="s">
        <v>548</v>
      </c>
      <c r="B460" s="3">
        <v>45679</v>
      </c>
      <c r="C460" s="2" t="s">
        <v>28</v>
      </c>
      <c r="D460" s="2" t="s">
        <v>52</v>
      </c>
      <c r="E460" s="2" t="s">
        <v>44</v>
      </c>
      <c r="F460" s="2" t="s">
        <v>69</v>
      </c>
      <c r="G460" s="2" t="s">
        <v>70</v>
      </c>
      <c r="H460" s="4">
        <v>2</v>
      </c>
      <c r="I460" s="5">
        <v>37366.51</v>
      </c>
      <c r="J460" s="6">
        <v>0</v>
      </c>
      <c r="K460" s="5">
        <v>74733.02</v>
      </c>
      <c r="L460" s="5">
        <v>50472.5</v>
      </c>
      <c r="M460" s="5">
        <v>24260.52</v>
      </c>
      <c r="N460" s="2" t="s">
        <v>26</v>
      </c>
    </row>
    <row r="461" spans="1:14" ht="12" customHeight="1">
      <c r="A461" s="2" t="s">
        <v>549</v>
      </c>
      <c r="B461" s="3">
        <v>45978</v>
      </c>
      <c r="C461" s="2" t="s">
        <v>28</v>
      </c>
      <c r="D461" s="2" t="s">
        <v>52</v>
      </c>
      <c r="E461" s="2" t="s">
        <v>44</v>
      </c>
      <c r="F461" s="2" t="s">
        <v>45</v>
      </c>
      <c r="G461" s="2" t="s">
        <v>64</v>
      </c>
      <c r="H461" s="4">
        <v>8</v>
      </c>
      <c r="I461" s="5">
        <v>26636.79</v>
      </c>
      <c r="J461" s="6">
        <v>0.1</v>
      </c>
      <c r="K461" s="5">
        <v>191784.89</v>
      </c>
      <c r="L461" s="5">
        <v>151040.81</v>
      </c>
      <c r="M461" s="5">
        <v>40744.080000000002</v>
      </c>
      <c r="N461" s="2" t="s">
        <v>33</v>
      </c>
    </row>
    <row r="462" spans="1:14" ht="12" customHeight="1">
      <c r="A462" s="2" t="s">
        <v>550</v>
      </c>
      <c r="B462" s="3">
        <v>45988</v>
      </c>
      <c r="C462" s="2" t="s">
        <v>28</v>
      </c>
      <c r="D462" s="2" t="s">
        <v>29</v>
      </c>
      <c r="E462" s="2" t="s">
        <v>44</v>
      </c>
      <c r="F462" s="2" t="s">
        <v>80</v>
      </c>
      <c r="G462" s="2" t="s">
        <v>32</v>
      </c>
      <c r="H462" s="4">
        <v>3</v>
      </c>
      <c r="I462" s="5">
        <v>42916.36</v>
      </c>
      <c r="J462" s="6">
        <v>0.05</v>
      </c>
      <c r="K462" s="5">
        <v>122311.63</v>
      </c>
      <c r="L462" s="5">
        <v>96600.71</v>
      </c>
      <c r="M462" s="5">
        <v>25710.92</v>
      </c>
      <c r="N462" s="2" t="s">
        <v>20</v>
      </c>
    </row>
    <row r="463" spans="1:14" ht="12" customHeight="1">
      <c r="A463" s="2" t="s">
        <v>551</v>
      </c>
      <c r="B463" s="3">
        <v>45906</v>
      </c>
      <c r="C463" s="2" t="s">
        <v>15</v>
      </c>
      <c r="D463" s="2" t="s">
        <v>16</v>
      </c>
      <c r="E463" s="2" t="s">
        <v>17</v>
      </c>
      <c r="F463" s="2" t="s">
        <v>114</v>
      </c>
      <c r="G463" s="2" t="s">
        <v>70</v>
      </c>
      <c r="H463" s="4">
        <v>6</v>
      </c>
      <c r="I463" s="5">
        <v>53867</v>
      </c>
      <c r="J463" s="6">
        <v>0.05</v>
      </c>
      <c r="K463" s="5">
        <v>307041.90000000002</v>
      </c>
      <c r="L463" s="5">
        <v>226206.5</v>
      </c>
      <c r="M463" s="5">
        <v>80835.399999999994</v>
      </c>
      <c r="N463" s="2" t="s">
        <v>59</v>
      </c>
    </row>
    <row r="464" spans="1:14" ht="12" customHeight="1">
      <c r="A464" s="2" t="s">
        <v>552</v>
      </c>
      <c r="B464" s="3">
        <v>45798</v>
      </c>
      <c r="C464" s="2" t="s">
        <v>15</v>
      </c>
      <c r="D464" s="2" t="s">
        <v>43</v>
      </c>
      <c r="E464" s="2" t="s">
        <v>49</v>
      </c>
      <c r="F464" s="2" t="s">
        <v>50</v>
      </c>
      <c r="G464" s="2" t="s">
        <v>61</v>
      </c>
      <c r="H464" s="4">
        <v>3</v>
      </c>
      <c r="I464" s="5">
        <v>4229.3100000000004</v>
      </c>
      <c r="J464" s="6">
        <v>0.05</v>
      </c>
      <c r="K464" s="5">
        <v>12053.53</v>
      </c>
      <c r="L464" s="5">
        <v>6433.99</v>
      </c>
      <c r="M464" s="5">
        <v>5619.54</v>
      </c>
      <c r="N464" s="2" t="s">
        <v>33</v>
      </c>
    </row>
    <row r="465" spans="1:14" ht="12" customHeight="1">
      <c r="A465" s="2" t="s">
        <v>553</v>
      </c>
      <c r="B465" s="3">
        <v>45984</v>
      </c>
      <c r="C465" s="2" t="s">
        <v>15</v>
      </c>
      <c r="D465" s="2" t="s">
        <v>16</v>
      </c>
      <c r="E465" s="2" t="s">
        <v>49</v>
      </c>
      <c r="F465" s="2" t="s">
        <v>57</v>
      </c>
      <c r="G465" s="2" t="s">
        <v>25</v>
      </c>
      <c r="H465" s="4">
        <v>5</v>
      </c>
      <c r="I465" s="5">
        <v>11576.55</v>
      </c>
      <c r="J465" s="6">
        <v>0.05</v>
      </c>
      <c r="K465" s="5">
        <v>54988.61</v>
      </c>
      <c r="L465" s="5">
        <v>31526.639999999999</v>
      </c>
      <c r="M465" s="5">
        <v>23461.97</v>
      </c>
      <c r="N465" s="2" t="s">
        <v>26</v>
      </c>
    </row>
    <row r="466" spans="1:14" ht="12" customHeight="1">
      <c r="A466" s="2" t="s">
        <v>554</v>
      </c>
      <c r="B466" s="3">
        <v>45856</v>
      </c>
      <c r="C466" s="2" t="s">
        <v>22</v>
      </c>
      <c r="D466" s="2" t="s">
        <v>37</v>
      </c>
      <c r="E466" s="2" t="s">
        <v>30</v>
      </c>
      <c r="F466" s="2" t="s">
        <v>86</v>
      </c>
      <c r="G466" s="2" t="s">
        <v>47</v>
      </c>
      <c r="H466" s="4">
        <v>6</v>
      </c>
      <c r="I466" s="5">
        <v>34166.9</v>
      </c>
      <c r="J466" s="6">
        <v>0.15</v>
      </c>
      <c r="K466" s="5">
        <v>174251.19</v>
      </c>
      <c r="L466" s="5">
        <v>140089.69</v>
      </c>
      <c r="M466" s="5">
        <v>34161.5</v>
      </c>
      <c r="N466" s="2" t="s">
        <v>20</v>
      </c>
    </row>
    <row r="467" spans="1:14" ht="12" customHeight="1">
      <c r="A467" s="2" t="s">
        <v>555</v>
      </c>
      <c r="B467" s="3">
        <v>45995</v>
      </c>
      <c r="C467" s="2" t="s">
        <v>15</v>
      </c>
      <c r="D467" s="2" t="s">
        <v>16</v>
      </c>
      <c r="E467" s="2" t="s">
        <v>30</v>
      </c>
      <c r="F467" s="2" t="s">
        <v>38</v>
      </c>
      <c r="G467" s="2" t="s">
        <v>19</v>
      </c>
      <c r="H467" s="4">
        <v>7</v>
      </c>
      <c r="I467" s="5">
        <v>27608.7</v>
      </c>
      <c r="J467" s="6">
        <v>0</v>
      </c>
      <c r="K467" s="5">
        <v>193260.9</v>
      </c>
      <c r="L467" s="5">
        <v>123068.98</v>
      </c>
      <c r="M467" s="5">
        <v>70191.92</v>
      </c>
      <c r="N467" s="2" t="s">
        <v>33</v>
      </c>
    </row>
    <row r="468" spans="1:14" ht="12" customHeight="1">
      <c r="A468" s="2" t="s">
        <v>556</v>
      </c>
      <c r="B468" s="3">
        <v>45986</v>
      </c>
      <c r="C468" s="2" t="s">
        <v>22</v>
      </c>
      <c r="D468" s="2"/>
      <c r="E468" s="2" t="s">
        <v>17</v>
      </c>
      <c r="F468" s="2" t="s">
        <v>24</v>
      </c>
      <c r="G468" s="2" t="s">
        <v>25</v>
      </c>
      <c r="H468" s="4">
        <v>2</v>
      </c>
      <c r="I468" s="5">
        <v>91784.65</v>
      </c>
      <c r="J468" s="6">
        <v>0</v>
      </c>
      <c r="K468" s="5">
        <v>183569.3</v>
      </c>
      <c r="L468" s="5">
        <v>132222.9</v>
      </c>
      <c r="M468" s="5">
        <v>51346.400000000001</v>
      </c>
      <c r="N468" s="2" t="s">
        <v>20</v>
      </c>
    </row>
    <row r="469" spans="1:14" ht="12" customHeight="1">
      <c r="A469" s="2" t="s">
        <v>557</v>
      </c>
      <c r="B469" s="3">
        <v>45764</v>
      </c>
      <c r="C469" s="2" t="s">
        <v>15</v>
      </c>
      <c r="D469" s="2" t="s">
        <v>43</v>
      </c>
      <c r="E469" s="2" t="s">
        <v>30</v>
      </c>
      <c r="F469" s="2" t="s">
        <v>31</v>
      </c>
      <c r="G469" s="2" t="s">
        <v>70</v>
      </c>
      <c r="H469" s="4">
        <v>6</v>
      </c>
      <c r="I469" s="5">
        <v>128967.61</v>
      </c>
      <c r="J469" s="6">
        <v>0.15</v>
      </c>
      <c r="K469" s="5">
        <v>657734.81000000006</v>
      </c>
      <c r="L469" s="5">
        <v>590826.47</v>
      </c>
      <c r="M469" s="5">
        <v>66908.34</v>
      </c>
      <c r="N469" s="2" t="s">
        <v>33</v>
      </c>
    </row>
    <row r="470" spans="1:14" ht="12" customHeight="1">
      <c r="A470" s="2" t="s">
        <v>558</v>
      </c>
      <c r="B470" s="3">
        <v>45973</v>
      </c>
      <c r="C470" s="2" t="s">
        <v>28</v>
      </c>
      <c r="D470" s="2" t="s">
        <v>29</v>
      </c>
      <c r="E470" s="2" t="s">
        <v>17</v>
      </c>
      <c r="F470" s="2" t="s">
        <v>18</v>
      </c>
      <c r="G470" s="2" t="s">
        <v>58</v>
      </c>
      <c r="H470" s="4">
        <v>7</v>
      </c>
      <c r="I470" s="5">
        <v>15247.1</v>
      </c>
      <c r="J470" s="6">
        <v>0.15</v>
      </c>
      <c r="K470" s="5">
        <v>90720.24</v>
      </c>
      <c r="L470" s="5">
        <v>55912.25</v>
      </c>
      <c r="M470" s="5">
        <v>34807.99</v>
      </c>
      <c r="N470" s="2" t="s">
        <v>33</v>
      </c>
    </row>
    <row r="471" spans="1:14" ht="12" customHeight="1">
      <c r="A471" s="2" t="s">
        <v>559</v>
      </c>
      <c r="B471" s="3">
        <v>45776</v>
      </c>
      <c r="C471" s="2" t="s">
        <v>428</v>
      </c>
      <c r="D471" s="2" t="s">
        <v>16</v>
      </c>
      <c r="E471" s="2" t="s">
        <v>30</v>
      </c>
      <c r="F471" s="2" t="s">
        <v>31</v>
      </c>
      <c r="G471" s="2" t="s">
        <v>25</v>
      </c>
      <c r="H471" s="4">
        <v>4</v>
      </c>
      <c r="I471" s="5">
        <v>144948.67000000001</v>
      </c>
      <c r="J471" s="6">
        <v>0</v>
      </c>
      <c r="K471" s="5">
        <v>579794.68000000005</v>
      </c>
      <c r="L471" s="5">
        <v>394742.65</v>
      </c>
      <c r="M471" s="5">
        <v>185052.03</v>
      </c>
      <c r="N471" s="2" t="s">
        <v>26</v>
      </c>
    </row>
    <row r="472" spans="1:14" ht="12" customHeight="1">
      <c r="A472" s="2" t="s">
        <v>560</v>
      </c>
      <c r="B472" s="3">
        <v>46003</v>
      </c>
      <c r="C472" s="2" t="s">
        <v>22</v>
      </c>
      <c r="D472" s="2" t="s">
        <v>37</v>
      </c>
      <c r="E472" s="2" t="s">
        <v>316</v>
      </c>
      <c r="F472" s="2" t="s">
        <v>45</v>
      </c>
      <c r="G472" s="2" t="s">
        <v>70</v>
      </c>
      <c r="H472" s="4">
        <v>7</v>
      </c>
      <c r="I472" s="5">
        <v>29622.25</v>
      </c>
      <c r="J472" s="6">
        <v>0.15</v>
      </c>
      <c r="K472" s="5">
        <v>176252.39</v>
      </c>
      <c r="L472" s="5">
        <v>134377.81</v>
      </c>
      <c r="M472" s="5">
        <v>41874.58</v>
      </c>
      <c r="N472" s="2" t="s">
        <v>20</v>
      </c>
    </row>
    <row r="473" spans="1:14" ht="12" customHeight="1">
      <c r="A473" s="2" t="s">
        <v>561</v>
      </c>
      <c r="B473" s="3">
        <v>45884</v>
      </c>
      <c r="C473" s="2" t="s">
        <v>22</v>
      </c>
      <c r="D473" s="2" t="s">
        <v>23</v>
      </c>
      <c r="E473" s="2" t="s">
        <v>44</v>
      </c>
      <c r="F473" s="2" t="s">
        <v>53</v>
      </c>
      <c r="G473" s="2" t="s">
        <v>32</v>
      </c>
      <c r="H473" s="4">
        <v>6</v>
      </c>
      <c r="I473" s="5">
        <v>8714.24</v>
      </c>
      <c r="J473" s="6">
        <v>0.1</v>
      </c>
      <c r="K473" s="5">
        <v>47056.9</v>
      </c>
      <c r="L473" s="5">
        <v>30572.78</v>
      </c>
      <c r="M473" s="5">
        <v>16484.12</v>
      </c>
      <c r="N473" s="2" t="s">
        <v>59</v>
      </c>
    </row>
    <row r="474" spans="1:14" ht="12" customHeight="1">
      <c r="A474" s="2" t="s">
        <v>562</v>
      </c>
      <c r="B474" s="3">
        <v>45946</v>
      </c>
      <c r="C474" s="2" t="s">
        <v>15</v>
      </c>
      <c r="D474" s="2" t="s">
        <v>63</v>
      </c>
      <c r="E474" s="2" t="s">
        <v>30</v>
      </c>
      <c r="F474" s="2" t="s">
        <v>40</v>
      </c>
      <c r="G474" s="2" t="s">
        <v>47</v>
      </c>
      <c r="H474" s="4">
        <v>7</v>
      </c>
      <c r="I474" s="5">
        <v>25778.53</v>
      </c>
      <c r="J474" s="6">
        <v>0.05</v>
      </c>
      <c r="K474" s="5">
        <v>171427.22</v>
      </c>
      <c r="L474" s="5">
        <v>111992.34</v>
      </c>
      <c r="M474" s="5">
        <v>59434.879999999997</v>
      </c>
      <c r="N474" s="2" t="s">
        <v>20</v>
      </c>
    </row>
    <row r="475" spans="1:14" ht="12" customHeight="1">
      <c r="A475" s="2" t="s">
        <v>563</v>
      </c>
      <c r="B475" s="3">
        <v>45675</v>
      </c>
      <c r="C475" s="2" t="s">
        <v>15</v>
      </c>
      <c r="D475" s="2" t="s">
        <v>43</v>
      </c>
      <c r="E475" s="2" t="s">
        <v>30</v>
      </c>
      <c r="F475" s="2" t="s">
        <v>38</v>
      </c>
      <c r="G475" s="2" t="s">
        <v>58</v>
      </c>
      <c r="H475" s="4">
        <v>8</v>
      </c>
      <c r="I475" s="5">
        <v>26773.200000000001</v>
      </c>
      <c r="J475" s="6">
        <v>0.05</v>
      </c>
      <c r="K475" s="5">
        <v>203476.32</v>
      </c>
      <c r="L475" s="5">
        <v>139681.97</v>
      </c>
      <c r="M475" s="5">
        <v>63794.35</v>
      </c>
      <c r="N475" s="2" t="s">
        <v>33</v>
      </c>
    </row>
    <row r="476" spans="1:14" ht="12" customHeight="1">
      <c r="A476" s="2" t="s">
        <v>564</v>
      </c>
      <c r="B476" s="3">
        <v>45669</v>
      </c>
      <c r="C476" s="2" t="s">
        <v>15</v>
      </c>
      <c r="D476" s="2" t="s">
        <v>16</v>
      </c>
      <c r="E476" s="2" t="s">
        <v>30</v>
      </c>
      <c r="F476" s="2" t="s">
        <v>31</v>
      </c>
      <c r="G476" s="2" t="s">
        <v>58</v>
      </c>
      <c r="H476" s="4">
        <v>5</v>
      </c>
      <c r="I476" s="5">
        <v>145462.92000000001</v>
      </c>
      <c r="J476" s="6">
        <v>0</v>
      </c>
      <c r="K476" s="5">
        <v>727314.6</v>
      </c>
      <c r="L476" s="5">
        <v>520099.72</v>
      </c>
      <c r="M476" s="5">
        <v>207214.88</v>
      </c>
      <c r="N476" s="2" t="s">
        <v>26</v>
      </c>
    </row>
    <row r="477" spans="1:14" ht="12" customHeight="1">
      <c r="A477" s="2" t="s">
        <v>565</v>
      </c>
      <c r="B477" s="3">
        <v>45785</v>
      </c>
      <c r="C477" s="2" t="s">
        <v>22</v>
      </c>
      <c r="D477" s="2" t="s">
        <v>23</v>
      </c>
      <c r="E477" s="2" t="s">
        <v>49</v>
      </c>
      <c r="F477" s="2" t="s">
        <v>57</v>
      </c>
      <c r="G477" s="2" t="s">
        <v>47</v>
      </c>
      <c r="H477" s="4">
        <v>3</v>
      </c>
      <c r="I477" s="5">
        <v>10834.67</v>
      </c>
      <c r="J477" s="6">
        <v>0.05</v>
      </c>
      <c r="K477" s="5">
        <v>30878.81</v>
      </c>
      <c r="L477" s="5">
        <v>20129.34</v>
      </c>
      <c r="M477" s="5">
        <v>10749.47</v>
      </c>
      <c r="N477" s="2" t="s">
        <v>59</v>
      </c>
    </row>
    <row r="478" spans="1:14" ht="12" customHeight="1">
      <c r="A478" s="2" t="s">
        <v>566</v>
      </c>
      <c r="B478" s="3">
        <v>46011</v>
      </c>
      <c r="C478" s="2" t="s">
        <v>28</v>
      </c>
      <c r="D478" s="2" t="s">
        <v>52</v>
      </c>
      <c r="E478" s="2" t="s">
        <v>49</v>
      </c>
      <c r="F478" s="2" t="s">
        <v>50</v>
      </c>
      <c r="G478" s="2" t="s">
        <v>19</v>
      </c>
      <c r="H478" s="4">
        <v>2</v>
      </c>
      <c r="I478" s="5">
        <v>4350.25</v>
      </c>
      <c r="J478" s="6">
        <v>0.05</v>
      </c>
      <c r="K478" s="5">
        <v>8265.48</v>
      </c>
      <c r="L478" s="5">
        <v>4124.83</v>
      </c>
      <c r="M478" s="5">
        <v>4140.6499999999996</v>
      </c>
      <c r="N478" s="2" t="s">
        <v>59</v>
      </c>
    </row>
    <row r="479" spans="1:14" ht="12" customHeight="1">
      <c r="A479" s="2" t="s">
        <v>567</v>
      </c>
      <c r="B479" s="3">
        <v>45880</v>
      </c>
      <c r="C479" s="2" t="s">
        <v>22</v>
      </c>
      <c r="D479" s="2" t="s">
        <v>37</v>
      </c>
      <c r="E479" s="2" t="s">
        <v>49</v>
      </c>
      <c r="F479" s="2" t="s">
        <v>91</v>
      </c>
      <c r="G479" s="2" t="s">
        <v>25</v>
      </c>
      <c r="H479" s="4">
        <v>1</v>
      </c>
      <c r="I479" s="5">
        <v>6938.75</v>
      </c>
      <c r="J479" s="6">
        <v>0.05</v>
      </c>
      <c r="K479" s="5">
        <v>6591.81</v>
      </c>
      <c r="L479" s="5">
        <v>3579.68</v>
      </c>
      <c r="M479" s="5">
        <v>3012.13</v>
      </c>
      <c r="N479" s="2" t="s">
        <v>33</v>
      </c>
    </row>
    <row r="480" spans="1:14" ht="12" customHeight="1">
      <c r="A480" s="2" t="s">
        <v>568</v>
      </c>
      <c r="B480" s="3">
        <v>45947</v>
      </c>
      <c r="C480" s="2" t="s">
        <v>22</v>
      </c>
      <c r="D480" s="2" t="s">
        <v>37</v>
      </c>
      <c r="E480" s="2" t="s">
        <v>17</v>
      </c>
      <c r="F480" s="2" t="s">
        <v>114</v>
      </c>
      <c r="G480" s="2" t="s">
        <v>61</v>
      </c>
      <c r="H480" s="4">
        <v>1</v>
      </c>
      <c r="I480" s="5">
        <v>50375.8</v>
      </c>
      <c r="J480" s="6">
        <v>0</v>
      </c>
      <c r="K480" s="5">
        <v>50375.8</v>
      </c>
      <c r="L480" s="5">
        <v>36220.85</v>
      </c>
      <c r="M480" s="5">
        <v>14154.95</v>
      </c>
      <c r="N480" s="2" t="s">
        <v>59</v>
      </c>
    </row>
    <row r="481" spans="1:14" ht="12" customHeight="1">
      <c r="A481" s="2" t="s">
        <v>569</v>
      </c>
      <c r="B481" s="3">
        <v>45962</v>
      </c>
      <c r="C481" s="2" t="s">
        <v>15</v>
      </c>
      <c r="D481" s="2" t="s">
        <v>43</v>
      </c>
      <c r="E481" s="2" t="s">
        <v>44</v>
      </c>
      <c r="F481" s="2" t="s">
        <v>45</v>
      </c>
      <c r="G481" s="2" t="s">
        <v>19</v>
      </c>
      <c r="H481" s="4">
        <v>1</v>
      </c>
      <c r="I481" s="5">
        <v>29291.78</v>
      </c>
      <c r="J481" s="6">
        <v>0.05</v>
      </c>
      <c r="K481" s="5">
        <v>27827.19</v>
      </c>
      <c r="L481" s="5">
        <v>19721.48</v>
      </c>
      <c r="M481" s="5">
        <v>8105.71</v>
      </c>
      <c r="N481" s="2" t="s">
        <v>26</v>
      </c>
    </row>
    <row r="482" spans="1:14" ht="12" customHeight="1">
      <c r="A482" s="2" t="s">
        <v>570</v>
      </c>
      <c r="B482" s="3">
        <v>45683</v>
      </c>
      <c r="C482" s="2" t="s">
        <v>28</v>
      </c>
      <c r="D482" s="2" t="s">
        <v>56</v>
      </c>
      <c r="E482" s="2" t="s">
        <v>49</v>
      </c>
      <c r="F482" s="2" t="s">
        <v>50</v>
      </c>
      <c r="G482" s="2" t="s">
        <v>25</v>
      </c>
      <c r="H482" s="4">
        <v>3</v>
      </c>
      <c r="I482" s="5">
        <v>4089.91</v>
      </c>
      <c r="J482" s="6">
        <v>0.05</v>
      </c>
      <c r="K482" s="5">
        <v>11656.24</v>
      </c>
      <c r="L482" s="5">
        <v>6363.01</v>
      </c>
      <c r="M482" s="5">
        <v>5293.23</v>
      </c>
      <c r="N482" s="2" t="s">
        <v>59</v>
      </c>
    </row>
    <row r="483" spans="1:14" ht="12" customHeight="1">
      <c r="A483" s="2" t="s">
        <v>571</v>
      </c>
      <c r="B483" s="3">
        <v>45991</v>
      </c>
      <c r="C483" s="2" t="s">
        <v>22</v>
      </c>
      <c r="D483" s="2" t="s">
        <v>35</v>
      </c>
      <c r="E483" s="2" t="s">
        <v>49</v>
      </c>
      <c r="F483" s="2" t="s">
        <v>50</v>
      </c>
      <c r="G483" s="2" t="s">
        <v>47</v>
      </c>
      <c r="H483" s="4">
        <v>3</v>
      </c>
      <c r="I483" s="5">
        <v>4187.18</v>
      </c>
      <c r="J483" s="6">
        <v>0</v>
      </c>
      <c r="K483" s="5">
        <v>12561.54</v>
      </c>
      <c r="L483" s="5">
        <v>6326.15</v>
      </c>
      <c r="M483" s="5">
        <v>6235.39</v>
      </c>
      <c r="N483" s="2" t="s">
        <v>26</v>
      </c>
    </row>
    <row r="484" spans="1:14" ht="12" customHeight="1">
      <c r="A484" s="2" t="s">
        <v>572</v>
      </c>
      <c r="B484" s="3">
        <v>46001</v>
      </c>
      <c r="C484" s="2" t="s">
        <v>22</v>
      </c>
      <c r="D484" s="2" t="s">
        <v>23</v>
      </c>
      <c r="E484" s="2" t="s">
        <v>30</v>
      </c>
      <c r="F484" s="2" t="s">
        <v>40</v>
      </c>
      <c r="G484" s="2" t="s">
        <v>25</v>
      </c>
      <c r="H484" s="4">
        <v>6</v>
      </c>
      <c r="I484" s="5">
        <v>25224.17</v>
      </c>
      <c r="J484" s="6">
        <v>0.1</v>
      </c>
      <c r="K484" s="5">
        <v>136210.51999999999</v>
      </c>
      <c r="L484" s="5">
        <v>92550.55</v>
      </c>
      <c r="M484" s="5">
        <v>43659.97</v>
      </c>
      <c r="N484" s="2" t="s">
        <v>20</v>
      </c>
    </row>
    <row r="485" spans="1:14" ht="12" customHeight="1">
      <c r="A485" s="2" t="s">
        <v>573</v>
      </c>
      <c r="B485" s="3">
        <v>45744</v>
      </c>
      <c r="C485" s="2" t="s">
        <v>28</v>
      </c>
      <c r="D485" s="2" t="s">
        <v>56</v>
      </c>
      <c r="E485" s="2" t="s">
        <v>44</v>
      </c>
      <c r="F485" s="2" t="s">
        <v>69</v>
      </c>
      <c r="G485" s="2" t="s">
        <v>32</v>
      </c>
      <c r="H485" s="4">
        <v>6</v>
      </c>
      <c r="I485" s="5">
        <v>38570.769999999997</v>
      </c>
      <c r="J485" s="6">
        <v>0</v>
      </c>
      <c r="K485" s="5">
        <v>231424.62</v>
      </c>
      <c r="L485" s="5">
        <v>159724.92000000001</v>
      </c>
      <c r="M485" s="5">
        <v>71699.7</v>
      </c>
      <c r="N485" s="2" t="s">
        <v>20</v>
      </c>
    </row>
    <row r="486" spans="1:14" ht="12" customHeight="1">
      <c r="A486" s="2" t="s">
        <v>574</v>
      </c>
      <c r="B486" s="3">
        <v>45701</v>
      </c>
      <c r="C486" s="2" t="s">
        <v>15</v>
      </c>
      <c r="D486" s="2" t="s">
        <v>16</v>
      </c>
      <c r="E486" s="2" t="s">
        <v>49</v>
      </c>
      <c r="F486" s="2" t="s">
        <v>91</v>
      </c>
      <c r="G486" s="2" t="s">
        <v>19</v>
      </c>
      <c r="H486" s="4">
        <v>4</v>
      </c>
      <c r="I486" s="5">
        <v>6187.67</v>
      </c>
      <c r="J486" s="6">
        <v>0.05</v>
      </c>
      <c r="K486" s="5">
        <v>23513.15</v>
      </c>
      <c r="L486" s="5">
        <v>14125.24</v>
      </c>
      <c r="M486" s="5">
        <v>9387.91</v>
      </c>
      <c r="N486" s="2" t="s">
        <v>33</v>
      </c>
    </row>
    <row r="487" spans="1:14" ht="12" customHeight="1">
      <c r="A487" s="2" t="s">
        <v>575</v>
      </c>
      <c r="B487" s="3">
        <v>45899</v>
      </c>
      <c r="C487" s="2" t="s">
        <v>22</v>
      </c>
      <c r="D487" s="2" t="s">
        <v>37</v>
      </c>
      <c r="E487" s="2" t="s">
        <v>44</v>
      </c>
      <c r="F487" s="2" t="s">
        <v>69</v>
      </c>
      <c r="G487" s="2" t="s">
        <v>64</v>
      </c>
      <c r="H487" s="4">
        <v>1</v>
      </c>
      <c r="I487" s="5">
        <v>37047.089999999997</v>
      </c>
      <c r="J487" s="6">
        <v>0</v>
      </c>
      <c r="K487" s="5">
        <v>37047.089999999997</v>
      </c>
      <c r="L487" s="5">
        <v>25775.31</v>
      </c>
      <c r="M487" s="5">
        <v>11271.78</v>
      </c>
      <c r="N487" s="2" t="s">
        <v>59</v>
      </c>
    </row>
    <row r="488" spans="1:14" ht="12" customHeight="1">
      <c r="A488" s="2" t="s">
        <v>576</v>
      </c>
      <c r="B488" s="3">
        <v>45730</v>
      </c>
      <c r="C488" s="2" t="s">
        <v>22</v>
      </c>
      <c r="D488" s="2" t="s">
        <v>37</v>
      </c>
      <c r="E488" s="2" t="s">
        <v>44</v>
      </c>
      <c r="F488" s="2" t="s">
        <v>45</v>
      </c>
      <c r="G488" s="2" t="s">
        <v>64</v>
      </c>
      <c r="H488" s="4">
        <v>5</v>
      </c>
      <c r="I488" s="5">
        <v>28722.53</v>
      </c>
      <c r="J488" s="6">
        <v>0.1</v>
      </c>
      <c r="K488" s="5">
        <v>129251.38</v>
      </c>
      <c r="L488" s="5">
        <v>97003.99</v>
      </c>
      <c r="M488" s="5">
        <v>32247.39</v>
      </c>
      <c r="N488" s="2" t="s">
        <v>20</v>
      </c>
    </row>
    <row r="489" spans="1:14" ht="12" customHeight="1">
      <c r="A489" s="2" t="s">
        <v>577</v>
      </c>
      <c r="B489" s="3">
        <v>45974</v>
      </c>
      <c r="C489" s="2" t="s">
        <v>15</v>
      </c>
      <c r="D489" s="2" t="s">
        <v>43</v>
      </c>
      <c r="E489" s="2" t="s">
        <v>17</v>
      </c>
      <c r="F489" s="2" t="s">
        <v>18</v>
      </c>
      <c r="G489" s="2" t="s">
        <v>58</v>
      </c>
      <c r="H489" s="4">
        <v>3</v>
      </c>
      <c r="I489" s="5">
        <v>13479.46</v>
      </c>
      <c r="J489" s="6">
        <v>0</v>
      </c>
      <c r="K489" s="5">
        <v>40438.379999999997</v>
      </c>
      <c r="L489" s="5">
        <v>25220.98</v>
      </c>
      <c r="M489" s="5">
        <v>15217.4</v>
      </c>
      <c r="N489" s="2" t="s">
        <v>33</v>
      </c>
    </row>
    <row r="490" spans="1:14" ht="12" customHeight="1">
      <c r="A490" s="2" t="s">
        <v>578</v>
      </c>
      <c r="B490" s="3">
        <v>45995</v>
      </c>
      <c r="C490" s="2" t="s">
        <v>28</v>
      </c>
      <c r="D490" s="2" t="s">
        <v>29</v>
      </c>
      <c r="E490" s="2" t="s">
        <v>17</v>
      </c>
      <c r="F490" s="2" t="s">
        <v>75</v>
      </c>
      <c r="G490" s="2" t="s">
        <v>32</v>
      </c>
      <c r="H490" s="4">
        <v>7</v>
      </c>
      <c r="I490" s="5">
        <v>189747.04</v>
      </c>
      <c r="J490" s="6">
        <v>0.15</v>
      </c>
      <c r="K490" s="5">
        <v>1128994.8899999999</v>
      </c>
      <c r="L490" s="5">
        <v>1023467.93</v>
      </c>
      <c r="M490" s="5">
        <v>105526.96</v>
      </c>
      <c r="N490" s="2" t="s">
        <v>33</v>
      </c>
    </row>
    <row r="491" spans="1:14" ht="12" customHeight="1">
      <c r="A491" s="2" t="s">
        <v>579</v>
      </c>
      <c r="B491" s="3">
        <v>45819</v>
      </c>
      <c r="C491" s="2" t="s">
        <v>22</v>
      </c>
      <c r="D491" s="2" t="s">
        <v>35</v>
      </c>
      <c r="E491" s="2" t="s">
        <v>49</v>
      </c>
      <c r="F491" s="2" t="s">
        <v>50</v>
      </c>
      <c r="G491" s="2" t="s">
        <v>70</v>
      </c>
      <c r="H491" s="4">
        <v>7</v>
      </c>
      <c r="I491" s="5">
        <v>4205.74</v>
      </c>
      <c r="J491" s="6">
        <v>0.15</v>
      </c>
      <c r="K491" s="5">
        <v>25024.15</v>
      </c>
      <c r="L491" s="5">
        <v>14361.49</v>
      </c>
      <c r="M491" s="5">
        <v>10662.66</v>
      </c>
      <c r="N491" s="2" t="s">
        <v>33</v>
      </c>
    </row>
    <row r="492" spans="1:14" ht="12" customHeight="1">
      <c r="A492" s="2" t="s">
        <v>580</v>
      </c>
      <c r="B492" s="3">
        <v>45908</v>
      </c>
      <c r="C492" s="2" t="s">
        <v>22</v>
      </c>
      <c r="D492" s="2" t="s">
        <v>23</v>
      </c>
      <c r="E492" s="2" t="s">
        <v>49</v>
      </c>
      <c r="F492" s="2" t="s">
        <v>91</v>
      </c>
      <c r="G492" s="2" t="s">
        <v>25</v>
      </c>
      <c r="H492" s="4">
        <v>1</v>
      </c>
      <c r="I492" s="5">
        <v>6237.29</v>
      </c>
      <c r="J492" s="6">
        <v>0.1</v>
      </c>
      <c r="K492" s="5">
        <v>5613.56</v>
      </c>
      <c r="L492" s="5">
        <v>3568.84</v>
      </c>
      <c r="M492" s="5">
        <v>2044.72</v>
      </c>
      <c r="N492" s="2" t="s">
        <v>26</v>
      </c>
    </row>
    <row r="493" spans="1:14" ht="12" customHeight="1">
      <c r="A493" s="2" t="s">
        <v>581</v>
      </c>
      <c r="B493" s="3">
        <v>45689</v>
      </c>
      <c r="C493" s="2" t="s">
        <v>22</v>
      </c>
      <c r="D493" s="2" t="s">
        <v>35</v>
      </c>
      <c r="E493" s="2" t="s">
        <v>30</v>
      </c>
      <c r="F493" s="2" t="s">
        <v>38</v>
      </c>
      <c r="G493" s="2" t="s">
        <v>58</v>
      </c>
      <c r="H493" s="4">
        <v>5</v>
      </c>
      <c r="I493" s="5">
        <v>25860.400000000001</v>
      </c>
      <c r="J493" s="6">
        <v>0.1</v>
      </c>
      <c r="K493" s="5">
        <v>116371.8</v>
      </c>
      <c r="L493" s="5">
        <v>89038.03</v>
      </c>
      <c r="M493" s="5">
        <v>27333.77</v>
      </c>
      <c r="N493" s="2" t="s">
        <v>20</v>
      </c>
    </row>
    <row r="494" spans="1:14" ht="12" customHeight="1">
      <c r="A494" s="2" t="s">
        <v>582</v>
      </c>
      <c r="B494" s="3">
        <v>45702</v>
      </c>
      <c r="C494" s="2" t="s">
        <v>22</v>
      </c>
      <c r="D494" s="2" t="s">
        <v>37</v>
      </c>
      <c r="E494" s="2" t="s">
        <v>30</v>
      </c>
      <c r="F494" s="2" t="s">
        <v>86</v>
      </c>
      <c r="G494" s="2" t="s">
        <v>25</v>
      </c>
      <c r="H494" s="4">
        <v>3</v>
      </c>
      <c r="I494" s="5">
        <v>32164.63</v>
      </c>
      <c r="J494" s="6">
        <v>0.05</v>
      </c>
      <c r="K494" s="5">
        <v>91669.2</v>
      </c>
      <c r="L494" s="5">
        <v>68579</v>
      </c>
      <c r="M494" s="5">
        <v>23090.2</v>
      </c>
      <c r="N494" s="2"/>
    </row>
    <row r="495" spans="1:14" ht="12" customHeight="1">
      <c r="A495" s="2" t="s">
        <v>583</v>
      </c>
      <c r="B495" s="3">
        <v>45725</v>
      </c>
      <c r="C495" s="2" t="s">
        <v>28</v>
      </c>
      <c r="D495" s="2" t="s">
        <v>52</v>
      </c>
      <c r="E495" s="2" t="s">
        <v>44</v>
      </c>
      <c r="F495" s="2" t="s">
        <v>53</v>
      </c>
      <c r="G495" s="2" t="s">
        <v>47</v>
      </c>
      <c r="H495" s="4">
        <v>5</v>
      </c>
      <c r="I495" s="5">
        <v>9057.24</v>
      </c>
      <c r="J495" s="6">
        <v>0.05</v>
      </c>
      <c r="K495" s="5">
        <v>43021.89</v>
      </c>
      <c r="L495" s="5">
        <v>24535.33</v>
      </c>
      <c r="M495" s="5">
        <v>18486.560000000001</v>
      </c>
      <c r="N495" s="2" t="s">
        <v>26</v>
      </c>
    </row>
    <row r="496" spans="1:14" ht="12" customHeight="1">
      <c r="A496" s="2" t="s">
        <v>584</v>
      </c>
      <c r="B496" s="3">
        <v>45878</v>
      </c>
      <c r="C496" s="2" t="s">
        <v>15</v>
      </c>
      <c r="D496" s="2" t="s">
        <v>43</v>
      </c>
      <c r="E496" s="2" t="s">
        <v>44</v>
      </c>
      <c r="F496" s="2" t="s">
        <v>45</v>
      </c>
      <c r="G496" s="2" t="s">
        <v>61</v>
      </c>
      <c r="H496" s="4">
        <v>5</v>
      </c>
      <c r="I496" s="5">
        <v>29359.71</v>
      </c>
      <c r="J496" s="6">
        <v>0.1</v>
      </c>
      <c r="K496" s="5">
        <v>132118.70000000001</v>
      </c>
      <c r="L496" s="5">
        <v>98198.59</v>
      </c>
      <c r="M496" s="5">
        <v>33920.11</v>
      </c>
      <c r="N496" s="2" t="s">
        <v>26</v>
      </c>
    </row>
    <row r="497" spans="1:14" ht="12" customHeight="1">
      <c r="A497" s="2" t="s">
        <v>585</v>
      </c>
      <c r="B497" s="3">
        <v>45821</v>
      </c>
      <c r="C497" s="2" t="s">
        <v>28</v>
      </c>
      <c r="D497" s="2" t="s">
        <v>52</v>
      </c>
      <c r="E497" s="2" t="s">
        <v>17</v>
      </c>
      <c r="F497" s="2" t="s">
        <v>24</v>
      </c>
      <c r="G497" s="2" t="s">
        <v>25</v>
      </c>
      <c r="H497" s="4">
        <v>6</v>
      </c>
      <c r="I497" s="5">
        <v>96997.77</v>
      </c>
      <c r="J497" s="6">
        <v>0</v>
      </c>
      <c r="K497" s="5">
        <v>581986.62</v>
      </c>
      <c r="L497" s="5">
        <v>416525.39</v>
      </c>
      <c r="M497" s="5">
        <v>165461.23000000001</v>
      </c>
      <c r="N497" s="2" t="s">
        <v>20</v>
      </c>
    </row>
    <row r="498" spans="1:14" ht="12" customHeight="1">
      <c r="A498" s="2" t="s">
        <v>586</v>
      </c>
      <c r="B498" s="3">
        <v>45971</v>
      </c>
      <c r="C498" s="2" t="s">
        <v>28</v>
      </c>
      <c r="D498" s="2" t="s">
        <v>56</v>
      </c>
      <c r="E498" s="2" t="s">
        <v>30</v>
      </c>
      <c r="F498" s="2" t="s">
        <v>86</v>
      </c>
      <c r="G498" s="2" t="s">
        <v>58</v>
      </c>
      <c r="H498" s="4">
        <v>4</v>
      </c>
      <c r="I498" s="5">
        <v>30923.75</v>
      </c>
      <c r="J498" s="6">
        <v>0</v>
      </c>
      <c r="K498" s="5">
        <v>123695</v>
      </c>
      <c r="L498" s="5">
        <v>87465.05</v>
      </c>
      <c r="M498" s="5">
        <v>36229.949999999997</v>
      </c>
      <c r="N498" s="2" t="s">
        <v>26</v>
      </c>
    </row>
    <row r="499" spans="1:14" ht="12" customHeight="1">
      <c r="A499" s="2" t="s">
        <v>587</v>
      </c>
      <c r="B499" s="3">
        <v>45967</v>
      </c>
      <c r="C499" s="2" t="s">
        <v>15</v>
      </c>
      <c r="D499" s="2" t="s">
        <v>16</v>
      </c>
      <c r="E499" s="2" t="s">
        <v>44</v>
      </c>
      <c r="F499" s="2" t="s">
        <v>80</v>
      </c>
      <c r="G499" s="2" t="s">
        <v>70</v>
      </c>
      <c r="H499" s="4"/>
      <c r="I499" s="5">
        <v>40106.79</v>
      </c>
      <c r="J499" s="6">
        <v>0.05</v>
      </c>
      <c r="K499" s="5">
        <v>228608.7</v>
      </c>
      <c r="L499" s="5">
        <v>182165.81</v>
      </c>
      <c r="M499" s="5">
        <v>46442.89</v>
      </c>
      <c r="N499" s="2" t="s">
        <v>59</v>
      </c>
    </row>
    <row r="500" spans="1:14" ht="12" customHeight="1">
      <c r="A500" s="2" t="s">
        <v>588</v>
      </c>
      <c r="B500" s="3">
        <v>45665</v>
      </c>
      <c r="C500" s="2" t="s">
        <v>22</v>
      </c>
      <c r="D500" s="2" t="s">
        <v>35</v>
      </c>
      <c r="E500" s="2" t="s">
        <v>49</v>
      </c>
      <c r="F500" s="2" t="s">
        <v>107</v>
      </c>
      <c r="G500" s="2" t="s">
        <v>58</v>
      </c>
      <c r="H500" s="4">
        <v>3</v>
      </c>
      <c r="I500" s="5">
        <v>4920.2700000000004</v>
      </c>
      <c r="J500" s="6">
        <v>0</v>
      </c>
      <c r="K500" s="5">
        <v>14760.81</v>
      </c>
      <c r="L500" s="5">
        <v>7875.27</v>
      </c>
      <c r="M500" s="5">
        <v>6885.54</v>
      </c>
      <c r="N500" s="2" t="s">
        <v>20</v>
      </c>
    </row>
    <row r="501" spans="1:14" ht="12" customHeight="1">
      <c r="A501" s="2" t="s">
        <v>589</v>
      </c>
      <c r="B501" s="3">
        <v>45908</v>
      </c>
      <c r="C501" s="2" t="s">
        <v>22</v>
      </c>
      <c r="D501" s="2" t="s">
        <v>37</v>
      </c>
      <c r="E501" s="2" t="s">
        <v>44</v>
      </c>
      <c r="F501" s="2" t="s">
        <v>45</v>
      </c>
      <c r="G501" s="2" t="s">
        <v>32</v>
      </c>
      <c r="H501" s="4">
        <v>2</v>
      </c>
      <c r="I501" s="5">
        <v>27027.48</v>
      </c>
      <c r="J501" s="6">
        <v>0.05</v>
      </c>
      <c r="K501" s="5">
        <v>51352.21</v>
      </c>
      <c r="L501" s="5">
        <v>39166.559999999998</v>
      </c>
      <c r="M501" s="5">
        <v>12185.65</v>
      </c>
      <c r="N501" s="2" t="s">
        <v>20</v>
      </c>
    </row>
    <row r="502" spans="1:14" ht="12" customHeight="1">
      <c r="A502" s="2" t="s">
        <v>590</v>
      </c>
      <c r="B502" s="3">
        <v>45950</v>
      </c>
      <c r="C502" s="2" t="s">
        <v>22</v>
      </c>
      <c r="D502" s="2" t="s">
        <v>35</v>
      </c>
      <c r="E502" s="2" t="s">
        <v>49</v>
      </c>
      <c r="F502" s="2" t="s">
        <v>91</v>
      </c>
      <c r="G502" s="2" t="s">
        <v>64</v>
      </c>
      <c r="H502" s="4">
        <v>7</v>
      </c>
      <c r="I502" s="5">
        <v>6729.01</v>
      </c>
      <c r="J502" s="6">
        <v>0.05</v>
      </c>
      <c r="K502" s="5">
        <v>44747.92</v>
      </c>
      <c r="L502" s="5">
        <v>25522.69</v>
      </c>
      <c r="M502" s="5">
        <v>19225.23</v>
      </c>
      <c r="N502" s="2" t="s">
        <v>33</v>
      </c>
    </row>
    <row r="503" spans="1:14" ht="12" customHeight="1">
      <c r="A503" s="2" t="s">
        <v>591</v>
      </c>
      <c r="B503" s="3">
        <v>45922</v>
      </c>
      <c r="C503" s="2" t="s">
        <v>28</v>
      </c>
      <c r="D503" s="2" t="s">
        <v>56</v>
      </c>
      <c r="E503" s="2" t="s">
        <v>17</v>
      </c>
      <c r="F503" s="2" t="s">
        <v>24</v>
      </c>
      <c r="G503" s="2" t="s">
        <v>64</v>
      </c>
      <c r="H503" s="4">
        <v>7</v>
      </c>
      <c r="I503" s="5">
        <v>99121.99</v>
      </c>
      <c r="J503" s="6">
        <v>0</v>
      </c>
      <c r="K503" s="5">
        <v>693853.93</v>
      </c>
      <c r="L503" s="5">
        <v>480302.6</v>
      </c>
      <c r="M503" s="5">
        <v>213551.33</v>
      </c>
      <c r="N503" s="2" t="s">
        <v>26</v>
      </c>
    </row>
    <row r="504" spans="1:14" ht="12" customHeight="1">
      <c r="A504" s="2" t="s">
        <v>592</v>
      </c>
      <c r="B504" s="3">
        <v>45685</v>
      </c>
      <c r="C504" s="2" t="s">
        <v>28</v>
      </c>
      <c r="D504" s="2" t="s">
        <v>56</v>
      </c>
      <c r="E504" s="2" t="s">
        <v>49</v>
      </c>
      <c r="F504" s="2" t="s">
        <v>57</v>
      </c>
      <c r="G504" s="2" t="s">
        <v>61</v>
      </c>
      <c r="H504" s="4">
        <v>5</v>
      </c>
      <c r="I504" s="5">
        <v>11428.88</v>
      </c>
      <c r="J504" s="6">
        <v>0.05</v>
      </c>
      <c r="K504" s="5">
        <v>54287.18</v>
      </c>
      <c r="L504" s="5">
        <v>32194.799999999999</v>
      </c>
      <c r="M504" s="5">
        <v>22092.38</v>
      </c>
      <c r="N504" s="2" t="s">
        <v>20</v>
      </c>
    </row>
    <row r="505" spans="1:14" ht="12" customHeight="1">
      <c r="A505" s="2" t="s">
        <v>593</v>
      </c>
      <c r="B505" s="3">
        <v>45859</v>
      </c>
      <c r="C505" s="2" t="s">
        <v>15</v>
      </c>
      <c r="D505" s="2" t="s">
        <v>63</v>
      </c>
      <c r="E505" s="2" t="s">
        <v>17</v>
      </c>
      <c r="F505" s="2" t="s">
        <v>75</v>
      </c>
      <c r="G505" s="2" t="s">
        <v>25</v>
      </c>
      <c r="H505" s="4">
        <v>3</v>
      </c>
      <c r="I505" s="5">
        <v>193250.44</v>
      </c>
      <c r="J505" s="6">
        <v>0.15</v>
      </c>
      <c r="K505" s="5">
        <v>492788.62</v>
      </c>
      <c r="L505" s="5">
        <v>429513.86</v>
      </c>
      <c r="M505" s="5">
        <v>63274.76</v>
      </c>
      <c r="N505" s="2" t="s">
        <v>59</v>
      </c>
    </row>
    <row r="506" spans="1:14" ht="12" customHeight="1">
      <c r="A506" s="2" t="s">
        <v>594</v>
      </c>
      <c r="B506" s="3">
        <v>46012</v>
      </c>
      <c r="C506" s="2" t="s">
        <v>28</v>
      </c>
      <c r="D506" s="2" t="s">
        <v>52</v>
      </c>
      <c r="E506" s="2" t="s">
        <v>44</v>
      </c>
      <c r="F506" s="2" t="s">
        <v>53</v>
      </c>
      <c r="G506" s="2" t="s">
        <v>61</v>
      </c>
      <c r="H506" s="4">
        <v>4</v>
      </c>
      <c r="I506" s="5">
        <v>9020.27</v>
      </c>
      <c r="J506" s="6">
        <v>0</v>
      </c>
      <c r="K506" s="5">
        <v>36081.08</v>
      </c>
      <c r="L506" s="5">
        <v>19355.11</v>
      </c>
      <c r="M506" s="5">
        <v>16725.97</v>
      </c>
      <c r="N506" s="2" t="s">
        <v>33</v>
      </c>
    </row>
    <row r="507" spans="1:14" ht="12" customHeight="1">
      <c r="A507" s="2" t="s">
        <v>595</v>
      </c>
      <c r="B507" s="3">
        <v>45919</v>
      </c>
      <c r="C507" s="2" t="s">
        <v>22</v>
      </c>
      <c r="D507" s="2" t="s">
        <v>23</v>
      </c>
      <c r="E507" s="2" t="s">
        <v>49</v>
      </c>
      <c r="F507" s="2" t="s">
        <v>57</v>
      </c>
      <c r="G507" s="2" t="s">
        <v>61</v>
      </c>
      <c r="H507" s="4">
        <v>2</v>
      </c>
      <c r="I507" s="5">
        <v>11543.82</v>
      </c>
      <c r="J507" s="6">
        <v>0.05</v>
      </c>
      <c r="K507" s="5">
        <v>21933.26</v>
      </c>
      <c r="L507" s="5">
        <v>13271.46</v>
      </c>
      <c r="M507" s="5">
        <v>8661.7999999999993</v>
      </c>
      <c r="N507" s="2" t="s">
        <v>20</v>
      </c>
    </row>
    <row r="508" spans="1:14" ht="12" customHeight="1">
      <c r="A508" s="2" t="s">
        <v>596</v>
      </c>
      <c r="B508" s="3">
        <v>45741</v>
      </c>
      <c r="C508" s="2" t="s">
        <v>15</v>
      </c>
      <c r="D508" s="2" t="s">
        <v>63</v>
      </c>
      <c r="E508" s="2" t="s">
        <v>17</v>
      </c>
      <c r="F508" s="2" t="s">
        <v>24</v>
      </c>
      <c r="G508" s="2" t="s">
        <v>61</v>
      </c>
      <c r="H508" s="4">
        <v>6</v>
      </c>
      <c r="I508" s="5">
        <v>92964.04</v>
      </c>
      <c r="J508" s="6">
        <v>0.15</v>
      </c>
      <c r="K508" s="5">
        <v>474116.6</v>
      </c>
      <c r="L508" s="5">
        <v>420397.93</v>
      </c>
      <c r="M508" s="5">
        <v>53718.67</v>
      </c>
      <c r="N508" s="2" t="s">
        <v>26</v>
      </c>
    </row>
    <row r="509" spans="1:14" ht="12" customHeight="1">
      <c r="A509" s="2" t="s">
        <v>597</v>
      </c>
      <c r="B509" s="3">
        <v>45750</v>
      </c>
      <c r="C509" s="2" t="s">
        <v>15</v>
      </c>
      <c r="D509" s="2" t="s">
        <v>16</v>
      </c>
      <c r="E509" s="2" t="s">
        <v>49</v>
      </c>
      <c r="F509" s="2" t="s">
        <v>57</v>
      </c>
      <c r="G509" s="2" t="s">
        <v>19</v>
      </c>
      <c r="H509" s="4">
        <v>5</v>
      </c>
      <c r="I509" s="5">
        <v>11923.5</v>
      </c>
      <c r="J509" s="6">
        <v>0.05</v>
      </c>
      <c r="K509" s="5">
        <v>56636.62</v>
      </c>
      <c r="L509" s="5">
        <v>32181.98</v>
      </c>
      <c r="M509" s="5">
        <v>24454.639999999999</v>
      </c>
      <c r="N509" s="2" t="s">
        <v>26</v>
      </c>
    </row>
    <row r="510" spans="1:14" ht="12" customHeight="1">
      <c r="A510" s="2" t="s">
        <v>598</v>
      </c>
      <c r="B510" s="3">
        <v>45660</v>
      </c>
      <c r="C510" s="2" t="s">
        <v>22</v>
      </c>
      <c r="D510" s="2" t="s">
        <v>23</v>
      </c>
      <c r="E510" s="2" t="s">
        <v>30</v>
      </c>
      <c r="F510" s="2" t="s">
        <v>31</v>
      </c>
      <c r="G510" s="2" t="s">
        <v>70</v>
      </c>
      <c r="H510" s="4">
        <v>8</v>
      </c>
      <c r="I510" s="5">
        <v>134948.76</v>
      </c>
      <c r="J510" s="6">
        <v>0.05</v>
      </c>
      <c r="K510" s="5">
        <v>1025610.58</v>
      </c>
      <c r="L510" s="5">
        <v>814500.43</v>
      </c>
      <c r="M510" s="5">
        <v>211110.15</v>
      </c>
      <c r="N510" s="2" t="s">
        <v>26</v>
      </c>
    </row>
    <row r="511" spans="1:14" ht="12" customHeight="1">
      <c r="A511" s="2" t="s">
        <v>599</v>
      </c>
      <c r="B511" s="3" t="s">
        <v>600</v>
      </c>
      <c r="C511" s="2" t="s">
        <v>22</v>
      </c>
      <c r="D511" s="2" t="s">
        <v>37</v>
      </c>
      <c r="E511" s="2" t="s">
        <v>49</v>
      </c>
      <c r="F511" s="2" t="s">
        <v>107</v>
      </c>
      <c r="G511" s="2" t="s">
        <v>58</v>
      </c>
      <c r="H511" s="4">
        <v>7</v>
      </c>
      <c r="I511" s="5">
        <v>5151.6400000000003</v>
      </c>
      <c r="J511" s="6">
        <v>0.1</v>
      </c>
      <c r="K511" s="5">
        <v>32455.33</v>
      </c>
      <c r="L511" s="5">
        <v>19126.939999999999</v>
      </c>
      <c r="M511" s="5">
        <v>13328.39</v>
      </c>
      <c r="N511" s="2" t="s">
        <v>26</v>
      </c>
    </row>
    <row r="512" spans="1:14" ht="12" customHeight="1">
      <c r="A512" s="2" t="s">
        <v>601</v>
      </c>
      <c r="B512" s="3">
        <v>45966</v>
      </c>
      <c r="C512" s="2" t="s">
        <v>22</v>
      </c>
      <c r="D512" s="2" t="s">
        <v>23</v>
      </c>
      <c r="E512" s="2" t="s">
        <v>44</v>
      </c>
      <c r="F512" s="2" t="s">
        <v>80</v>
      </c>
      <c r="G512" s="2" t="s">
        <v>58</v>
      </c>
      <c r="H512" s="4">
        <v>6</v>
      </c>
      <c r="I512" s="5">
        <v>39812.639999999999</v>
      </c>
      <c r="J512" s="6">
        <v>0</v>
      </c>
      <c r="K512" s="5">
        <v>238875.84</v>
      </c>
      <c r="L512" s="5">
        <v>189104.29</v>
      </c>
      <c r="M512" s="5">
        <v>49771.55</v>
      </c>
      <c r="N512" s="2" t="s">
        <v>59</v>
      </c>
    </row>
    <row r="513" spans="1:14" ht="12" customHeight="1">
      <c r="A513" s="2" t="s">
        <v>602</v>
      </c>
      <c r="B513" s="3">
        <v>46012</v>
      </c>
      <c r="C513" s="2" t="s">
        <v>22</v>
      </c>
      <c r="D513" s="2" t="s">
        <v>23</v>
      </c>
      <c r="E513" s="2" t="s">
        <v>17</v>
      </c>
      <c r="F513" s="2" t="s">
        <v>114</v>
      </c>
      <c r="G513" s="2" t="s">
        <v>61</v>
      </c>
      <c r="H513" s="4">
        <v>3</v>
      </c>
      <c r="I513" s="5">
        <v>49182.31</v>
      </c>
      <c r="J513" s="6">
        <v>0.05</v>
      </c>
      <c r="K513" s="5">
        <v>140169.57999999999</v>
      </c>
      <c r="L513" s="5">
        <v>110899</v>
      </c>
      <c r="M513" s="5">
        <v>29270.58</v>
      </c>
      <c r="N513" s="2" t="s">
        <v>20</v>
      </c>
    </row>
    <row r="514" spans="1:14" ht="12" customHeight="1">
      <c r="A514" s="2" t="s">
        <v>603</v>
      </c>
      <c r="B514" s="3">
        <v>45852</v>
      </c>
      <c r="C514" s="2" t="s">
        <v>15</v>
      </c>
      <c r="D514" s="2" t="s">
        <v>43</v>
      </c>
      <c r="E514" s="2" t="s">
        <v>30</v>
      </c>
      <c r="F514" s="2" t="s">
        <v>31</v>
      </c>
      <c r="G514" s="2" t="s">
        <v>19</v>
      </c>
      <c r="H514" s="4">
        <v>2</v>
      </c>
      <c r="I514" s="5">
        <v>140799.85999999999</v>
      </c>
      <c r="J514" s="6">
        <v>0.05</v>
      </c>
      <c r="K514" s="5">
        <v>267519.73</v>
      </c>
      <c r="L514" s="5">
        <v>201151.57</v>
      </c>
      <c r="M514" s="5">
        <v>66368.160000000003</v>
      </c>
      <c r="N514" s="2" t="s">
        <v>20</v>
      </c>
    </row>
    <row r="515" spans="1:14" ht="12" customHeight="1">
      <c r="A515" s="2" t="s">
        <v>604</v>
      </c>
      <c r="B515" s="3">
        <v>45869</v>
      </c>
      <c r="C515" s="2" t="s">
        <v>15</v>
      </c>
      <c r="D515" s="2" t="s">
        <v>16</v>
      </c>
      <c r="E515" s="2" t="s">
        <v>30</v>
      </c>
      <c r="F515" s="2" t="s">
        <v>40</v>
      </c>
      <c r="G515" s="2" t="s">
        <v>47</v>
      </c>
      <c r="H515" s="4">
        <v>3</v>
      </c>
      <c r="I515" s="5">
        <v>23018.33</v>
      </c>
      <c r="J515" s="6">
        <v>0.05</v>
      </c>
      <c r="K515" s="5">
        <v>65602.240000000005</v>
      </c>
      <c r="L515" s="5">
        <v>47070.31</v>
      </c>
      <c r="M515" s="5">
        <v>18531.93</v>
      </c>
      <c r="N515" s="2" t="s">
        <v>26</v>
      </c>
    </row>
    <row r="516" spans="1:14" ht="12" customHeight="1">
      <c r="A516" s="2" t="s">
        <v>605</v>
      </c>
      <c r="B516" s="3">
        <v>46019</v>
      </c>
      <c r="C516" s="2" t="s">
        <v>15</v>
      </c>
      <c r="D516" s="2" t="s">
        <v>16</v>
      </c>
      <c r="E516" s="2" t="s">
        <v>17</v>
      </c>
      <c r="F516" s="2" t="s">
        <v>75</v>
      </c>
      <c r="G516" s="2" t="s">
        <v>58</v>
      </c>
      <c r="H516" s="4">
        <v>8</v>
      </c>
      <c r="I516" s="5">
        <v>191632.59</v>
      </c>
      <c r="J516" s="6">
        <v>0.1</v>
      </c>
      <c r="K516" s="5">
        <v>1379754.65</v>
      </c>
      <c r="L516" s="5">
        <v>1176183.07</v>
      </c>
      <c r="M516" s="5">
        <v>203571.58</v>
      </c>
      <c r="N516" s="2" t="s">
        <v>20</v>
      </c>
    </row>
    <row r="517" spans="1:14" ht="12" customHeight="1">
      <c r="A517" s="2" t="s">
        <v>606</v>
      </c>
      <c r="B517" s="3">
        <v>45981</v>
      </c>
      <c r="C517" s="2" t="s">
        <v>15</v>
      </c>
      <c r="D517" s="2" t="s">
        <v>63</v>
      </c>
      <c r="E517" s="2" t="s">
        <v>30</v>
      </c>
      <c r="F517" s="2" t="s">
        <v>38</v>
      </c>
      <c r="G517" s="2" t="s">
        <v>70</v>
      </c>
      <c r="H517" s="4">
        <v>3</v>
      </c>
      <c r="I517" s="5">
        <v>27493.73</v>
      </c>
      <c r="J517" s="6">
        <v>0.05</v>
      </c>
      <c r="K517" s="5">
        <v>78357.13</v>
      </c>
      <c r="L517" s="5">
        <v>54344.49</v>
      </c>
      <c r="M517" s="5">
        <v>24012.639999999999</v>
      </c>
      <c r="N517" s="2" t="s">
        <v>20</v>
      </c>
    </row>
    <row r="518" spans="1:14" ht="12" customHeight="1">
      <c r="A518" s="2" t="s">
        <v>607</v>
      </c>
      <c r="B518" s="3">
        <v>45718</v>
      </c>
      <c r="C518" s="2" t="s">
        <v>22</v>
      </c>
      <c r="D518" s="2" t="s">
        <v>37</v>
      </c>
      <c r="E518" s="2" t="s">
        <v>44</v>
      </c>
      <c r="F518" s="2" t="s">
        <v>69</v>
      </c>
      <c r="G518" s="2" t="s">
        <v>47</v>
      </c>
      <c r="H518" s="4">
        <v>4</v>
      </c>
      <c r="I518" s="5">
        <v>34969.61</v>
      </c>
      <c r="J518" s="6">
        <v>0</v>
      </c>
      <c r="K518" s="5">
        <v>139878.44</v>
      </c>
      <c r="L518" s="5">
        <v>104264.37</v>
      </c>
      <c r="M518" s="5">
        <v>35614.07</v>
      </c>
      <c r="N518" s="2" t="s">
        <v>20</v>
      </c>
    </row>
    <row r="519" spans="1:14" ht="12" customHeight="1">
      <c r="A519" s="2" t="s">
        <v>608</v>
      </c>
      <c r="B519" s="3" t="s">
        <v>609</v>
      </c>
      <c r="C519" s="2" t="s">
        <v>28</v>
      </c>
      <c r="D519" s="2" t="s">
        <v>52</v>
      </c>
      <c r="E519" s="2" t="s">
        <v>30</v>
      </c>
      <c r="F519" s="2" t="s">
        <v>38</v>
      </c>
      <c r="G519" s="2" t="s">
        <v>19</v>
      </c>
      <c r="H519" s="4">
        <v>4</v>
      </c>
      <c r="I519" s="5">
        <v>24888.799999999999</v>
      </c>
      <c r="J519" s="6">
        <v>0</v>
      </c>
      <c r="K519" s="5">
        <v>99555.199999999997</v>
      </c>
      <c r="L519" s="5">
        <v>73317.69</v>
      </c>
      <c r="M519" s="5">
        <v>26237.51</v>
      </c>
      <c r="N519" s="2" t="s">
        <v>59</v>
      </c>
    </row>
    <row r="520" spans="1:14" ht="12" customHeight="1">
      <c r="A520" s="2" t="s">
        <v>610</v>
      </c>
      <c r="B520" s="3">
        <v>45949</v>
      </c>
      <c r="C520" s="2" t="s">
        <v>28</v>
      </c>
      <c r="D520" s="2" t="s">
        <v>29</v>
      </c>
      <c r="E520" s="2" t="s">
        <v>30</v>
      </c>
      <c r="F520" s="2" t="s">
        <v>31</v>
      </c>
      <c r="G520" s="2" t="s">
        <v>64</v>
      </c>
      <c r="H520" s="4">
        <v>2</v>
      </c>
      <c r="I520" s="5">
        <v>139014.04999999999</v>
      </c>
      <c r="J520" s="6">
        <v>0.05</v>
      </c>
      <c r="K520" s="5">
        <v>264126.69</v>
      </c>
      <c r="L520" s="5">
        <v>201540.14</v>
      </c>
      <c r="M520" s="5">
        <v>62586.55</v>
      </c>
      <c r="N520" s="2" t="s">
        <v>26</v>
      </c>
    </row>
    <row r="521" spans="1:14" ht="12" customHeight="1">
      <c r="A521" s="2" t="s">
        <v>611</v>
      </c>
      <c r="B521" s="3">
        <v>45737</v>
      </c>
      <c r="C521" s="2" t="s">
        <v>22</v>
      </c>
      <c r="D521" s="2" t="s">
        <v>35</v>
      </c>
      <c r="E521" s="2" t="s">
        <v>30</v>
      </c>
      <c r="F521" s="2" t="s">
        <v>40</v>
      </c>
      <c r="G521" s="2" t="s">
        <v>70</v>
      </c>
      <c r="H521" s="4">
        <v>8</v>
      </c>
      <c r="I521" s="5">
        <v>25665.24</v>
      </c>
      <c r="J521" s="6">
        <v>0.15</v>
      </c>
      <c r="K521" s="5">
        <v>174523.63</v>
      </c>
      <c r="L521" s="5">
        <v>123809.15</v>
      </c>
      <c r="M521" s="5">
        <v>50714.48</v>
      </c>
      <c r="N521" s="2" t="s">
        <v>59</v>
      </c>
    </row>
    <row r="522" spans="1:14" ht="12" customHeight="1">
      <c r="A522" s="2" t="s">
        <v>612</v>
      </c>
      <c r="B522" s="3">
        <v>46008</v>
      </c>
      <c r="C522" s="2" t="s">
        <v>28</v>
      </c>
      <c r="D522" s="2" t="s">
        <v>56</v>
      </c>
      <c r="E522" s="2" t="s">
        <v>17</v>
      </c>
      <c r="F522" s="2" t="s">
        <v>18</v>
      </c>
      <c r="G522" s="2" t="s">
        <v>32</v>
      </c>
      <c r="H522" s="4">
        <v>6</v>
      </c>
      <c r="I522" s="5">
        <v>14628.01</v>
      </c>
      <c r="J522" s="6">
        <v>0</v>
      </c>
      <c r="K522" s="5">
        <v>87768.06</v>
      </c>
      <c r="L522" s="5">
        <v>48441.26</v>
      </c>
      <c r="M522" s="5">
        <v>39326.800000000003</v>
      </c>
      <c r="N522" s="2" t="s">
        <v>59</v>
      </c>
    </row>
    <row r="523" spans="1:14" ht="12" customHeight="1">
      <c r="A523" s="2" t="s">
        <v>613</v>
      </c>
      <c r="B523" s="3">
        <v>45742</v>
      </c>
      <c r="C523" s="2" t="s">
        <v>22</v>
      </c>
      <c r="D523" s="2" t="s">
        <v>23</v>
      </c>
      <c r="E523" s="2" t="s">
        <v>30</v>
      </c>
      <c r="F523" s="2" t="s">
        <v>31</v>
      </c>
      <c r="G523" s="2" t="s">
        <v>25</v>
      </c>
      <c r="H523" s="4">
        <v>6</v>
      </c>
      <c r="I523" s="5">
        <v>145446.17000000001</v>
      </c>
      <c r="J523" s="6">
        <v>0.15</v>
      </c>
      <c r="K523" s="5">
        <v>741775.47</v>
      </c>
      <c r="L523" s="5">
        <v>610483.87</v>
      </c>
      <c r="M523" s="5">
        <v>131291.6</v>
      </c>
      <c r="N523" s="2" t="s">
        <v>26</v>
      </c>
    </row>
    <row r="524" spans="1:14" ht="12" customHeight="1">
      <c r="A524" s="2" t="s">
        <v>614</v>
      </c>
      <c r="B524" s="3">
        <v>45779</v>
      </c>
      <c r="C524" s="2" t="s">
        <v>15</v>
      </c>
      <c r="D524" s="2" t="s">
        <v>16</v>
      </c>
      <c r="E524" s="2" t="s">
        <v>30</v>
      </c>
      <c r="F524" s="2" t="s">
        <v>38</v>
      </c>
      <c r="G524" s="2" t="s">
        <v>32</v>
      </c>
      <c r="H524" s="4">
        <v>1</v>
      </c>
      <c r="I524" s="5">
        <v>26012.87</v>
      </c>
      <c r="J524" s="6">
        <v>0</v>
      </c>
      <c r="K524" s="5">
        <v>26012.87</v>
      </c>
      <c r="L524" s="5">
        <v>18086.29</v>
      </c>
      <c r="M524" s="5">
        <v>7926.58</v>
      </c>
      <c r="N524" s="2" t="s">
        <v>20</v>
      </c>
    </row>
    <row r="525" spans="1:14" ht="12" customHeight="1">
      <c r="A525" s="2" t="s">
        <v>615</v>
      </c>
      <c r="B525" s="3">
        <v>45705</v>
      </c>
      <c r="C525" s="2" t="s">
        <v>28</v>
      </c>
      <c r="D525" s="2" t="s">
        <v>52</v>
      </c>
      <c r="E525" s="2" t="s">
        <v>30</v>
      </c>
      <c r="F525" s="2" t="s">
        <v>86</v>
      </c>
      <c r="G525" s="2" t="s">
        <v>70</v>
      </c>
      <c r="H525" s="4">
        <v>2</v>
      </c>
      <c r="I525" s="5">
        <v>32335.86</v>
      </c>
      <c r="J525" s="6">
        <v>0</v>
      </c>
      <c r="K525" s="5">
        <v>64671.72</v>
      </c>
      <c r="L525" s="5">
        <v>46100.04</v>
      </c>
      <c r="M525" s="5">
        <v>18571.68</v>
      </c>
      <c r="N525" s="2" t="s">
        <v>33</v>
      </c>
    </row>
    <row r="526" spans="1:14" ht="12" customHeight="1">
      <c r="A526" s="2" t="s">
        <v>616</v>
      </c>
      <c r="B526" s="3">
        <v>45816</v>
      </c>
      <c r="C526" s="2" t="s">
        <v>28</v>
      </c>
      <c r="D526" s="2" t="s">
        <v>29</v>
      </c>
      <c r="E526" s="2" t="s">
        <v>44</v>
      </c>
      <c r="F526" s="2" t="s">
        <v>45</v>
      </c>
      <c r="G526" s="2" t="s">
        <v>32</v>
      </c>
      <c r="H526" s="4">
        <v>6</v>
      </c>
      <c r="I526" s="5">
        <v>30431.78</v>
      </c>
      <c r="J526" s="6">
        <v>0.15</v>
      </c>
      <c r="K526" s="5">
        <v>155202.07999999999</v>
      </c>
      <c r="L526" s="5">
        <v>117553.56</v>
      </c>
      <c r="M526" s="5">
        <v>37648.519999999997</v>
      </c>
      <c r="N526" s="2" t="s">
        <v>26</v>
      </c>
    </row>
    <row r="527" spans="1:14" ht="12" customHeight="1">
      <c r="A527" s="2" t="s">
        <v>617</v>
      </c>
      <c r="B527" s="3">
        <v>45717</v>
      </c>
      <c r="C527" s="2" t="s">
        <v>22</v>
      </c>
      <c r="D527" s="2" t="s">
        <v>37</v>
      </c>
      <c r="E527" s="2" t="s">
        <v>44</v>
      </c>
      <c r="F527" s="2" t="s">
        <v>45</v>
      </c>
      <c r="G527" s="2" t="s">
        <v>64</v>
      </c>
      <c r="H527" s="4">
        <v>1</v>
      </c>
      <c r="I527" s="5">
        <v>28314.720000000001</v>
      </c>
      <c r="J527" s="6">
        <v>0.15</v>
      </c>
      <c r="K527" s="5">
        <v>24067.51</v>
      </c>
      <c r="L527" s="5">
        <v>19580.2</v>
      </c>
      <c r="M527" s="5">
        <v>4487.3100000000004</v>
      </c>
      <c r="N527" s="2" t="s">
        <v>59</v>
      </c>
    </row>
    <row r="528" spans="1:14" ht="12" customHeight="1">
      <c r="A528" s="2" t="s">
        <v>618</v>
      </c>
      <c r="B528" s="3">
        <v>45995</v>
      </c>
      <c r="C528" s="2" t="s">
        <v>22</v>
      </c>
      <c r="D528" s="2" t="s">
        <v>37</v>
      </c>
      <c r="E528" s="2" t="s">
        <v>17</v>
      </c>
      <c r="F528" s="2" t="s">
        <v>18</v>
      </c>
      <c r="G528" s="2" t="s">
        <v>58</v>
      </c>
      <c r="H528" s="4">
        <v>8</v>
      </c>
      <c r="I528" s="5">
        <v>15402.91</v>
      </c>
      <c r="J528" s="6">
        <v>0</v>
      </c>
      <c r="K528" s="5">
        <v>123223.28</v>
      </c>
      <c r="L528" s="5">
        <v>66022.490000000005</v>
      </c>
      <c r="M528" s="5">
        <v>57200.79</v>
      </c>
      <c r="N528" s="2" t="s">
        <v>33</v>
      </c>
    </row>
    <row r="529" spans="1:14" ht="12" customHeight="1">
      <c r="A529" s="2" t="s">
        <v>619</v>
      </c>
      <c r="B529" s="3">
        <v>45883</v>
      </c>
      <c r="C529" s="2" t="s">
        <v>15</v>
      </c>
      <c r="D529" s="2" t="s">
        <v>63</v>
      </c>
      <c r="E529" s="2" t="s">
        <v>44</v>
      </c>
      <c r="F529" s="2" t="s">
        <v>69</v>
      </c>
      <c r="G529" s="2" t="s">
        <v>19</v>
      </c>
      <c r="H529" s="4">
        <v>4</v>
      </c>
      <c r="I529" s="5">
        <v>36130.68</v>
      </c>
      <c r="J529" s="6">
        <v>0.05</v>
      </c>
      <c r="K529" s="5">
        <v>137296.57999999999</v>
      </c>
      <c r="L529" s="5">
        <v>104754.97</v>
      </c>
      <c r="M529" s="5">
        <v>32541.61</v>
      </c>
      <c r="N529" s="2" t="s">
        <v>59</v>
      </c>
    </row>
    <row r="530" spans="1:14" ht="12" customHeight="1">
      <c r="A530" s="2" t="s">
        <v>620</v>
      </c>
      <c r="B530" s="3">
        <v>45763</v>
      </c>
      <c r="C530" s="2" t="s">
        <v>22</v>
      </c>
      <c r="D530" s="2" t="s">
        <v>23</v>
      </c>
      <c r="E530" s="2" t="s">
        <v>30</v>
      </c>
      <c r="F530" s="2" t="s">
        <v>31</v>
      </c>
      <c r="G530" s="2" t="s">
        <v>32</v>
      </c>
      <c r="H530" s="4">
        <v>1</v>
      </c>
      <c r="I530" s="5">
        <v>144899.24</v>
      </c>
      <c r="J530" s="6">
        <v>0.1</v>
      </c>
      <c r="K530" s="5">
        <v>130409.32</v>
      </c>
      <c r="L530" s="5">
        <v>101604.41</v>
      </c>
      <c r="M530" s="5">
        <v>28804.91</v>
      </c>
      <c r="N530" s="2" t="s">
        <v>59</v>
      </c>
    </row>
    <row r="531" spans="1:14" ht="12" customHeight="1">
      <c r="A531" s="2" t="s">
        <v>621</v>
      </c>
      <c r="B531" s="3" t="s">
        <v>622</v>
      </c>
      <c r="C531" s="2" t="s">
        <v>28</v>
      </c>
      <c r="D531" s="2" t="s">
        <v>52</v>
      </c>
      <c r="E531" s="2" t="s">
        <v>30</v>
      </c>
      <c r="F531" s="2" t="s">
        <v>86</v>
      </c>
      <c r="G531" s="2" t="s">
        <v>70</v>
      </c>
      <c r="H531" s="4">
        <v>3</v>
      </c>
      <c r="I531" s="5">
        <v>30736.16</v>
      </c>
      <c r="J531" s="6">
        <v>0.1</v>
      </c>
      <c r="K531" s="5">
        <v>82987.63</v>
      </c>
      <c r="L531" s="5">
        <v>69690.850000000006</v>
      </c>
      <c r="M531" s="5">
        <v>13296.78</v>
      </c>
      <c r="N531" s="2" t="s">
        <v>33</v>
      </c>
    </row>
    <row r="532" spans="1:14" ht="12" customHeight="1">
      <c r="A532" s="2" t="s">
        <v>623</v>
      </c>
      <c r="B532" s="3">
        <v>45749</v>
      </c>
      <c r="C532" s="2" t="s">
        <v>22</v>
      </c>
      <c r="D532" s="2" t="s">
        <v>23</v>
      </c>
      <c r="E532" s="2" t="s">
        <v>49</v>
      </c>
      <c r="F532" s="2" t="s">
        <v>91</v>
      </c>
      <c r="G532" s="2" t="s">
        <v>70</v>
      </c>
      <c r="H532" s="4">
        <v>2</v>
      </c>
      <c r="I532" s="5">
        <v>6378.94</v>
      </c>
      <c r="J532" s="6">
        <v>0</v>
      </c>
      <c r="K532" s="5">
        <v>12757.88</v>
      </c>
      <c r="L532" s="5">
        <v>7198.94</v>
      </c>
      <c r="M532" s="5">
        <v>5558.94</v>
      </c>
      <c r="N532" s="2" t="s">
        <v>59</v>
      </c>
    </row>
    <row r="533" spans="1:14" ht="12" customHeight="1">
      <c r="A533" s="2" t="s">
        <v>624</v>
      </c>
      <c r="B533" s="3">
        <v>46015</v>
      </c>
      <c r="C533" s="2" t="s">
        <v>28</v>
      </c>
      <c r="D533" s="2" t="s">
        <v>56</v>
      </c>
      <c r="E533" s="2" t="s">
        <v>44</v>
      </c>
      <c r="F533" s="2" t="s">
        <v>80</v>
      </c>
      <c r="G533" s="2" t="s">
        <v>70</v>
      </c>
      <c r="H533" s="4">
        <v>8</v>
      </c>
      <c r="I533" s="5">
        <v>43466.39</v>
      </c>
      <c r="J533" s="6">
        <v>0</v>
      </c>
      <c r="K533" s="5">
        <v>347731.12</v>
      </c>
      <c r="L533" s="5">
        <v>254671.09</v>
      </c>
      <c r="M533" s="5">
        <v>93060.03</v>
      </c>
      <c r="N533" s="2" t="s">
        <v>33</v>
      </c>
    </row>
    <row r="534" spans="1:14" ht="12" customHeight="1">
      <c r="A534" s="2" t="s">
        <v>625</v>
      </c>
      <c r="B534" s="3">
        <v>45973</v>
      </c>
      <c r="C534" s="2" t="s">
        <v>28</v>
      </c>
      <c r="D534" s="2" t="s">
        <v>56</v>
      </c>
      <c r="E534" s="2" t="s">
        <v>49</v>
      </c>
      <c r="F534" s="2" t="s">
        <v>107</v>
      </c>
      <c r="G534" s="2" t="s">
        <v>58</v>
      </c>
      <c r="H534" s="4">
        <v>4</v>
      </c>
      <c r="I534" s="5">
        <v>5572.28</v>
      </c>
      <c r="J534" s="6">
        <v>0</v>
      </c>
      <c r="K534" s="5">
        <v>22289.119999999999</v>
      </c>
      <c r="L534" s="5">
        <v>11126.99</v>
      </c>
      <c r="M534" s="5">
        <v>11162.13</v>
      </c>
      <c r="N534" s="2" t="s">
        <v>59</v>
      </c>
    </row>
    <row r="535" spans="1:14" ht="12" customHeight="1">
      <c r="A535" s="2" t="s">
        <v>626</v>
      </c>
      <c r="B535" s="3">
        <v>45837</v>
      </c>
      <c r="C535" s="2" t="s">
        <v>28</v>
      </c>
      <c r="D535" s="2" t="s">
        <v>52</v>
      </c>
      <c r="E535" s="2" t="s">
        <v>30</v>
      </c>
      <c r="F535" s="2" t="s">
        <v>38</v>
      </c>
      <c r="G535" s="2" t="s">
        <v>70</v>
      </c>
      <c r="H535" s="4">
        <v>8</v>
      </c>
      <c r="I535" s="5">
        <v>26946.03</v>
      </c>
      <c r="J535" s="6">
        <v>0</v>
      </c>
      <c r="K535" s="5">
        <v>215568.24</v>
      </c>
      <c r="L535" s="5">
        <v>144471.37</v>
      </c>
      <c r="M535" s="5">
        <v>71096.87</v>
      </c>
      <c r="N535" s="2" t="s">
        <v>20</v>
      </c>
    </row>
    <row r="536" spans="1:14" ht="12" customHeight="1">
      <c r="A536" s="2" t="s">
        <v>627</v>
      </c>
      <c r="B536" s="3">
        <v>45824</v>
      </c>
      <c r="C536" s="2" t="s">
        <v>22</v>
      </c>
      <c r="D536" s="2" t="s">
        <v>35</v>
      </c>
      <c r="E536" s="2" t="s">
        <v>30</v>
      </c>
      <c r="F536" s="2" t="s">
        <v>86</v>
      </c>
      <c r="G536" s="2" t="s">
        <v>19</v>
      </c>
      <c r="H536" s="4">
        <v>2</v>
      </c>
      <c r="I536" s="5">
        <v>32502.02</v>
      </c>
      <c r="J536" s="6">
        <v>0.15</v>
      </c>
      <c r="K536" s="5">
        <v>55253.43</v>
      </c>
      <c r="L536" s="5">
        <v>46159.79</v>
      </c>
      <c r="M536" s="5">
        <v>9093.64</v>
      </c>
      <c r="N536" s="2" t="s">
        <v>59</v>
      </c>
    </row>
    <row r="537" spans="1:14" ht="12" customHeight="1">
      <c r="A537" s="2" t="s">
        <v>628</v>
      </c>
      <c r="B537" s="3" t="s">
        <v>629</v>
      </c>
      <c r="C537" s="2" t="s">
        <v>15</v>
      </c>
      <c r="D537" s="2" t="s">
        <v>63</v>
      </c>
      <c r="E537" s="2" t="s">
        <v>49</v>
      </c>
      <c r="F537" s="2" t="s">
        <v>107</v>
      </c>
      <c r="G537" s="2" t="s">
        <v>25</v>
      </c>
      <c r="H537" s="4">
        <v>4</v>
      </c>
      <c r="I537" s="5">
        <v>5300.57</v>
      </c>
      <c r="J537" s="6">
        <v>0.1</v>
      </c>
      <c r="K537" s="5">
        <v>19082.05</v>
      </c>
      <c r="L537" s="5">
        <v>10596.22</v>
      </c>
      <c r="M537" s="5">
        <v>8485.83</v>
      </c>
      <c r="N537" s="2" t="s">
        <v>33</v>
      </c>
    </row>
    <row r="538" spans="1:14" ht="12" customHeight="1">
      <c r="A538" s="2" t="s">
        <v>630</v>
      </c>
      <c r="B538" s="3">
        <v>46000</v>
      </c>
      <c r="C538" s="2" t="s">
        <v>28</v>
      </c>
      <c r="D538" s="2" t="s">
        <v>52</v>
      </c>
      <c r="E538" s="2" t="s">
        <v>49</v>
      </c>
      <c r="F538" s="2" t="s">
        <v>107</v>
      </c>
      <c r="G538" s="2" t="s">
        <v>19</v>
      </c>
      <c r="H538" s="4">
        <v>6</v>
      </c>
      <c r="I538" s="5">
        <v>5237.05</v>
      </c>
      <c r="J538" s="6">
        <v>0</v>
      </c>
      <c r="K538" s="5">
        <v>31422.3</v>
      </c>
      <c r="L538" s="5">
        <v>15910.28</v>
      </c>
      <c r="M538" s="5">
        <v>15512.02</v>
      </c>
      <c r="N538" s="2" t="s">
        <v>20</v>
      </c>
    </row>
    <row r="539" spans="1:14" ht="12" customHeight="1">
      <c r="A539" s="2" t="s">
        <v>631</v>
      </c>
      <c r="B539" s="3">
        <v>45865</v>
      </c>
      <c r="C539" s="2" t="s">
        <v>22</v>
      </c>
      <c r="D539" s="2" t="s">
        <v>37</v>
      </c>
      <c r="E539" s="2" t="s">
        <v>49</v>
      </c>
      <c r="F539" s="2" t="s">
        <v>57</v>
      </c>
      <c r="G539" s="2" t="s">
        <v>19</v>
      </c>
      <c r="H539" s="4">
        <v>2</v>
      </c>
      <c r="I539" s="5">
        <v>12092.52</v>
      </c>
      <c r="J539" s="6">
        <v>0</v>
      </c>
      <c r="K539" s="5">
        <v>24185.040000000001</v>
      </c>
      <c r="L539" s="5">
        <v>12890.31</v>
      </c>
      <c r="M539" s="5">
        <v>11294.73</v>
      </c>
      <c r="N539" s="2" t="s">
        <v>33</v>
      </c>
    </row>
    <row r="540" spans="1:14" ht="12" customHeight="1">
      <c r="A540" s="2" t="s">
        <v>632</v>
      </c>
      <c r="B540" s="3">
        <v>45729</v>
      </c>
      <c r="C540" s="2" t="s">
        <v>15</v>
      </c>
      <c r="D540" s="2" t="s">
        <v>43</v>
      </c>
      <c r="E540" s="2" t="s">
        <v>49</v>
      </c>
      <c r="F540" s="2" t="s">
        <v>57</v>
      </c>
      <c r="G540" s="2" t="s">
        <v>64</v>
      </c>
      <c r="H540" s="4">
        <v>8</v>
      </c>
      <c r="I540" s="5">
        <v>11766.78</v>
      </c>
      <c r="J540" s="6">
        <v>0</v>
      </c>
      <c r="K540" s="5">
        <v>94134.24</v>
      </c>
      <c r="L540" s="5">
        <v>50769.54</v>
      </c>
      <c r="M540" s="5">
        <v>43364.7</v>
      </c>
      <c r="N540" s="2" t="s">
        <v>26</v>
      </c>
    </row>
    <row r="541" spans="1:14" ht="12" customHeight="1">
      <c r="A541" s="2" t="s">
        <v>633</v>
      </c>
      <c r="B541" s="3">
        <v>46006</v>
      </c>
      <c r="C541" s="2" t="s">
        <v>15</v>
      </c>
      <c r="D541" s="2" t="s">
        <v>16</v>
      </c>
      <c r="E541" s="2" t="s">
        <v>49</v>
      </c>
      <c r="F541" s="2" t="s">
        <v>57</v>
      </c>
      <c r="G541" s="2" t="s">
        <v>32</v>
      </c>
      <c r="H541" s="4">
        <v>7</v>
      </c>
      <c r="I541" s="5">
        <v>11712.65</v>
      </c>
      <c r="J541" s="6">
        <v>0.05</v>
      </c>
      <c r="K541" s="5">
        <v>77889.119999999995</v>
      </c>
      <c r="L541" s="5">
        <v>44758.2</v>
      </c>
      <c r="M541" s="5">
        <v>33130.92</v>
      </c>
      <c r="N541" s="2" t="s">
        <v>59</v>
      </c>
    </row>
    <row r="542" spans="1:14" ht="12" customHeight="1">
      <c r="A542" s="2" t="s">
        <v>634</v>
      </c>
      <c r="B542" s="3">
        <v>45919</v>
      </c>
      <c r="C542" s="2" t="s">
        <v>15</v>
      </c>
      <c r="D542" s="2" t="s">
        <v>43</v>
      </c>
      <c r="E542" s="2" t="s">
        <v>30</v>
      </c>
      <c r="F542" s="2" t="s">
        <v>40</v>
      </c>
      <c r="G542" s="2" t="s">
        <v>25</v>
      </c>
      <c r="H542" s="4">
        <v>6</v>
      </c>
      <c r="I542" s="5">
        <v>26421.93</v>
      </c>
      <c r="J542" s="6">
        <v>0.1</v>
      </c>
      <c r="K542" s="5">
        <v>142678.42000000001</v>
      </c>
      <c r="L542" s="5">
        <v>92009.88</v>
      </c>
      <c r="M542" s="5">
        <v>50668.54</v>
      </c>
      <c r="N542" s="2" t="s">
        <v>26</v>
      </c>
    </row>
    <row r="543" spans="1:14" ht="12" customHeight="1">
      <c r="A543" s="2" t="s">
        <v>635</v>
      </c>
      <c r="B543" s="3">
        <v>45802</v>
      </c>
      <c r="C543" s="2" t="s">
        <v>28</v>
      </c>
      <c r="D543" s="2" t="s">
        <v>52</v>
      </c>
      <c r="E543" s="2" t="s">
        <v>30</v>
      </c>
      <c r="F543" s="2" t="s">
        <v>31</v>
      </c>
      <c r="G543" s="2" t="s">
        <v>64</v>
      </c>
      <c r="H543" s="4">
        <v>1</v>
      </c>
      <c r="I543" s="5">
        <v>139392.45000000001</v>
      </c>
      <c r="J543" s="6">
        <v>0.05</v>
      </c>
      <c r="K543" s="5">
        <v>132422.82999999999</v>
      </c>
      <c r="L543" s="5">
        <v>98745.57</v>
      </c>
      <c r="M543" s="5">
        <v>33677.26</v>
      </c>
      <c r="N543" s="2" t="s">
        <v>26</v>
      </c>
    </row>
    <row r="544" spans="1:14" ht="12" customHeight="1">
      <c r="A544" s="2" t="s">
        <v>636</v>
      </c>
      <c r="B544" s="3">
        <v>45997</v>
      </c>
      <c r="C544" s="2" t="s">
        <v>28</v>
      </c>
      <c r="D544" s="2" t="s">
        <v>29</v>
      </c>
      <c r="E544" s="2" t="s">
        <v>49</v>
      </c>
      <c r="F544" s="2" t="s">
        <v>57</v>
      </c>
      <c r="G544" s="2" t="s">
        <v>61</v>
      </c>
      <c r="H544" s="4">
        <v>7</v>
      </c>
      <c r="I544" s="5">
        <v>11327.1</v>
      </c>
      <c r="J544" s="6">
        <v>0.05</v>
      </c>
      <c r="K544" s="5">
        <v>75325.210000000006</v>
      </c>
      <c r="L544" s="5">
        <v>45871.199999999997</v>
      </c>
      <c r="M544" s="5">
        <v>29454.01</v>
      </c>
      <c r="N544" s="2" t="s">
        <v>20</v>
      </c>
    </row>
    <row r="545" spans="1:14" ht="12" customHeight="1">
      <c r="A545" s="2" t="s">
        <v>637</v>
      </c>
      <c r="B545" s="3">
        <v>45663</v>
      </c>
      <c r="C545" s="2" t="s">
        <v>22</v>
      </c>
      <c r="D545" s="2" t="s">
        <v>23</v>
      </c>
      <c r="E545" s="2" t="s">
        <v>49</v>
      </c>
      <c r="F545" s="2" t="s">
        <v>57</v>
      </c>
      <c r="G545" s="2" t="s">
        <v>19</v>
      </c>
      <c r="H545" s="4">
        <v>7</v>
      </c>
      <c r="I545" s="5">
        <v>10863.85</v>
      </c>
      <c r="J545" s="6">
        <v>0.15</v>
      </c>
      <c r="K545" s="5">
        <v>64639.91</v>
      </c>
      <c r="L545" s="5">
        <v>44534.87</v>
      </c>
      <c r="M545" s="5">
        <v>20105.04</v>
      </c>
      <c r="N545" s="2" t="s">
        <v>33</v>
      </c>
    </row>
    <row r="546" spans="1:14" ht="12" customHeight="1">
      <c r="A546" s="2" t="s">
        <v>638</v>
      </c>
      <c r="B546" s="3">
        <v>45891</v>
      </c>
      <c r="C546" s="2" t="s">
        <v>22</v>
      </c>
      <c r="D546" s="2" t="s">
        <v>37</v>
      </c>
      <c r="E546" s="2" t="s">
        <v>49</v>
      </c>
      <c r="F546" s="2" t="s">
        <v>107</v>
      </c>
      <c r="G546" s="2" t="s">
        <v>25</v>
      </c>
      <c r="H546" s="4">
        <v>3</v>
      </c>
      <c r="I546" s="5">
        <v>4854.4399999999996</v>
      </c>
      <c r="J546" s="6">
        <v>0.15</v>
      </c>
      <c r="K546" s="5">
        <v>12378.82</v>
      </c>
      <c r="L546" s="5">
        <v>8313.9699999999993</v>
      </c>
      <c r="M546" s="5">
        <v>4064.85</v>
      </c>
      <c r="N546" s="2" t="s">
        <v>26</v>
      </c>
    </row>
    <row r="547" spans="1:14" ht="12" customHeight="1">
      <c r="A547" s="2" t="s">
        <v>639</v>
      </c>
      <c r="B547" s="3">
        <v>45661</v>
      </c>
      <c r="C547" s="2" t="s">
        <v>138</v>
      </c>
      <c r="D547" s="2" t="s">
        <v>29</v>
      </c>
      <c r="E547" s="2" t="s">
        <v>49</v>
      </c>
      <c r="F547" s="2" t="s">
        <v>107</v>
      </c>
      <c r="G547" s="2" t="s">
        <v>70</v>
      </c>
      <c r="H547" s="4">
        <v>7</v>
      </c>
      <c r="I547" s="5">
        <v>5079.62</v>
      </c>
      <c r="J547" s="6">
        <v>0</v>
      </c>
      <c r="K547" s="5">
        <v>35557.339999999997</v>
      </c>
      <c r="L547" s="5">
        <v>18894.97</v>
      </c>
      <c r="M547" s="5">
        <v>16662.37</v>
      </c>
      <c r="N547" s="2" t="s">
        <v>26</v>
      </c>
    </row>
    <row r="548" spans="1:14" ht="12" customHeight="1">
      <c r="A548" s="2" t="s">
        <v>640</v>
      </c>
      <c r="B548" s="3">
        <v>46018</v>
      </c>
      <c r="C548" s="2" t="s">
        <v>15</v>
      </c>
      <c r="D548" s="2" t="s">
        <v>43</v>
      </c>
      <c r="E548" s="2" t="s">
        <v>30</v>
      </c>
      <c r="F548" s="2" t="s">
        <v>40</v>
      </c>
      <c r="G548" s="2" t="s">
        <v>32</v>
      </c>
      <c r="H548" s="4">
        <v>6</v>
      </c>
      <c r="I548" s="5">
        <v>22671.17</v>
      </c>
      <c r="J548" s="6">
        <v>0</v>
      </c>
      <c r="K548" s="5">
        <v>136027.01999999999</v>
      </c>
      <c r="L548" s="5">
        <v>95726.24</v>
      </c>
      <c r="M548" s="5">
        <v>40300.78</v>
      </c>
      <c r="N548" s="2" t="s">
        <v>33</v>
      </c>
    </row>
    <row r="549" spans="1:14" ht="12" customHeight="1">
      <c r="A549" s="2" t="s">
        <v>641</v>
      </c>
      <c r="B549" s="3">
        <v>45970</v>
      </c>
      <c r="C549" s="2" t="s">
        <v>15</v>
      </c>
      <c r="D549" s="2" t="s">
        <v>63</v>
      </c>
      <c r="E549" s="2" t="s">
        <v>17</v>
      </c>
      <c r="F549" s="2" t="s">
        <v>24</v>
      </c>
      <c r="G549" s="2" t="s">
        <v>19</v>
      </c>
      <c r="H549" s="4">
        <v>5</v>
      </c>
      <c r="I549" s="5">
        <v>91483.86</v>
      </c>
      <c r="J549" s="6">
        <v>0</v>
      </c>
      <c r="K549" s="5">
        <v>457419.3</v>
      </c>
      <c r="L549" s="5">
        <v>342255.89</v>
      </c>
      <c r="M549" s="5">
        <v>115163.41</v>
      </c>
      <c r="N549" s="2" t="s">
        <v>26</v>
      </c>
    </row>
    <row r="550" spans="1:14" ht="12" customHeight="1">
      <c r="A550" s="2" t="s">
        <v>642</v>
      </c>
      <c r="B550" s="3" t="s">
        <v>643</v>
      </c>
      <c r="C550" s="2" t="s">
        <v>28</v>
      </c>
      <c r="D550" s="2" t="s">
        <v>29</v>
      </c>
      <c r="E550" s="2" t="s">
        <v>17</v>
      </c>
      <c r="F550" s="2" t="s">
        <v>18</v>
      </c>
      <c r="G550" s="2" t="s">
        <v>70</v>
      </c>
      <c r="H550" s="4">
        <v>1</v>
      </c>
      <c r="I550" s="5">
        <v>15436.32</v>
      </c>
      <c r="J550" s="6">
        <v>0.1</v>
      </c>
      <c r="K550" s="5">
        <v>13892.69</v>
      </c>
      <c r="L550" s="5">
        <v>8400.8700000000008</v>
      </c>
      <c r="M550" s="5">
        <v>5491.82</v>
      </c>
      <c r="N550" s="2" t="s">
        <v>20</v>
      </c>
    </row>
    <row r="551" spans="1:14" ht="12" customHeight="1">
      <c r="A551" s="2" t="s">
        <v>644</v>
      </c>
      <c r="B551" s="3">
        <v>45676</v>
      </c>
      <c r="C551" s="2" t="s">
        <v>15</v>
      </c>
      <c r="D551" s="2" t="s">
        <v>43</v>
      </c>
      <c r="E551" s="2" t="s">
        <v>30</v>
      </c>
      <c r="F551" s="2" t="s">
        <v>40</v>
      </c>
      <c r="G551" s="2" t="s">
        <v>58</v>
      </c>
      <c r="H551" s="4">
        <v>6</v>
      </c>
      <c r="I551" s="5">
        <v>26305.48</v>
      </c>
      <c r="J551" s="6">
        <v>0.05</v>
      </c>
      <c r="K551" s="5">
        <v>149941.24</v>
      </c>
      <c r="L551" s="5">
        <v>93875.19</v>
      </c>
      <c r="M551" s="5">
        <v>56066.05</v>
      </c>
      <c r="N551" s="2" t="s">
        <v>59</v>
      </c>
    </row>
    <row r="552" spans="1:14" ht="12" customHeight="1">
      <c r="A552" s="2" t="s">
        <v>645</v>
      </c>
      <c r="B552" s="3">
        <v>45977</v>
      </c>
      <c r="C552" s="2" t="s">
        <v>22</v>
      </c>
      <c r="D552" s="2" t="s">
        <v>37</v>
      </c>
      <c r="E552" s="2" t="s">
        <v>49</v>
      </c>
      <c r="F552" s="2" t="s">
        <v>50</v>
      </c>
      <c r="G552" s="2" t="s">
        <v>64</v>
      </c>
      <c r="H552" s="4">
        <v>1</v>
      </c>
      <c r="I552" s="5">
        <v>4305.05</v>
      </c>
      <c r="J552" s="6">
        <v>0.05</v>
      </c>
      <c r="K552" s="5">
        <v>4089.8</v>
      </c>
      <c r="L552" s="5">
        <v>2155.91</v>
      </c>
      <c r="M552" s="5">
        <v>1933.89</v>
      </c>
      <c r="N552" s="2" t="s">
        <v>59</v>
      </c>
    </row>
    <row r="553" spans="1:14" ht="12" customHeight="1">
      <c r="A553" s="2" t="s">
        <v>646</v>
      </c>
      <c r="B553" s="3">
        <v>45789</v>
      </c>
      <c r="C553" s="2" t="s">
        <v>28</v>
      </c>
      <c r="D553" s="2" t="s">
        <v>52</v>
      </c>
      <c r="E553" s="2" t="s">
        <v>44</v>
      </c>
      <c r="F553" s="2" t="s">
        <v>80</v>
      </c>
      <c r="G553" s="2" t="s">
        <v>64</v>
      </c>
      <c r="H553" s="4">
        <v>5</v>
      </c>
      <c r="I553" s="5">
        <v>41294.11</v>
      </c>
      <c r="J553" s="6">
        <v>0.1</v>
      </c>
      <c r="K553" s="5">
        <v>185823.49</v>
      </c>
      <c r="L553" s="5">
        <v>153398.54999999999</v>
      </c>
      <c r="M553" s="5">
        <v>32424.94</v>
      </c>
      <c r="N553" s="2" t="s">
        <v>33</v>
      </c>
    </row>
    <row r="554" spans="1:14" ht="12" customHeight="1">
      <c r="A554" s="2" t="s">
        <v>647</v>
      </c>
      <c r="B554" s="3">
        <v>45778</v>
      </c>
      <c r="C554" s="2" t="s">
        <v>15</v>
      </c>
      <c r="D554" s="2" t="s">
        <v>16</v>
      </c>
      <c r="E554" s="2" t="s">
        <v>44</v>
      </c>
      <c r="F554" s="2" t="s">
        <v>53</v>
      </c>
      <c r="G554" s="2" t="s">
        <v>70</v>
      </c>
      <c r="H554" s="4">
        <v>6</v>
      </c>
      <c r="I554" s="5">
        <v>8918.66</v>
      </c>
      <c r="J554" s="6">
        <v>0.05</v>
      </c>
      <c r="K554" s="5">
        <v>50836.36</v>
      </c>
      <c r="L554" s="5">
        <v>30128.44</v>
      </c>
      <c r="M554" s="5">
        <v>20707.919999999998</v>
      </c>
      <c r="N554" s="2" t="s">
        <v>26</v>
      </c>
    </row>
    <row r="555" spans="1:14" ht="12" customHeight="1">
      <c r="A555" s="2" t="s">
        <v>648</v>
      </c>
      <c r="B555" s="3">
        <v>45869</v>
      </c>
      <c r="C555" s="2" t="s">
        <v>15</v>
      </c>
      <c r="D555" s="2" t="s">
        <v>16</v>
      </c>
      <c r="E555" s="2" t="s">
        <v>30</v>
      </c>
      <c r="F555" s="2" t="s">
        <v>31</v>
      </c>
      <c r="G555" s="2" t="s">
        <v>25</v>
      </c>
      <c r="H555" s="4">
        <v>3</v>
      </c>
      <c r="I555" s="5">
        <v>137063.75</v>
      </c>
      <c r="J555" s="6">
        <v>0</v>
      </c>
      <c r="K555" s="5">
        <v>411191.25</v>
      </c>
      <c r="L555" s="5">
        <v>311675.8</v>
      </c>
      <c r="M555" s="5">
        <v>99515.45</v>
      </c>
      <c r="N555" s="2" t="s">
        <v>26</v>
      </c>
    </row>
    <row r="556" spans="1:14" ht="12" customHeight="1">
      <c r="A556" s="2" t="s">
        <v>649</v>
      </c>
      <c r="B556" s="3">
        <v>45717</v>
      </c>
      <c r="C556" s="2" t="s">
        <v>15</v>
      </c>
      <c r="D556" s="2" t="s">
        <v>63</v>
      </c>
      <c r="E556" s="2" t="s">
        <v>44</v>
      </c>
      <c r="F556" s="2" t="s">
        <v>45</v>
      </c>
      <c r="G556" s="2" t="s">
        <v>64</v>
      </c>
      <c r="H556" s="4">
        <v>6</v>
      </c>
      <c r="I556" s="5">
        <v>26467.73</v>
      </c>
      <c r="J556" s="6">
        <v>0.05</v>
      </c>
      <c r="K556" s="5">
        <v>150866.06</v>
      </c>
      <c r="L556" s="5">
        <v>116608.76</v>
      </c>
      <c r="M556" s="5">
        <v>34257.300000000003</v>
      </c>
      <c r="N556" s="2" t="s">
        <v>26</v>
      </c>
    </row>
    <row r="557" spans="1:14" ht="12" customHeight="1">
      <c r="A557" s="2" t="s">
        <v>650</v>
      </c>
      <c r="B557" s="3">
        <v>46007</v>
      </c>
      <c r="C557" s="2" t="s">
        <v>28</v>
      </c>
      <c r="D557" s="2" t="s">
        <v>56</v>
      </c>
      <c r="E557" s="2" t="s">
        <v>49</v>
      </c>
      <c r="F557" s="2" t="s">
        <v>57</v>
      </c>
      <c r="G557" s="2" t="s">
        <v>25</v>
      </c>
      <c r="H557" s="4">
        <v>8</v>
      </c>
      <c r="I557" s="5">
        <v>11952.92</v>
      </c>
      <c r="J557" s="6">
        <v>0.1</v>
      </c>
      <c r="K557" s="5">
        <v>86061.02</v>
      </c>
      <c r="L557" s="5">
        <v>51290.53</v>
      </c>
      <c r="M557" s="5">
        <v>34770.49</v>
      </c>
      <c r="N557" s="2" t="s">
        <v>20</v>
      </c>
    </row>
    <row r="558" spans="1:14" ht="12" customHeight="1">
      <c r="A558" s="2" t="s">
        <v>651</v>
      </c>
      <c r="B558" s="3">
        <v>45819</v>
      </c>
      <c r="C558" s="2" t="s">
        <v>28</v>
      </c>
      <c r="D558" s="2" t="s">
        <v>52</v>
      </c>
      <c r="E558" s="2" t="s">
        <v>49</v>
      </c>
      <c r="F558" s="2" t="s">
        <v>91</v>
      </c>
      <c r="G558" s="2" t="s">
        <v>64</v>
      </c>
      <c r="H558" s="4">
        <v>5</v>
      </c>
      <c r="I558" s="5">
        <v>6944.31</v>
      </c>
      <c r="J558" s="6">
        <v>0.05</v>
      </c>
      <c r="K558" s="5">
        <v>32985.47</v>
      </c>
      <c r="L558" s="5">
        <v>17941.330000000002</v>
      </c>
      <c r="M558" s="5">
        <v>15044.14</v>
      </c>
      <c r="N558" s="2" t="s">
        <v>33</v>
      </c>
    </row>
    <row r="559" spans="1:14" ht="12" customHeight="1">
      <c r="A559" s="2" t="s">
        <v>652</v>
      </c>
      <c r="B559" s="3">
        <v>45788</v>
      </c>
      <c r="C559" s="2" t="s">
        <v>15</v>
      </c>
      <c r="D559" s="2" t="s">
        <v>43</v>
      </c>
      <c r="E559" s="2" t="s">
        <v>30</v>
      </c>
      <c r="F559" s="2" t="s">
        <v>40</v>
      </c>
      <c r="G559" s="2" t="s">
        <v>25</v>
      </c>
      <c r="H559" s="4">
        <v>5</v>
      </c>
      <c r="I559" s="5">
        <v>23853.07</v>
      </c>
      <c r="J559" s="6">
        <v>0.05</v>
      </c>
      <c r="K559" s="5">
        <v>113302.08</v>
      </c>
      <c r="L559" s="5">
        <v>81066.81</v>
      </c>
      <c r="M559" s="5">
        <v>32235.27</v>
      </c>
      <c r="N559" s="2" t="s">
        <v>20</v>
      </c>
    </row>
    <row r="560" spans="1:14" ht="12" customHeight="1">
      <c r="A560" s="2" t="s">
        <v>653</v>
      </c>
      <c r="B560" s="3">
        <v>45663</v>
      </c>
      <c r="C560" s="2" t="s">
        <v>15</v>
      </c>
      <c r="D560" s="2" t="s">
        <v>43</v>
      </c>
      <c r="E560" s="2" t="s">
        <v>44</v>
      </c>
      <c r="F560" s="2" t="s">
        <v>45</v>
      </c>
      <c r="G560" s="2" t="s">
        <v>64</v>
      </c>
      <c r="H560" s="4">
        <v>6</v>
      </c>
      <c r="I560" s="5">
        <v>29310.39</v>
      </c>
      <c r="J560" s="6">
        <v>0</v>
      </c>
      <c r="K560" s="5">
        <v>175862.34</v>
      </c>
      <c r="L560" s="5">
        <v>113079.89</v>
      </c>
      <c r="M560" s="5">
        <v>62782.45</v>
      </c>
      <c r="N560" s="2" t="s">
        <v>33</v>
      </c>
    </row>
    <row r="561" spans="1:14" ht="12" customHeight="1">
      <c r="A561" s="2" t="s">
        <v>654</v>
      </c>
      <c r="B561" s="3">
        <v>45756</v>
      </c>
      <c r="C561" s="2" t="s">
        <v>22</v>
      </c>
      <c r="D561" s="2" t="s">
        <v>35</v>
      </c>
      <c r="E561" s="2" t="s">
        <v>17</v>
      </c>
      <c r="F561" s="2" t="s">
        <v>75</v>
      </c>
      <c r="G561" s="2" t="s">
        <v>64</v>
      </c>
      <c r="H561" s="4">
        <v>8</v>
      </c>
      <c r="I561" s="5">
        <v>180604.89</v>
      </c>
      <c r="J561" s="6">
        <v>0.15</v>
      </c>
      <c r="K561" s="5">
        <v>1228113.25</v>
      </c>
      <c r="L561" s="5">
        <v>1124447.78</v>
      </c>
      <c r="M561" s="5">
        <v>103665.47</v>
      </c>
      <c r="N561" s="2" t="s">
        <v>33</v>
      </c>
    </row>
    <row r="562" spans="1:14" ht="12" customHeight="1">
      <c r="A562" s="2" t="s">
        <v>655</v>
      </c>
      <c r="B562" s="3">
        <v>45967</v>
      </c>
      <c r="C562" s="2" t="s">
        <v>15</v>
      </c>
      <c r="D562" s="2" t="s">
        <v>16</v>
      </c>
      <c r="E562" s="2" t="s">
        <v>17</v>
      </c>
      <c r="F562" s="2" t="s">
        <v>24</v>
      </c>
      <c r="G562" s="2" t="s">
        <v>61</v>
      </c>
      <c r="H562" s="4">
        <v>2</v>
      </c>
      <c r="I562" s="5">
        <v>95062.87</v>
      </c>
      <c r="J562" s="6">
        <v>0</v>
      </c>
      <c r="K562" s="5">
        <v>190125.74</v>
      </c>
      <c r="L562" s="5">
        <v>132742.39999999999</v>
      </c>
      <c r="M562" s="5">
        <v>57383.34</v>
      </c>
      <c r="N562" s="2" t="s">
        <v>20</v>
      </c>
    </row>
    <row r="563" spans="1:14" ht="12" customHeight="1">
      <c r="A563" s="2" t="s">
        <v>656</v>
      </c>
      <c r="B563" s="3">
        <v>45696</v>
      </c>
      <c r="C563" s="2" t="s">
        <v>15</v>
      </c>
      <c r="D563" s="2" t="s">
        <v>43</v>
      </c>
      <c r="E563" s="2" t="s">
        <v>44</v>
      </c>
      <c r="F563" s="2" t="s">
        <v>80</v>
      </c>
      <c r="G563" s="2" t="s">
        <v>70</v>
      </c>
      <c r="H563" s="4">
        <v>3</v>
      </c>
      <c r="I563" s="5">
        <v>41302.949999999997</v>
      </c>
      <c r="J563" s="6">
        <v>0.05</v>
      </c>
      <c r="K563" s="5">
        <v>117713.41</v>
      </c>
      <c r="L563" s="5">
        <v>94509.71</v>
      </c>
      <c r="M563" s="5">
        <v>23203.7</v>
      </c>
      <c r="N563" s="2" t="s">
        <v>59</v>
      </c>
    </row>
    <row r="564" spans="1:14" ht="12" customHeight="1">
      <c r="A564" s="2" t="s">
        <v>657</v>
      </c>
      <c r="B564" s="3">
        <v>45853</v>
      </c>
      <c r="C564" s="2" t="s">
        <v>28</v>
      </c>
      <c r="D564" s="2" t="s">
        <v>29</v>
      </c>
      <c r="E564" s="2" t="s">
        <v>30</v>
      </c>
      <c r="F564" s="2" t="s">
        <v>38</v>
      </c>
      <c r="G564" s="2" t="s">
        <v>25</v>
      </c>
      <c r="H564" s="4">
        <v>3</v>
      </c>
      <c r="I564" s="5">
        <v>28212.76</v>
      </c>
      <c r="J564" s="6">
        <v>0.05</v>
      </c>
      <c r="K564" s="5">
        <v>80406.37</v>
      </c>
      <c r="L564" s="5">
        <v>55317.46</v>
      </c>
      <c r="M564" s="5">
        <v>25088.91</v>
      </c>
      <c r="N564" s="2" t="s">
        <v>59</v>
      </c>
    </row>
    <row r="565" spans="1:14" ht="12" customHeight="1">
      <c r="A565" s="2" t="s">
        <v>658</v>
      </c>
      <c r="B565" s="3">
        <v>45749</v>
      </c>
      <c r="C565" s="2" t="s">
        <v>22</v>
      </c>
      <c r="D565" s="2" t="s">
        <v>35</v>
      </c>
      <c r="E565" s="2" t="s">
        <v>30</v>
      </c>
      <c r="F565" s="2" t="s">
        <v>86</v>
      </c>
      <c r="G565" s="2" t="s">
        <v>70</v>
      </c>
      <c r="H565" s="4">
        <v>8</v>
      </c>
      <c r="I565" s="5">
        <v>30726.42</v>
      </c>
      <c r="J565" s="6">
        <v>0</v>
      </c>
      <c r="K565" s="5">
        <v>245811.36</v>
      </c>
      <c r="L565" s="5">
        <v>182289.8</v>
      </c>
      <c r="M565" s="5">
        <v>63521.56</v>
      </c>
      <c r="N565" s="2" t="s">
        <v>33</v>
      </c>
    </row>
    <row r="566" spans="1:14" ht="12" customHeight="1">
      <c r="A566" s="2" t="s">
        <v>659</v>
      </c>
      <c r="B566" s="3">
        <v>45675</v>
      </c>
      <c r="C566" s="2" t="s">
        <v>22</v>
      </c>
      <c r="D566" s="2" t="s">
        <v>37</v>
      </c>
      <c r="E566" s="2" t="s">
        <v>49</v>
      </c>
      <c r="F566" s="2" t="s">
        <v>50</v>
      </c>
      <c r="G566" s="2" t="s">
        <v>19</v>
      </c>
      <c r="H566" s="4">
        <v>2</v>
      </c>
      <c r="I566" s="5">
        <v>4477.2700000000004</v>
      </c>
      <c r="J566" s="6">
        <v>0.15</v>
      </c>
      <c r="K566" s="5">
        <v>7611.36</v>
      </c>
      <c r="L566" s="5">
        <v>4150.1400000000003</v>
      </c>
      <c r="M566" s="5">
        <v>3461.22</v>
      </c>
      <c r="N566" s="2" t="s">
        <v>33</v>
      </c>
    </row>
    <row r="567" spans="1:14" ht="12" customHeight="1">
      <c r="A567" s="2" t="s">
        <v>660</v>
      </c>
      <c r="B567" s="3">
        <v>45658</v>
      </c>
      <c r="C567" s="2" t="s">
        <v>15</v>
      </c>
      <c r="D567" s="2" t="s">
        <v>43</v>
      </c>
      <c r="E567" s="2" t="s">
        <v>30</v>
      </c>
      <c r="F567" s="2" t="s">
        <v>40</v>
      </c>
      <c r="G567" s="2" t="s">
        <v>64</v>
      </c>
      <c r="H567" s="4">
        <v>1</v>
      </c>
      <c r="I567" s="5">
        <v>26054.33</v>
      </c>
      <c r="J567" s="6">
        <v>0</v>
      </c>
      <c r="K567" s="5">
        <v>26054.33</v>
      </c>
      <c r="L567" s="5">
        <v>16048.07</v>
      </c>
      <c r="M567" s="5">
        <v>10006.26</v>
      </c>
      <c r="N567" s="2" t="s">
        <v>20</v>
      </c>
    </row>
    <row r="568" spans="1:14" ht="12" customHeight="1">
      <c r="A568" s="2" t="s">
        <v>661</v>
      </c>
      <c r="B568" s="3">
        <v>45864</v>
      </c>
      <c r="C568" s="2" t="s">
        <v>28</v>
      </c>
      <c r="D568" s="2" t="s">
        <v>52</v>
      </c>
      <c r="E568" s="2" t="s">
        <v>30</v>
      </c>
      <c r="F568" s="2" t="s">
        <v>40</v>
      </c>
      <c r="G568" s="2" t="s">
        <v>19</v>
      </c>
      <c r="H568" s="4">
        <v>1</v>
      </c>
      <c r="I568" s="5">
        <v>24560.3</v>
      </c>
      <c r="J568" s="6">
        <v>0.05</v>
      </c>
      <c r="K568" s="5">
        <v>23332.28</v>
      </c>
      <c r="L568" s="5">
        <v>15854.82</v>
      </c>
      <c r="M568" s="5">
        <v>7477.46</v>
      </c>
      <c r="N568" s="2" t="s">
        <v>26</v>
      </c>
    </row>
    <row r="569" spans="1:14" ht="12" customHeight="1">
      <c r="A569" s="2" t="s">
        <v>662</v>
      </c>
      <c r="B569" s="3">
        <v>45981</v>
      </c>
      <c r="C569" s="2" t="s">
        <v>22</v>
      </c>
      <c r="D569" s="2" t="s">
        <v>35</v>
      </c>
      <c r="E569" s="2" t="s">
        <v>49</v>
      </c>
      <c r="F569" s="2" t="s">
        <v>91</v>
      </c>
      <c r="G569" s="2" t="s">
        <v>19</v>
      </c>
      <c r="H569" s="4">
        <v>6</v>
      </c>
      <c r="I569" s="5">
        <v>6326.78</v>
      </c>
      <c r="J569" s="6">
        <v>0.05</v>
      </c>
      <c r="K569" s="5">
        <v>36062.65</v>
      </c>
      <c r="L569" s="5">
        <v>21557.73</v>
      </c>
      <c r="M569" s="5">
        <v>14504.92</v>
      </c>
      <c r="N569" s="2" t="s">
        <v>59</v>
      </c>
    </row>
    <row r="570" spans="1:14" ht="12" customHeight="1">
      <c r="A570" s="2" t="s">
        <v>663</v>
      </c>
      <c r="B570" s="3">
        <v>45854</v>
      </c>
      <c r="C570" s="2" t="s">
        <v>15</v>
      </c>
      <c r="D570" s="2" t="s">
        <v>63</v>
      </c>
      <c r="E570" s="2" t="s">
        <v>17</v>
      </c>
      <c r="F570" s="2" t="s">
        <v>114</v>
      </c>
      <c r="G570" s="2" t="s">
        <v>47</v>
      </c>
      <c r="H570" s="4">
        <v>5</v>
      </c>
      <c r="I570" s="5">
        <v>53229.63</v>
      </c>
      <c r="J570" s="6">
        <v>0</v>
      </c>
      <c r="K570" s="5">
        <v>266148.15000000002</v>
      </c>
      <c r="L570" s="5">
        <v>184108.42</v>
      </c>
      <c r="M570" s="5">
        <v>82039.73</v>
      </c>
      <c r="N570" s="2" t="s">
        <v>59</v>
      </c>
    </row>
    <row r="571" spans="1:14" ht="12" customHeight="1">
      <c r="A571" s="2" t="s">
        <v>664</v>
      </c>
      <c r="B571" s="3">
        <v>45755</v>
      </c>
      <c r="C571" s="2" t="s">
        <v>15</v>
      </c>
      <c r="D571" s="2" t="s">
        <v>63</v>
      </c>
      <c r="E571" s="2" t="s">
        <v>17</v>
      </c>
      <c r="F571" s="2" t="s">
        <v>18</v>
      </c>
      <c r="G571" s="2" t="s">
        <v>61</v>
      </c>
      <c r="H571" s="4">
        <v>8</v>
      </c>
      <c r="I571" s="5">
        <v>13536.88</v>
      </c>
      <c r="J571" s="6">
        <v>0.15</v>
      </c>
      <c r="K571" s="5">
        <v>92050.78</v>
      </c>
      <c r="L571" s="5">
        <v>65643.22</v>
      </c>
      <c r="M571" s="5">
        <v>26407.56</v>
      </c>
      <c r="N571" s="2" t="s">
        <v>33</v>
      </c>
    </row>
    <row r="572" spans="1:14" ht="12" customHeight="1">
      <c r="A572" s="2" t="s">
        <v>665</v>
      </c>
      <c r="B572" s="3">
        <v>45913</v>
      </c>
      <c r="C572" s="2" t="s">
        <v>22</v>
      </c>
      <c r="D572" s="2" t="s">
        <v>23</v>
      </c>
      <c r="E572" s="2" t="s">
        <v>44</v>
      </c>
      <c r="F572" s="2" t="s">
        <v>53</v>
      </c>
      <c r="G572" s="2" t="s">
        <v>70</v>
      </c>
      <c r="H572" s="4">
        <v>7</v>
      </c>
      <c r="I572" s="5">
        <v>7905.67</v>
      </c>
      <c r="J572" s="6">
        <v>0.1</v>
      </c>
      <c r="K572" s="5">
        <v>49805.72</v>
      </c>
      <c r="L572" s="5">
        <v>34815.82</v>
      </c>
      <c r="M572" s="5">
        <v>14989.9</v>
      </c>
      <c r="N572" s="2" t="s">
        <v>33</v>
      </c>
    </row>
    <row r="573" spans="1:14" ht="12" customHeight="1">
      <c r="A573" s="2" t="s">
        <v>666</v>
      </c>
      <c r="B573" s="3">
        <v>45999</v>
      </c>
      <c r="C573" s="2" t="s">
        <v>22</v>
      </c>
      <c r="D573" s="2" t="s">
        <v>35</v>
      </c>
      <c r="E573" s="2" t="s">
        <v>17</v>
      </c>
      <c r="F573" s="2" t="s">
        <v>18</v>
      </c>
      <c r="G573" s="2" t="s">
        <v>70</v>
      </c>
      <c r="H573" s="4">
        <v>1</v>
      </c>
      <c r="I573" s="5">
        <v>14280.78</v>
      </c>
      <c r="J573" s="6">
        <v>0</v>
      </c>
      <c r="K573" s="5">
        <v>14280.78</v>
      </c>
      <c r="L573" s="5">
        <v>8417.2800000000007</v>
      </c>
      <c r="M573" s="5">
        <v>5863.5</v>
      </c>
      <c r="N573" s="2" t="s">
        <v>26</v>
      </c>
    </row>
    <row r="574" spans="1:14" ht="12" customHeight="1">
      <c r="A574" s="2" t="s">
        <v>667</v>
      </c>
      <c r="B574" s="3">
        <v>45899</v>
      </c>
      <c r="C574" s="2" t="s">
        <v>15</v>
      </c>
      <c r="D574" s="2" t="s">
        <v>43</v>
      </c>
      <c r="E574" s="2" t="s">
        <v>44</v>
      </c>
      <c r="F574" s="2" t="s">
        <v>80</v>
      </c>
      <c r="G574" s="2" t="s">
        <v>64</v>
      </c>
      <c r="H574" s="4">
        <v>1</v>
      </c>
      <c r="I574" s="5">
        <v>44619.96</v>
      </c>
      <c r="J574" s="6">
        <v>0.05</v>
      </c>
      <c r="K574" s="5">
        <v>42388.959999999999</v>
      </c>
      <c r="L574" s="5">
        <v>31488.81</v>
      </c>
      <c r="M574" s="5">
        <v>10900.15</v>
      </c>
      <c r="N574" s="2" t="s">
        <v>26</v>
      </c>
    </row>
    <row r="575" spans="1:14" ht="12" customHeight="1">
      <c r="A575" s="2" t="s">
        <v>668</v>
      </c>
      <c r="B575" s="3">
        <v>45707</v>
      </c>
      <c r="C575" s="2" t="s">
        <v>15</v>
      </c>
      <c r="D575" s="2" t="s">
        <v>43</v>
      </c>
      <c r="E575" s="2" t="s">
        <v>44</v>
      </c>
      <c r="F575" s="2" t="s">
        <v>80</v>
      </c>
      <c r="G575" s="2" t="s">
        <v>70</v>
      </c>
      <c r="H575" s="4">
        <v>3</v>
      </c>
      <c r="I575" s="5">
        <v>43912.71</v>
      </c>
      <c r="J575" s="6">
        <v>0.05</v>
      </c>
      <c r="K575" s="5">
        <v>125151.22</v>
      </c>
      <c r="L575" s="5">
        <v>95553.01</v>
      </c>
      <c r="M575" s="5">
        <v>29598.21</v>
      </c>
      <c r="N575" s="2" t="s">
        <v>26</v>
      </c>
    </row>
    <row r="576" spans="1:14" ht="12" customHeight="1">
      <c r="A576" s="2" t="s">
        <v>669</v>
      </c>
      <c r="B576" s="3">
        <v>45761</v>
      </c>
      <c r="C576" s="2" t="s">
        <v>15</v>
      </c>
      <c r="D576" s="2" t="s">
        <v>16</v>
      </c>
      <c r="E576" s="2" t="s">
        <v>17</v>
      </c>
      <c r="F576" s="2" t="s">
        <v>75</v>
      </c>
      <c r="G576" s="2" t="s">
        <v>25</v>
      </c>
      <c r="H576" s="4">
        <v>8</v>
      </c>
      <c r="I576" s="5">
        <v>187811.33</v>
      </c>
      <c r="J576" s="6">
        <v>0.1</v>
      </c>
      <c r="K576" s="5">
        <v>1352241.58</v>
      </c>
      <c r="L576" s="5">
        <v>1119459.93</v>
      </c>
      <c r="M576" s="5">
        <v>232781.65</v>
      </c>
      <c r="N576" s="2" t="s">
        <v>59</v>
      </c>
    </row>
    <row r="577" spans="1:14" ht="12" customHeight="1">
      <c r="A577" s="2" t="s">
        <v>670</v>
      </c>
      <c r="B577" s="3">
        <v>45822</v>
      </c>
      <c r="C577" s="2" t="s">
        <v>15</v>
      </c>
      <c r="D577" s="2" t="s">
        <v>43</v>
      </c>
      <c r="E577" s="2" t="s">
        <v>49</v>
      </c>
      <c r="F577" s="2" t="s">
        <v>57</v>
      </c>
      <c r="G577" s="2" t="s">
        <v>47</v>
      </c>
      <c r="H577" s="4">
        <v>2</v>
      </c>
      <c r="I577" s="5">
        <v>12375.57</v>
      </c>
      <c r="J577" s="6">
        <v>0.1</v>
      </c>
      <c r="K577" s="5">
        <v>22276.03</v>
      </c>
      <c r="L577" s="5">
        <v>13106.76</v>
      </c>
      <c r="M577" s="5">
        <v>9169.27</v>
      </c>
      <c r="N577" s="2" t="s">
        <v>33</v>
      </c>
    </row>
    <row r="578" spans="1:14" ht="12" customHeight="1">
      <c r="A578" s="2" t="s">
        <v>671</v>
      </c>
      <c r="B578" s="3">
        <v>45847</v>
      </c>
      <c r="C578" s="2" t="s">
        <v>15</v>
      </c>
      <c r="D578" s="2" t="s">
        <v>16</v>
      </c>
      <c r="E578" s="2" t="s">
        <v>30</v>
      </c>
      <c r="F578" s="2" t="s">
        <v>31</v>
      </c>
      <c r="G578" s="2" t="s">
        <v>61</v>
      </c>
      <c r="H578" s="4">
        <v>2</v>
      </c>
      <c r="I578" s="5">
        <v>130116.1</v>
      </c>
      <c r="J578" s="6">
        <v>0.05</v>
      </c>
      <c r="K578" s="5">
        <v>247220.59</v>
      </c>
      <c r="L578" s="5">
        <v>198316.24</v>
      </c>
      <c r="M578" s="5">
        <v>48904.35</v>
      </c>
      <c r="N578" s="2" t="s">
        <v>20</v>
      </c>
    </row>
    <row r="579" spans="1:14" ht="12" customHeight="1">
      <c r="A579" s="2" t="s">
        <v>672</v>
      </c>
      <c r="B579" s="3">
        <v>45738</v>
      </c>
      <c r="C579" s="2" t="s">
        <v>22</v>
      </c>
      <c r="D579" s="2" t="s">
        <v>37</v>
      </c>
      <c r="E579" s="2" t="s">
        <v>17</v>
      </c>
      <c r="F579" s="2" t="s">
        <v>24</v>
      </c>
      <c r="G579" s="2" t="s">
        <v>64</v>
      </c>
      <c r="H579" s="4">
        <v>2</v>
      </c>
      <c r="I579" s="5">
        <v>96284.29</v>
      </c>
      <c r="J579" s="6">
        <v>0.15</v>
      </c>
      <c r="K579" s="5">
        <v>163683.29</v>
      </c>
      <c r="L579" s="5">
        <v>137750.44</v>
      </c>
      <c r="M579" s="5">
        <v>25932.85</v>
      </c>
      <c r="N579" s="2" t="s">
        <v>20</v>
      </c>
    </row>
    <row r="580" spans="1:14" ht="12" customHeight="1">
      <c r="A580" s="2" t="s">
        <v>673</v>
      </c>
      <c r="B580" s="3">
        <v>45871</v>
      </c>
      <c r="C580" s="2" t="s">
        <v>22</v>
      </c>
      <c r="D580" s="2" t="s">
        <v>23</v>
      </c>
      <c r="E580" s="2" t="s">
        <v>17</v>
      </c>
      <c r="F580" s="2" t="s">
        <v>24</v>
      </c>
      <c r="G580" s="2" t="s">
        <v>70</v>
      </c>
      <c r="H580" s="4">
        <v>2</v>
      </c>
      <c r="I580" s="5">
        <v>95043.23</v>
      </c>
      <c r="J580" s="6">
        <v>0.1</v>
      </c>
      <c r="K580" s="5">
        <v>171077.81</v>
      </c>
      <c r="L580" s="5">
        <v>140363.43</v>
      </c>
      <c r="M580" s="5">
        <v>30714.38</v>
      </c>
      <c r="N580" s="2" t="s">
        <v>26</v>
      </c>
    </row>
    <row r="581" spans="1:14" ht="12" customHeight="1">
      <c r="A581" s="2" t="s">
        <v>674</v>
      </c>
      <c r="B581" s="3">
        <v>45677</v>
      </c>
      <c r="C581" s="2" t="s">
        <v>22</v>
      </c>
      <c r="D581" s="2" t="s">
        <v>23</v>
      </c>
      <c r="E581" s="2" t="s">
        <v>30</v>
      </c>
      <c r="F581" s="2" t="s">
        <v>40</v>
      </c>
      <c r="G581" s="2" t="s">
        <v>61</v>
      </c>
      <c r="H581" s="4">
        <v>7</v>
      </c>
      <c r="I581" s="5">
        <v>23477.87</v>
      </c>
      <c r="J581" s="6">
        <v>0</v>
      </c>
      <c r="K581" s="5">
        <v>164345.09</v>
      </c>
      <c r="L581" s="5">
        <v>112008.79</v>
      </c>
      <c r="M581" s="5">
        <v>52336.3</v>
      </c>
      <c r="N581" s="2" t="s">
        <v>20</v>
      </c>
    </row>
    <row r="582" spans="1:14" ht="12" customHeight="1">
      <c r="A582" s="2" t="s">
        <v>675</v>
      </c>
      <c r="B582" s="3">
        <v>45929</v>
      </c>
      <c r="C582" s="2" t="s">
        <v>15</v>
      </c>
      <c r="D582" s="2" t="s">
        <v>16</v>
      </c>
      <c r="E582" s="2" t="s">
        <v>30</v>
      </c>
      <c r="F582" s="2" t="s">
        <v>38</v>
      </c>
      <c r="G582" s="2" t="s">
        <v>19</v>
      </c>
      <c r="H582" s="4">
        <v>7</v>
      </c>
      <c r="I582" s="5">
        <v>24859.74</v>
      </c>
      <c r="J582" s="6">
        <v>0</v>
      </c>
      <c r="K582" s="5">
        <v>174018.18</v>
      </c>
      <c r="L582" s="5">
        <v>123912.58</v>
      </c>
      <c r="M582" s="5">
        <v>50105.599999999999</v>
      </c>
      <c r="N582" s="2" t="s">
        <v>59</v>
      </c>
    </row>
    <row r="583" spans="1:14" ht="12" customHeight="1">
      <c r="A583" s="2" t="s">
        <v>676</v>
      </c>
      <c r="B583" s="3">
        <v>45734</v>
      </c>
      <c r="C583" s="2" t="s">
        <v>15</v>
      </c>
      <c r="D583" s="2" t="s">
        <v>43</v>
      </c>
      <c r="E583" s="2" t="s">
        <v>44</v>
      </c>
      <c r="F583" s="2" t="s">
        <v>53</v>
      </c>
      <c r="G583" s="2" t="s">
        <v>70</v>
      </c>
      <c r="H583" s="4">
        <v>4</v>
      </c>
      <c r="I583" s="5">
        <v>8195.94</v>
      </c>
      <c r="J583" s="6">
        <v>0</v>
      </c>
      <c r="K583" s="5">
        <v>32783.760000000002</v>
      </c>
      <c r="L583" s="5">
        <v>19166.599999999999</v>
      </c>
      <c r="M583" s="5">
        <v>13617.16</v>
      </c>
      <c r="N583" s="2" t="s">
        <v>20</v>
      </c>
    </row>
    <row r="584" spans="1:14" ht="12" customHeight="1">
      <c r="A584" s="2" t="s">
        <v>677</v>
      </c>
      <c r="B584" s="3">
        <v>45973</v>
      </c>
      <c r="C584" s="2" t="s">
        <v>22</v>
      </c>
      <c r="D584" s="2" t="s">
        <v>23</v>
      </c>
      <c r="E584" s="2" t="s">
        <v>17</v>
      </c>
      <c r="F584" s="2" t="s">
        <v>75</v>
      </c>
      <c r="G584" s="2" t="s">
        <v>70</v>
      </c>
      <c r="H584" s="4">
        <v>6</v>
      </c>
      <c r="I584" s="5">
        <v>178637.91</v>
      </c>
      <c r="J584" s="6">
        <v>0.05</v>
      </c>
      <c r="K584" s="5">
        <v>1018236.09</v>
      </c>
      <c r="L584" s="5">
        <v>841432.41</v>
      </c>
      <c r="M584" s="5">
        <v>176803.68</v>
      </c>
      <c r="N584" s="2" t="s">
        <v>33</v>
      </c>
    </row>
    <row r="585" spans="1:14" ht="12" customHeight="1">
      <c r="A585" s="2" t="s">
        <v>678</v>
      </c>
      <c r="B585" s="3">
        <v>45694</v>
      </c>
      <c r="C585" s="2" t="s">
        <v>22</v>
      </c>
      <c r="D585" s="2" t="s">
        <v>37</v>
      </c>
      <c r="E585" s="2" t="s">
        <v>17</v>
      </c>
      <c r="F585" s="2" t="s">
        <v>24</v>
      </c>
      <c r="G585" s="2" t="s">
        <v>47</v>
      </c>
      <c r="H585" s="4">
        <v>3</v>
      </c>
      <c r="I585" s="5">
        <v>96202.44</v>
      </c>
      <c r="J585" s="6">
        <v>0.05</v>
      </c>
      <c r="K585" s="5">
        <v>274176.95</v>
      </c>
      <c r="L585" s="5">
        <v>205232.83</v>
      </c>
      <c r="M585" s="5">
        <v>68944.12</v>
      </c>
      <c r="N585" s="2" t="s">
        <v>20</v>
      </c>
    </row>
    <row r="586" spans="1:14" ht="12" customHeight="1">
      <c r="A586" s="2" t="s">
        <v>679</v>
      </c>
      <c r="B586" s="3">
        <v>45714</v>
      </c>
      <c r="C586" s="2" t="s">
        <v>15</v>
      </c>
      <c r="D586" s="2" t="s">
        <v>43</v>
      </c>
      <c r="E586" s="2" t="s">
        <v>30</v>
      </c>
      <c r="F586" s="2" t="s">
        <v>40</v>
      </c>
      <c r="G586" s="2" t="s">
        <v>32</v>
      </c>
      <c r="H586" s="4">
        <v>4</v>
      </c>
      <c r="I586" s="5">
        <v>25468.58</v>
      </c>
      <c r="J586" s="6">
        <v>0.05</v>
      </c>
      <c r="K586" s="5">
        <v>96780.6</v>
      </c>
      <c r="L586" s="5">
        <v>62321.8</v>
      </c>
      <c r="M586" s="5">
        <v>34458.800000000003</v>
      </c>
      <c r="N586" s="2" t="s">
        <v>26</v>
      </c>
    </row>
    <row r="587" spans="1:14" ht="12" customHeight="1">
      <c r="A587" s="2" t="s">
        <v>680</v>
      </c>
      <c r="B587" s="3">
        <v>45906</v>
      </c>
      <c r="C587" s="2" t="s">
        <v>22</v>
      </c>
      <c r="D587" s="2" t="s">
        <v>23</v>
      </c>
      <c r="E587" s="2" t="s">
        <v>49</v>
      </c>
      <c r="F587" s="2" t="s">
        <v>50</v>
      </c>
      <c r="G587" s="2" t="s">
        <v>64</v>
      </c>
      <c r="H587" s="4">
        <v>7</v>
      </c>
      <c r="I587" s="5">
        <v>4463</v>
      </c>
      <c r="J587" s="6">
        <v>0</v>
      </c>
      <c r="K587" s="5">
        <v>31241</v>
      </c>
      <c r="L587" s="5">
        <v>14743.65</v>
      </c>
      <c r="M587" s="5">
        <v>16497.349999999999</v>
      </c>
      <c r="N587" s="2" t="s">
        <v>20</v>
      </c>
    </row>
    <row r="588" spans="1:14" ht="12" customHeight="1">
      <c r="A588" s="2" t="s">
        <v>681</v>
      </c>
      <c r="B588" s="3">
        <v>45981</v>
      </c>
      <c r="C588" s="2" t="s">
        <v>22</v>
      </c>
      <c r="D588" s="2" t="s">
        <v>23</v>
      </c>
      <c r="E588" s="2" t="s">
        <v>49</v>
      </c>
      <c r="F588" s="2" t="s">
        <v>50</v>
      </c>
      <c r="G588" s="2" t="s">
        <v>32</v>
      </c>
      <c r="H588" s="4">
        <v>7</v>
      </c>
      <c r="I588" s="5">
        <v>4114.9799999999996</v>
      </c>
      <c r="J588" s="6">
        <v>0.05</v>
      </c>
      <c r="K588" s="5">
        <v>27364.62</v>
      </c>
      <c r="L588" s="5">
        <v>14999.7</v>
      </c>
      <c r="M588" s="5">
        <v>12364.92</v>
      </c>
      <c r="N588" s="2" t="s">
        <v>59</v>
      </c>
    </row>
    <row r="589" spans="1:14" ht="12" customHeight="1">
      <c r="A589" s="2" t="s">
        <v>682</v>
      </c>
      <c r="B589" s="3">
        <v>45892</v>
      </c>
      <c r="C589" s="2" t="s">
        <v>22</v>
      </c>
      <c r="D589" s="2" t="s">
        <v>35</v>
      </c>
      <c r="E589" s="2" t="s">
        <v>44</v>
      </c>
      <c r="F589" s="2" t="s">
        <v>80</v>
      </c>
      <c r="G589" s="2" t="s">
        <v>25</v>
      </c>
      <c r="H589" s="4">
        <v>1</v>
      </c>
      <c r="I589" s="5">
        <v>41490.559999999998</v>
      </c>
      <c r="J589" s="6">
        <v>0</v>
      </c>
      <c r="K589" s="5">
        <v>41490.559999999998</v>
      </c>
      <c r="L589" s="5">
        <v>31918.080000000002</v>
      </c>
      <c r="M589" s="5">
        <v>9572.48</v>
      </c>
      <c r="N589" s="2" t="s">
        <v>26</v>
      </c>
    </row>
    <row r="590" spans="1:14" ht="12" customHeight="1">
      <c r="A590" s="2" t="s">
        <v>683</v>
      </c>
      <c r="B590" s="3">
        <v>45702</v>
      </c>
      <c r="C590" s="2" t="s">
        <v>28</v>
      </c>
      <c r="D590" s="2" t="s">
        <v>52</v>
      </c>
      <c r="E590" s="2" t="s">
        <v>30</v>
      </c>
      <c r="F590" s="2" t="s">
        <v>86</v>
      </c>
      <c r="G590" s="2" t="s">
        <v>25</v>
      </c>
      <c r="H590" s="4">
        <v>3</v>
      </c>
      <c r="I590" s="5">
        <v>33412.480000000003</v>
      </c>
      <c r="J590" s="6">
        <v>0.1</v>
      </c>
      <c r="K590" s="5">
        <v>90213.7</v>
      </c>
      <c r="L590" s="5">
        <v>69514.89</v>
      </c>
      <c r="M590" s="5">
        <v>20698.810000000001</v>
      </c>
      <c r="N590" s="2" t="s">
        <v>20</v>
      </c>
    </row>
    <row r="591" spans="1:14" ht="12" customHeight="1">
      <c r="A591" s="2" t="s">
        <v>684</v>
      </c>
      <c r="B591" s="3">
        <v>45784</v>
      </c>
      <c r="C591" s="2" t="s">
        <v>22</v>
      </c>
      <c r="D591" s="2" t="s">
        <v>37</v>
      </c>
      <c r="E591" s="2" t="s">
        <v>49</v>
      </c>
      <c r="F591" s="2" t="s">
        <v>107</v>
      </c>
      <c r="G591" s="2" t="s">
        <v>47</v>
      </c>
      <c r="H591" s="4">
        <v>5</v>
      </c>
      <c r="I591" s="5">
        <v>4796.07</v>
      </c>
      <c r="J591" s="6">
        <v>0.05</v>
      </c>
      <c r="K591" s="5">
        <v>22781.33</v>
      </c>
      <c r="L591" s="5">
        <v>13790.69</v>
      </c>
      <c r="M591" s="5">
        <v>8990.64</v>
      </c>
      <c r="N591" s="2" t="s">
        <v>59</v>
      </c>
    </row>
    <row r="592" spans="1:14" ht="12" customHeight="1">
      <c r="A592" s="2" t="s">
        <v>685</v>
      </c>
      <c r="B592" s="3">
        <v>45898</v>
      </c>
      <c r="C592" s="2" t="s">
        <v>28</v>
      </c>
      <c r="D592" s="2" t="s">
        <v>29</v>
      </c>
      <c r="E592" s="2" t="s">
        <v>44</v>
      </c>
      <c r="F592" s="2" t="s">
        <v>45</v>
      </c>
      <c r="G592" s="2" t="s">
        <v>64</v>
      </c>
      <c r="H592" s="4">
        <v>1</v>
      </c>
      <c r="I592" s="5">
        <v>28125.040000000001</v>
      </c>
      <c r="J592" s="6">
        <v>0</v>
      </c>
      <c r="K592" s="5">
        <v>28125.040000000001</v>
      </c>
      <c r="L592" s="5">
        <v>18483.28</v>
      </c>
      <c r="M592" s="5">
        <v>9641.76</v>
      </c>
      <c r="N592" s="2" t="s">
        <v>20</v>
      </c>
    </row>
    <row r="593" spans="1:14" ht="12" customHeight="1">
      <c r="A593" s="2" t="s">
        <v>686</v>
      </c>
      <c r="B593" s="3">
        <v>45664</v>
      </c>
      <c r="C593" s="2" t="s">
        <v>15</v>
      </c>
      <c r="D593" s="2" t="s">
        <v>63</v>
      </c>
      <c r="E593" s="2" t="s">
        <v>49</v>
      </c>
      <c r="F593" s="2" t="s">
        <v>91</v>
      </c>
      <c r="G593" s="2" t="s">
        <v>25</v>
      </c>
      <c r="H593" s="4">
        <v>8</v>
      </c>
      <c r="I593" s="5">
        <v>6495.1</v>
      </c>
      <c r="J593" s="6">
        <v>0</v>
      </c>
      <c r="K593" s="5">
        <v>51960.800000000003</v>
      </c>
      <c r="L593" s="5">
        <v>29061.91</v>
      </c>
      <c r="M593" s="5">
        <v>22898.89</v>
      </c>
      <c r="N593" s="2" t="s">
        <v>41</v>
      </c>
    </row>
    <row r="594" spans="1:14" ht="12" customHeight="1">
      <c r="A594" s="2" t="s">
        <v>687</v>
      </c>
      <c r="B594" s="3">
        <v>46018</v>
      </c>
      <c r="C594" s="2" t="s">
        <v>22</v>
      </c>
      <c r="D594" s="2" t="s">
        <v>35</v>
      </c>
      <c r="E594" s="2" t="s">
        <v>30</v>
      </c>
      <c r="F594" s="2" t="s">
        <v>86</v>
      </c>
      <c r="G594" s="2" t="s">
        <v>70</v>
      </c>
      <c r="H594" s="4">
        <v>2</v>
      </c>
      <c r="I594" s="5">
        <v>30444.11</v>
      </c>
      <c r="J594" s="6">
        <v>0.15</v>
      </c>
      <c r="K594" s="5">
        <v>51754.99</v>
      </c>
      <c r="L594" s="5">
        <v>44610.239999999998</v>
      </c>
      <c r="M594" s="5">
        <v>7144.75</v>
      </c>
      <c r="N594" s="2" t="s">
        <v>33</v>
      </c>
    </row>
    <row r="595" spans="1:14" ht="12" customHeight="1">
      <c r="A595" s="2" t="s">
        <v>688</v>
      </c>
      <c r="B595" s="3">
        <v>46018</v>
      </c>
      <c r="C595" s="2" t="s">
        <v>28</v>
      </c>
      <c r="D595" s="2" t="s">
        <v>56</v>
      </c>
      <c r="E595" s="2" t="s">
        <v>44</v>
      </c>
      <c r="F595" s="2" t="s">
        <v>53</v>
      </c>
      <c r="G595" s="2" t="s">
        <v>64</v>
      </c>
      <c r="H595" s="4">
        <v>3</v>
      </c>
      <c r="I595" s="5">
        <v>8894.2099999999991</v>
      </c>
      <c r="J595" s="6">
        <v>0.05</v>
      </c>
      <c r="K595" s="5">
        <v>25348.5</v>
      </c>
      <c r="L595" s="5">
        <v>14903.99</v>
      </c>
      <c r="M595" s="5">
        <v>10444.51</v>
      </c>
      <c r="N595" s="2" t="s">
        <v>33</v>
      </c>
    </row>
    <row r="596" spans="1:14" ht="12" customHeight="1">
      <c r="A596" s="2" t="s">
        <v>689</v>
      </c>
      <c r="B596" s="3">
        <v>45971</v>
      </c>
      <c r="C596" s="2" t="s">
        <v>28</v>
      </c>
      <c r="D596" s="2" t="s">
        <v>29</v>
      </c>
      <c r="E596" s="2" t="s">
        <v>30</v>
      </c>
      <c r="F596" s="2" t="s">
        <v>31</v>
      </c>
      <c r="G596" s="2" t="s">
        <v>47</v>
      </c>
      <c r="H596" s="4">
        <v>5</v>
      </c>
      <c r="I596" s="5">
        <v>133399.49</v>
      </c>
      <c r="J596" s="6">
        <v>0.05</v>
      </c>
      <c r="K596" s="5">
        <v>633647.57999999996</v>
      </c>
      <c r="L596" s="5">
        <v>514526.24</v>
      </c>
      <c r="M596" s="5">
        <v>119121.34</v>
      </c>
      <c r="N596" s="2" t="s">
        <v>33</v>
      </c>
    </row>
    <row r="597" spans="1:14" ht="12" customHeight="1">
      <c r="A597" s="2" t="s">
        <v>690</v>
      </c>
      <c r="B597" s="3">
        <v>45678</v>
      </c>
      <c r="C597" s="2" t="s">
        <v>15</v>
      </c>
      <c r="D597" s="2" t="s">
        <v>63</v>
      </c>
      <c r="E597" s="2" t="s">
        <v>17</v>
      </c>
      <c r="F597" s="2" t="s">
        <v>18</v>
      </c>
      <c r="G597" s="2" t="s">
        <v>32</v>
      </c>
      <c r="H597" s="4">
        <v>1</v>
      </c>
      <c r="I597" s="5">
        <v>13597.44</v>
      </c>
      <c r="J597" s="6">
        <v>0.05</v>
      </c>
      <c r="K597" s="5">
        <v>12917.57</v>
      </c>
      <c r="L597" s="5">
        <v>8221.11</v>
      </c>
      <c r="M597" s="5">
        <v>4696.46</v>
      </c>
      <c r="N597" s="2" t="s">
        <v>59</v>
      </c>
    </row>
    <row r="598" spans="1:14" ht="12" customHeight="1">
      <c r="A598" s="2" t="s">
        <v>691</v>
      </c>
      <c r="B598" s="3">
        <v>45990</v>
      </c>
      <c r="C598" s="2" t="s">
        <v>22</v>
      </c>
      <c r="D598" s="2" t="s">
        <v>37</v>
      </c>
      <c r="E598" s="2" t="s">
        <v>17</v>
      </c>
      <c r="F598" s="2" t="s">
        <v>24</v>
      </c>
      <c r="G598" s="2" t="s">
        <v>70</v>
      </c>
      <c r="H598" s="4">
        <v>3</v>
      </c>
      <c r="I598" s="5">
        <v>99084.02</v>
      </c>
      <c r="J598" s="6">
        <v>0</v>
      </c>
      <c r="K598" s="5">
        <v>297252.06</v>
      </c>
      <c r="L598" s="5">
        <v>205585.97</v>
      </c>
      <c r="M598" s="5">
        <v>91666.09</v>
      </c>
      <c r="N598" s="2" t="s">
        <v>26</v>
      </c>
    </row>
    <row r="599" spans="1:14" ht="12" customHeight="1">
      <c r="A599" s="2" t="s">
        <v>692</v>
      </c>
      <c r="B599" s="3">
        <v>45690</v>
      </c>
      <c r="C599" s="2" t="s">
        <v>15</v>
      </c>
      <c r="D599" s="2" t="s">
        <v>16</v>
      </c>
      <c r="E599" s="2" t="s">
        <v>30</v>
      </c>
      <c r="F599" s="2" t="s">
        <v>38</v>
      </c>
      <c r="G599" s="2" t="s">
        <v>32</v>
      </c>
      <c r="H599" s="4">
        <v>5</v>
      </c>
      <c r="I599" s="5">
        <v>27015.4</v>
      </c>
      <c r="J599" s="6">
        <v>0.05</v>
      </c>
      <c r="K599" s="5">
        <v>128323.15</v>
      </c>
      <c r="L599" s="5">
        <v>89046.02</v>
      </c>
      <c r="M599" s="5">
        <v>39277.129999999997</v>
      </c>
      <c r="N599" s="2" t="s">
        <v>59</v>
      </c>
    </row>
    <row r="600" spans="1:14" ht="12" customHeight="1">
      <c r="A600" s="2" t="s">
        <v>693</v>
      </c>
      <c r="B600" s="3">
        <v>46012</v>
      </c>
      <c r="C600" s="2" t="s">
        <v>28</v>
      </c>
      <c r="D600" s="2" t="s">
        <v>56</v>
      </c>
      <c r="E600" s="2" t="s">
        <v>17</v>
      </c>
      <c r="F600" s="2" t="s">
        <v>114</v>
      </c>
      <c r="G600" s="2" t="s">
        <v>19</v>
      </c>
      <c r="H600" s="4">
        <v>5</v>
      </c>
      <c r="I600" s="5">
        <v>51600.46</v>
      </c>
      <c r="J600" s="6">
        <v>0.05</v>
      </c>
      <c r="K600" s="5">
        <v>245102.18</v>
      </c>
      <c r="L600" s="5">
        <v>187243.77</v>
      </c>
      <c r="M600" s="5">
        <v>57858.41</v>
      </c>
      <c r="N600" s="2" t="s">
        <v>26</v>
      </c>
    </row>
    <row r="601" spans="1:14" ht="12" customHeight="1">
      <c r="A601" s="2" t="s">
        <v>694</v>
      </c>
      <c r="B601" s="3">
        <v>45799</v>
      </c>
      <c r="C601" s="2" t="s">
        <v>28</v>
      </c>
      <c r="D601" s="2" t="s">
        <v>52</v>
      </c>
      <c r="E601" s="2" t="s">
        <v>17</v>
      </c>
      <c r="F601" s="2" t="s">
        <v>114</v>
      </c>
      <c r="G601" s="2" t="s">
        <v>19</v>
      </c>
      <c r="H601" s="4">
        <v>3</v>
      </c>
      <c r="I601" s="5">
        <v>50239.26</v>
      </c>
      <c r="J601" s="6">
        <v>0</v>
      </c>
      <c r="K601" s="5">
        <v>150717.78</v>
      </c>
      <c r="L601" s="5">
        <v>107053.28</v>
      </c>
      <c r="M601" s="5">
        <v>43664.5</v>
      </c>
      <c r="N601" s="2" t="s">
        <v>26</v>
      </c>
    </row>
    <row r="602" spans="1:14" ht="12" customHeight="1">
      <c r="A602" s="2" t="s">
        <v>695</v>
      </c>
      <c r="B602" s="3">
        <v>45725</v>
      </c>
      <c r="C602" s="2" t="s">
        <v>28</v>
      </c>
      <c r="D602" s="2" t="s">
        <v>52</v>
      </c>
      <c r="E602" s="2" t="s">
        <v>44</v>
      </c>
      <c r="F602" s="2" t="s">
        <v>80</v>
      </c>
      <c r="G602" s="2" t="s">
        <v>70</v>
      </c>
      <c r="H602" s="4">
        <v>5</v>
      </c>
      <c r="I602" s="5">
        <v>42425.77</v>
      </c>
      <c r="J602" s="6">
        <v>0.15</v>
      </c>
      <c r="K602" s="5">
        <v>180309.52</v>
      </c>
      <c r="L602" s="5">
        <v>156224.57</v>
      </c>
      <c r="M602" s="5">
        <v>24084.95</v>
      </c>
      <c r="N602" s="2" t="s">
        <v>59</v>
      </c>
    </row>
    <row r="603" spans="1:14" ht="12" customHeight="1">
      <c r="A603" s="2" t="s">
        <v>696</v>
      </c>
      <c r="B603" s="3">
        <v>45924</v>
      </c>
      <c r="C603" s="2" t="s">
        <v>28</v>
      </c>
      <c r="D603" s="2" t="s">
        <v>56</v>
      </c>
      <c r="E603" s="2" t="s">
        <v>17</v>
      </c>
      <c r="F603" s="2" t="s">
        <v>18</v>
      </c>
      <c r="G603" s="2" t="s">
        <v>32</v>
      </c>
      <c r="H603" s="4">
        <v>4</v>
      </c>
      <c r="I603" s="5">
        <v>13486.04</v>
      </c>
      <c r="J603" s="6">
        <v>0</v>
      </c>
      <c r="K603" s="5">
        <v>53944.160000000003</v>
      </c>
      <c r="L603" s="5">
        <v>33733.040000000001</v>
      </c>
      <c r="M603" s="5">
        <v>20211.12</v>
      </c>
      <c r="N603" s="2" t="s">
        <v>20</v>
      </c>
    </row>
    <row r="604" spans="1:14" ht="12" customHeight="1">
      <c r="A604" s="2" t="s">
        <v>697</v>
      </c>
      <c r="B604" s="3">
        <v>45814</v>
      </c>
      <c r="C604" s="2" t="s">
        <v>15</v>
      </c>
      <c r="D604" s="2" t="s">
        <v>63</v>
      </c>
      <c r="E604" s="2" t="s">
        <v>30</v>
      </c>
      <c r="F604" s="2" t="s">
        <v>40</v>
      </c>
      <c r="G604" s="2" t="s">
        <v>61</v>
      </c>
      <c r="H604" s="4">
        <v>8</v>
      </c>
      <c r="I604" s="5">
        <v>24335.39</v>
      </c>
      <c r="J604" s="6">
        <v>0.1</v>
      </c>
      <c r="K604" s="5">
        <v>175214.81</v>
      </c>
      <c r="L604" s="5">
        <v>123775.53</v>
      </c>
      <c r="M604" s="5">
        <v>51439.28</v>
      </c>
      <c r="N604" s="2" t="s">
        <v>59</v>
      </c>
    </row>
    <row r="605" spans="1:14" ht="12" customHeight="1">
      <c r="A605" s="2" t="s">
        <v>698</v>
      </c>
      <c r="B605" s="3">
        <v>45743</v>
      </c>
      <c r="C605" s="2" t="s">
        <v>22</v>
      </c>
      <c r="D605" s="2" t="s">
        <v>35</v>
      </c>
      <c r="E605" s="2" t="s">
        <v>30</v>
      </c>
      <c r="F605" s="2" t="s">
        <v>38</v>
      </c>
      <c r="G605" s="2" t="s">
        <v>61</v>
      </c>
      <c r="H605" s="4">
        <v>1</v>
      </c>
      <c r="I605" s="5">
        <v>25480.82</v>
      </c>
      <c r="J605" s="6">
        <v>0.05</v>
      </c>
      <c r="K605" s="5">
        <v>24206.78</v>
      </c>
      <c r="L605" s="5">
        <v>18034.47</v>
      </c>
      <c r="M605" s="5">
        <v>6172.31</v>
      </c>
      <c r="N605" s="2" t="s">
        <v>59</v>
      </c>
    </row>
    <row r="606" spans="1:14" ht="12" customHeight="1">
      <c r="A606" s="2" t="s">
        <v>699</v>
      </c>
      <c r="B606" s="3">
        <v>45883</v>
      </c>
      <c r="C606" s="2" t="s">
        <v>22</v>
      </c>
      <c r="D606" s="2" t="s">
        <v>23</v>
      </c>
      <c r="E606" s="2" t="s">
        <v>44</v>
      </c>
      <c r="F606" s="2" t="s">
        <v>45</v>
      </c>
      <c r="G606" s="2" t="s">
        <v>58</v>
      </c>
      <c r="H606" s="4">
        <v>4</v>
      </c>
      <c r="I606" s="5">
        <v>26753.14</v>
      </c>
      <c r="J606" s="6">
        <v>0.05</v>
      </c>
      <c r="K606" s="5">
        <v>101661.93</v>
      </c>
      <c r="L606" s="5">
        <v>76776.47</v>
      </c>
      <c r="M606" s="5">
        <v>24885.46</v>
      </c>
      <c r="N606" s="2" t="s">
        <v>59</v>
      </c>
    </row>
    <row r="607" spans="1:14" ht="12" customHeight="1">
      <c r="A607" s="2" t="s">
        <v>700</v>
      </c>
      <c r="B607" s="3">
        <v>45741</v>
      </c>
      <c r="C607" s="2" t="s">
        <v>22</v>
      </c>
      <c r="D607" s="2" t="s">
        <v>23</v>
      </c>
      <c r="E607" s="2" t="s">
        <v>17</v>
      </c>
      <c r="F607" s="2" t="s">
        <v>18</v>
      </c>
      <c r="G607" s="2" t="s">
        <v>58</v>
      </c>
      <c r="H607" s="4">
        <v>6</v>
      </c>
      <c r="I607" s="5">
        <v>13683.23</v>
      </c>
      <c r="J607" s="6">
        <v>0.05</v>
      </c>
      <c r="K607" s="5">
        <v>77994.41</v>
      </c>
      <c r="L607" s="5">
        <v>49583.3</v>
      </c>
      <c r="M607" s="5">
        <v>28411.11</v>
      </c>
      <c r="N607" s="2" t="s">
        <v>33</v>
      </c>
    </row>
    <row r="608" spans="1:14" ht="12" customHeight="1">
      <c r="A608" s="2" t="s">
        <v>701</v>
      </c>
      <c r="B608" s="3">
        <v>45937</v>
      </c>
      <c r="C608" s="2" t="s">
        <v>22</v>
      </c>
      <c r="D608" s="2" t="s">
        <v>35</v>
      </c>
      <c r="E608" s="2" t="s">
        <v>49</v>
      </c>
      <c r="F608" s="2" t="s">
        <v>50</v>
      </c>
      <c r="G608" s="2" t="s">
        <v>32</v>
      </c>
      <c r="H608" s="4">
        <v>8</v>
      </c>
      <c r="I608" s="5">
        <v>4487.49</v>
      </c>
      <c r="J608" s="6">
        <v>0</v>
      </c>
      <c r="K608" s="5">
        <v>35899.919999999998</v>
      </c>
      <c r="L608" s="5">
        <v>16301.05</v>
      </c>
      <c r="M608" s="5">
        <v>19598.87</v>
      </c>
      <c r="N608" s="2" t="s">
        <v>59</v>
      </c>
    </row>
    <row r="609" spans="1:14" ht="12" customHeight="1">
      <c r="A609" s="2" t="s">
        <v>702</v>
      </c>
      <c r="B609" s="3">
        <v>45678</v>
      </c>
      <c r="C609" s="2" t="s">
        <v>28</v>
      </c>
      <c r="D609" s="2" t="s">
        <v>56</v>
      </c>
      <c r="E609" s="2" t="s">
        <v>44</v>
      </c>
      <c r="F609" s="2" t="s">
        <v>53</v>
      </c>
      <c r="G609" s="2" t="s">
        <v>61</v>
      </c>
      <c r="H609" s="4">
        <v>6</v>
      </c>
      <c r="I609" s="5">
        <v>8757.24</v>
      </c>
      <c r="J609" s="6">
        <v>0.15</v>
      </c>
      <c r="K609" s="5">
        <v>44661.919999999998</v>
      </c>
      <c r="L609" s="5">
        <v>29503.74</v>
      </c>
      <c r="M609" s="5">
        <v>15158.18</v>
      </c>
      <c r="N609" s="2" t="s">
        <v>33</v>
      </c>
    </row>
    <row r="610" spans="1:14" ht="12" customHeight="1">
      <c r="A610" s="2" t="s">
        <v>703</v>
      </c>
      <c r="B610" s="3">
        <v>45986</v>
      </c>
      <c r="C610" s="2" t="s">
        <v>28</v>
      </c>
      <c r="D610" s="2" t="s">
        <v>52</v>
      </c>
      <c r="E610" s="2" t="s">
        <v>49</v>
      </c>
      <c r="F610" s="2" t="s">
        <v>50</v>
      </c>
      <c r="G610" s="2" t="s">
        <v>47</v>
      </c>
      <c r="H610" s="4">
        <v>8</v>
      </c>
      <c r="I610" s="5">
        <v>4104.17</v>
      </c>
      <c r="J610" s="6">
        <v>0.05</v>
      </c>
      <c r="K610" s="5">
        <v>31191.69</v>
      </c>
      <c r="L610" s="5">
        <v>16360.72</v>
      </c>
      <c r="M610" s="5">
        <v>14830.97</v>
      </c>
      <c r="N610" s="2" t="s">
        <v>26</v>
      </c>
    </row>
    <row r="611" spans="1:14" ht="12" customHeight="1">
      <c r="A611" s="2" t="s">
        <v>704</v>
      </c>
      <c r="B611" s="3">
        <v>45859</v>
      </c>
      <c r="C611" s="2" t="s">
        <v>28</v>
      </c>
      <c r="D611" s="2" t="s">
        <v>52</v>
      </c>
      <c r="E611" s="2" t="s">
        <v>17</v>
      </c>
      <c r="F611" s="2" t="s">
        <v>75</v>
      </c>
      <c r="G611" s="2" t="s">
        <v>47</v>
      </c>
      <c r="H611" s="4"/>
      <c r="I611" s="5">
        <v>190241.08</v>
      </c>
      <c r="J611" s="6">
        <v>0</v>
      </c>
      <c r="K611" s="5">
        <v>1521928.64</v>
      </c>
      <c r="L611" s="5">
        <v>1179518.76</v>
      </c>
      <c r="M611" s="5">
        <v>342409.88</v>
      </c>
      <c r="N611" s="2" t="s">
        <v>20</v>
      </c>
    </row>
    <row r="612" spans="1:14" ht="12" customHeight="1">
      <c r="A612" s="2" t="s">
        <v>705</v>
      </c>
      <c r="B612" s="3">
        <v>45848</v>
      </c>
      <c r="C612" s="2" t="s">
        <v>28</v>
      </c>
      <c r="D612" s="2" t="s">
        <v>29</v>
      </c>
      <c r="E612" s="2" t="s">
        <v>17</v>
      </c>
      <c r="F612" s="2" t="s">
        <v>18</v>
      </c>
      <c r="G612" s="2" t="s">
        <v>64</v>
      </c>
      <c r="H612" s="4">
        <v>7</v>
      </c>
      <c r="I612" s="5">
        <v>13683.23</v>
      </c>
      <c r="J612" s="6">
        <v>0.05</v>
      </c>
      <c r="K612" s="5">
        <v>90993.48</v>
      </c>
      <c r="L612" s="5">
        <v>57163.17</v>
      </c>
      <c r="M612" s="5">
        <v>33830.31</v>
      </c>
      <c r="N612" s="2" t="s">
        <v>59</v>
      </c>
    </row>
    <row r="613" spans="1:14" ht="12" customHeight="1">
      <c r="A613" s="2" t="s">
        <v>706</v>
      </c>
      <c r="B613" s="3">
        <v>45870</v>
      </c>
      <c r="C613" s="2" t="s">
        <v>28</v>
      </c>
      <c r="D613" s="2" t="s">
        <v>56</v>
      </c>
      <c r="E613" s="2" t="s">
        <v>30</v>
      </c>
      <c r="F613" s="2" t="s">
        <v>40</v>
      </c>
      <c r="G613" s="2" t="s">
        <v>70</v>
      </c>
      <c r="H613" s="4">
        <v>2</v>
      </c>
      <c r="I613" s="5">
        <v>23385.53</v>
      </c>
      <c r="J613" s="6">
        <v>0.05</v>
      </c>
      <c r="K613" s="5">
        <v>44432.51</v>
      </c>
      <c r="L613" s="5">
        <v>32292.26</v>
      </c>
      <c r="M613" s="5">
        <v>12140.25</v>
      </c>
      <c r="N613" s="2" t="s">
        <v>59</v>
      </c>
    </row>
    <row r="614" spans="1:14" ht="12" customHeight="1">
      <c r="A614" s="2" t="s">
        <v>707</v>
      </c>
      <c r="B614" s="3">
        <v>45764</v>
      </c>
      <c r="C614" s="2" t="s">
        <v>22</v>
      </c>
      <c r="D614" s="2" t="s">
        <v>37</v>
      </c>
      <c r="E614" s="2" t="s">
        <v>49</v>
      </c>
      <c r="F614" s="2" t="s">
        <v>107</v>
      </c>
      <c r="G614" s="2" t="s">
        <v>58</v>
      </c>
      <c r="H614" s="4">
        <v>3</v>
      </c>
      <c r="I614" s="5">
        <v>5479.15</v>
      </c>
      <c r="J614" s="6">
        <v>0.1</v>
      </c>
      <c r="K614" s="5">
        <v>14793.7</v>
      </c>
      <c r="L614" s="5">
        <v>7905.81</v>
      </c>
      <c r="M614" s="5">
        <v>6887.89</v>
      </c>
      <c r="N614" s="2" t="s">
        <v>20</v>
      </c>
    </row>
    <row r="615" spans="1:14" ht="12" customHeight="1">
      <c r="A615" s="2" t="s">
        <v>708</v>
      </c>
      <c r="B615" s="3">
        <v>45870</v>
      </c>
      <c r="C615" s="2" t="s">
        <v>15</v>
      </c>
      <c r="D615" s="2" t="s">
        <v>63</v>
      </c>
      <c r="E615" s="2" t="s">
        <v>17</v>
      </c>
      <c r="F615" s="2" t="s">
        <v>114</v>
      </c>
      <c r="G615" s="2" t="s">
        <v>61</v>
      </c>
      <c r="H615" s="4">
        <v>2</v>
      </c>
      <c r="I615" s="5">
        <v>47895.07</v>
      </c>
      <c r="J615" s="6">
        <v>0.15</v>
      </c>
      <c r="K615" s="5">
        <v>81421.62</v>
      </c>
      <c r="L615" s="5">
        <v>75482.64</v>
      </c>
      <c r="M615" s="5">
        <v>5938.98</v>
      </c>
      <c r="N615" s="2" t="s">
        <v>20</v>
      </c>
    </row>
    <row r="616" spans="1:14" ht="12" customHeight="1">
      <c r="A616" s="2" t="s">
        <v>709</v>
      </c>
      <c r="B616" s="3">
        <v>45679</v>
      </c>
      <c r="C616" s="2" t="s">
        <v>15</v>
      </c>
      <c r="D616" s="2" t="s">
        <v>43</v>
      </c>
      <c r="E616" s="2" t="s">
        <v>44</v>
      </c>
      <c r="F616" s="2" t="s">
        <v>45</v>
      </c>
      <c r="G616" s="2" t="s">
        <v>58</v>
      </c>
      <c r="H616" s="4">
        <v>3</v>
      </c>
      <c r="I616" s="5">
        <v>30015.21</v>
      </c>
      <c r="J616" s="6">
        <v>0.05</v>
      </c>
      <c r="K616" s="5">
        <v>85543.35</v>
      </c>
      <c r="L616" s="5">
        <v>57499.93</v>
      </c>
      <c r="M616" s="5">
        <v>28043.42</v>
      </c>
      <c r="N616" s="2" t="s">
        <v>59</v>
      </c>
    </row>
    <row r="617" spans="1:14" ht="12" customHeight="1">
      <c r="A617" s="2" t="s">
        <v>710</v>
      </c>
      <c r="B617" s="3">
        <v>45985</v>
      </c>
      <c r="C617" s="2" t="s">
        <v>28</v>
      </c>
      <c r="D617" s="2" t="s">
        <v>29</v>
      </c>
      <c r="E617" s="2" t="s">
        <v>49</v>
      </c>
      <c r="F617" s="2" t="s">
        <v>50</v>
      </c>
      <c r="G617" s="2" t="s">
        <v>70</v>
      </c>
      <c r="H617" s="4">
        <v>1</v>
      </c>
      <c r="I617" s="5">
        <v>4395.7</v>
      </c>
      <c r="J617" s="6">
        <v>0</v>
      </c>
      <c r="K617" s="5">
        <v>4395.7</v>
      </c>
      <c r="L617" s="5">
        <v>2075.61</v>
      </c>
      <c r="M617" s="5">
        <v>2320.09</v>
      </c>
      <c r="N617" s="2" t="s">
        <v>33</v>
      </c>
    </row>
    <row r="618" spans="1:14" ht="12" customHeight="1">
      <c r="A618" s="2" t="s">
        <v>711</v>
      </c>
      <c r="B618" s="3">
        <v>45672</v>
      </c>
      <c r="C618" s="2" t="s">
        <v>15</v>
      </c>
      <c r="D618" s="2" t="s">
        <v>43</v>
      </c>
      <c r="E618" s="2" t="s">
        <v>30</v>
      </c>
      <c r="F618" s="2" t="s">
        <v>40</v>
      </c>
      <c r="G618" s="2" t="s">
        <v>19</v>
      </c>
      <c r="H618" s="4">
        <v>3</v>
      </c>
      <c r="I618" s="5">
        <v>24468.2</v>
      </c>
      <c r="J618" s="6">
        <v>0.15</v>
      </c>
      <c r="K618" s="5">
        <v>62393.91</v>
      </c>
      <c r="L618" s="5">
        <v>48117.4</v>
      </c>
      <c r="M618" s="5">
        <v>14276.51</v>
      </c>
      <c r="N618" s="2" t="s">
        <v>59</v>
      </c>
    </row>
    <row r="619" spans="1:14" ht="12" customHeight="1">
      <c r="A619" s="2" t="s">
        <v>712</v>
      </c>
      <c r="B619" s="3">
        <v>46013</v>
      </c>
      <c r="C619" s="2" t="s">
        <v>28</v>
      </c>
      <c r="D619" s="2" t="s">
        <v>52</v>
      </c>
      <c r="E619" s="2" t="s">
        <v>30</v>
      </c>
      <c r="F619" s="2" t="s">
        <v>40</v>
      </c>
      <c r="G619" s="2" t="s">
        <v>19</v>
      </c>
      <c r="H619" s="4">
        <v>7</v>
      </c>
      <c r="I619" s="5">
        <v>25943.919999999998</v>
      </c>
      <c r="J619" s="6">
        <v>0.15</v>
      </c>
      <c r="K619" s="5">
        <v>154366.32</v>
      </c>
      <c r="L619" s="5">
        <v>112592.34</v>
      </c>
      <c r="M619" s="5">
        <v>41773.980000000003</v>
      </c>
      <c r="N619" s="2" t="s">
        <v>59</v>
      </c>
    </row>
    <row r="620" spans="1:14" ht="12" customHeight="1">
      <c r="A620" s="2" t="s">
        <v>713</v>
      </c>
      <c r="B620" s="3">
        <v>46012</v>
      </c>
      <c r="C620" s="2" t="s">
        <v>15</v>
      </c>
      <c r="D620" s="2" t="s">
        <v>43</v>
      </c>
      <c r="E620" s="2" t="s">
        <v>17</v>
      </c>
      <c r="F620" s="2" t="s">
        <v>18</v>
      </c>
      <c r="G620" s="2" t="s">
        <v>61</v>
      </c>
      <c r="H620" s="4">
        <v>3</v>
      </c>
      <c r="I620" s="5">
        <v>14689.44</v>
      </c>
      <c r="J620" s="6">
        <v>0</v>
      </c>
      <c r="K620" s="5">
        <v>44068.32</v>
      </c>
      <c r="L620" s="5">
        <v>24412.49</v>
      </c>
      <c r="M620" s="5">
        <v>19655.830000000002</v>
      </c>
      <c r="N620" s="2" t="s">
        <v>59</v>
      </c>
    </row>
    <row r="621" spans="1:14" ht="12" customHeight="1">
      <c r="A621" s="2" t="s">
        <v>714</v>
      </c>
      <c r="B621" s="3">
        <v>45807</v>
      </c>
      <c r="C621" s="2" t="s">
        <v>22</v>
      </c>
      <c r="D621" s="2" t="s">
        <v>23</v>
      </c>
      <c r="E621" s="2" t="s">
        <v>30</v>
      </c>
      <c r="F621" s="2" t="s">
        <v>38</v>
      </c>
      <c r="G621" s="2" t="s">
        <v>19</v>
      </c>
      <c r="H621" s="4">
        <v>7</v>
      </c>
      <c r="I621" s="5">
        <v>27588.59</v>
      </c>
      <c r="J621" s="6">
        <v>0.05</v>
      </c>
      <c r="K621" s="5">
        <v>183464.12</v>
      </c>
      <c r="L621" s="5">
        <v>122649.67</v>
      </c>
      <c r="M621" s="5">
        <v>60814.45</v>
      </c>
      <c r="N621" s="2" t="s">
        <v>26</v>
      </c>
    </row>
    <row r="622" spans="1:14" ht="12" customHeight="1">
      <c r="A622" s="2" t="s">
        <v>715</v>
      </c>
      <c r="B622" s="3">
        <v>45796</v>
      </c>
      <c r="C622" s="2" t="s">
        <v>15</v>
      </c>
      <c r="D622" s="2" t="s">
        <v>16</v>
      </c>
      <c r="E622" s="2" t="s">
        <v>17</v>
      </c>
      <c r="F622" s="2" t="s">
        <v>24</v>
      </c>
      <c r="G622" s="2" t="s">
        <v>32</v>
      </c>
      <c r="H622" s="4">
        <v>6</v>
      </c>
      <c r="I622" s="5">
        <v>97482.36</v>
      </c>
      <c r="J622" s="6">
        <v>0.15</v>
      </c>
      <c r="K622" s="5">
        <v>497160.04</v>
      </c>
      <c r="L622" s="5">
        <v>418604.49</v>
      </c>
      <c r="M622" s="5">
        <v>78555.55</v>
      </c>
      <c r="N622" s="2" t="s">
        <v>33</v>
      </c>
    </row>
    <row r="623" spans="1:14" ht="12" customHeight="1">
      <c r="A623" s="2" t="s">
        <v>716</v>
      </c>
      <c r="B623" s="3">
        <v>45906</v>
      </c>
      <c r="C623" s="2" t="s">
        <v>15</v>
      </c>
      <c r="D623" s="2" t="s">
        <v>43</v>
      </c>
      <c r="E623" s="2" t="s">
        <v>30</v>
      </c>
      <c r="F623" s="2" t="s">
        <v>86</v>
      </c>
      <c r="G623" s="2" t="s">
        <v>25</v>
      </c>
      <c r="H623" s="4">
        <v>1</v>
      </c>
      <c r="I623" s="5">
        <v>31083.09</v>
      </c>
      <c r="J623" s="6">
        <v>0.05</v>
      </c>
      <c r="K623" s="5">
        <v>29528.94</v>
      </c>
      <c r="L623" s="5">
        <v>22412.5</v>
      </c>
      <c r="M623" s="5">
        <v>7116.44</v>
      </c>
      <c r="N623" s="2" t="s">
        <v>59</v>
      </c>
    </row>
    <row r="624" spans="1:14" ht="12" customHeight="1">
      <c r="A624" s="2" t="s">
        <v>717</v>
      </c>
      <c r="B624" s="3">
        <v>45927</v>
      </c>
      <c r="C624" s="2" t="s">
        <v>22</v>
      </c>
      <c r="D624" s="2" t="s">
        <v>23</v>
      </c>
      <c r="E624" s="2" t="s">
        <v>44</v>
      </c>
      <c r="F624" s="2" t="s">
        <v>45</v>
      </c>
      <c r="G624" s="2" t="s">
        <v>19</v>
      </c>
      <c r="H624" s="4">
        <v>4</v>
      </c>
      <c r="I624" s="5">
        <v>30011.98</v>
      </c>
      <c r="J624" s="6">
        <v>0.1</v>
      </c>
      <c r="K624" s="5">
        <v>108043.13</v>
      </c>
      <c r="L624" s="5">
        <v>76983.44</v>
      </c>
      <c r="M624" s="5">
        <v>31059.69</v>
      </c>
      <c r="N624" s="2" t="s">
        <v>20</v>
      </c>
    </row>
    <row r="625" spans="1:14" ht="12" customHeight="1">
      <c r="A625" s="2" t="s">
        <v>718</v>
      </c>
      <c r="B625" s="3">
        <v>45729</v>
      </c>
      <c r="C625" s="2" t="s">
        <v>28</v>
      </c>
      <c r="D625" s="2" t="s">
        <v>52</v>
      </c>
      <c r="E625" s="2" t="s">
        <v>17</v>
      </c>
      <c r="F625" s="2" t="s">
        <v>24</v>
      </c>
      <c r="G625" s="2" t="s">
        <v>70</v>
      </c>
      <c r="H625" s="4">
        <v>1</v>
      </c>
      <c r="I625" s="5">
        <v>91698.51</v>
      </c>
      <c r="J625" s="6">
        <v>0.05</v>
      </c>
      <c r="K625" s="5">
        <v>87113.58</v>
      </c>
      <c r="L625" s="5">
        <v>69249.399999999994</v>
      </c>
      <c r="M625" s="5">
        <v>17864.18</v>
      </c>
      <c r="N625" s="2" t="s">
        <v>59</v>
      </c>
    </row>
    <row r="626" spans="1:14" ht="12" customHeight="1">
      <c r="A626" s="2" t="s">
        <v>719</v>
      </c>
      <c r="B626" s="3">
        <v>45774</v>
      </c>
      <c r="C626" s="2" t="s">
        <v>22</v>
      </c>
      <c r="D626" s="2" t="s">
        <v>37</v>
      </c>
      <c r="E626" s="2" t="s">
        <v>30</v>
      </c>
      <c r="F626" s="2" t="s">
        <v>31</v>
      </c>
      <c r="G626" s="2" t="s">
        <v>58</v>
      </c>
      <c r="H626" s="4">
        <v>2</v>
      </c>
      <c r="I626" s="5">
        <v>129002.93</v>
      </c>
      <c r="J626" s="6">
        <v>0.15</v>
      </c>
      <c r="K626" s="5">
        <v>219304.98</v>
      </c>
      <c r="L626" s="5">
        <v>197952.96</v>
      </c>
      <c r="M626" s="5">
        <v>21352.02</v>
      </c>
      <c r="N626" s="2" t="s">
        <v>26</v>
      </c>
    </row>
    <row r="627" spans="1:14" ht="12" customHeight="1">
      <c r="A627" s="2" t="s">
        <v>720</v>
      </c>
      <c r="B627" s="3">
        <v>45679</v>
      </c>
      <c r="C627" s="2" t="s">
        <v>22</v>
      </c>
      <c r="D627" s="2" t="s">
        <v>23</v>
      </c>
      <c r="E627" s="2" t="s">
        <v>17</v>
      </c>
      <c r="F627" s="2" t="s">
        <v>114</v>
      </c>
      <c r="G627" s="2" t="s">
        <v>47</v>
      </c>
      <c r="H627" s="4">
        <v>2</v>
      </c>
      <c r="I627" s="5">
        <v>48486.76</v>
      </c>
      <c r="J627" s="6">
        <v>0.05</v>
      </c>
      <c r="K627" s="5">
        <v>92124.84</v>
      </c>
      <c r="L627" s="5">
        <v>74679.98</v>
      </c>
      <c r="M627" s="5">
        <v>17444.86</v>
      </c>
      <c r="N627" s="2" t="s">
        <v>33</v>
      </c>
    </row>
    <row r="628" spans="1:14" ht="12" customHeight="1">
      <c r="A628" s="2" t="s">
        <v>721</v>
      </c>
      <c r="B628" s="3">
        <v>45999</v>
      </c>
      <c r="C628" s="2" t="s">
        <v>22</v>
      </c>
      <c r="D628" s="2" t="s">
        <v>37</v>
      </c>
      <c r="E628" s="2" t="s">
        <v>17</v>
      </c>
      <c r="F628" s="2" t="s">
        <v>114</v>
      </c>
      <c r="G628" s="2" t="s">
        <v>64</v>
      </c>
      <c r="H628" s="4">
        <v>2</v>
      </c>
      <c r="I628" s="5">
        <v>55398.96</v>
      </c>
      <c r="J628" s="6">
        <v>0</v>
      </c>
      <c r="K628" s="5">
        <v>110797.92</v>
      </c>
      <c r="L628" s="5">
        <v>71148.52</v>
      </c>
      <c r="M628" s="5">
        <v>39649.4</v>
      </c>
      <c r="N628" s="2" t="s">
        <v>33</v>
      </c>
    </row>
    <row r="629" spans="1:14" ht="12" customHeight="1">
      <c r="A629" s="2" t="s">
        <v>722</v>
      </c>
      <c r="B629" s="3">
        <v>45800</v>
      </c>
      <c r="C629" s="2" t="s">
        <v>22</v>
      </c>
      <c r="D629" s="2" t="s">
        <v>37</v>
      </c>
      <c r="E629" s="2" t="s">
        <v>44</v>
      </c>
      <c r="F629" s="2" t="s">
        <v>45</v>
      </c>
      <c r="G629" s="2" t="s">
        <v>32</v>
      </c>
      <c r="H629" s="4">
        <v>3</v>
      </c>
      <c r="I629" s="5">
        <v>29277.94</v>
      </c>
      <c r="J629" s="6">
        <v>0</v>
      </c>
      <c r="K629" s="5">
        <v>87833.82</v>
      </c>
      <c r="L629" s="5">
        <v>55652.21</v>
      </c>
      <c r="M629" s="5">
        <v>32181.61</v>
      </c>
      <c r="N629" s="2" t="s">
        <v>59</v>
      </c>
    </row>
    <row r="630" spans="1:14" ht="12" customHeight="1">
      <c r="A630" s="2" t="s">
        <v>723</v>
      </c>
      <c r="B630" s="3">
        <v>45756</v>
      </c>
      <c r="C630" s="2" t="s">
        <v>22</v>
      </c>
      <c r="D630" s="2" t="s">
        <v>37</v>
      </c>
      <c r="E630" s="2" t="s">
        <v>44</v>
      </c>
      <c r="F630" s="2" t="s">
        <v>80</v>
      </c>
      <c r="G630" s="2" t="s">
        <v>58</v>
      </c>
      <c r="H630" s="4">
        <v>2</v>
      </c>
      <c r="I630" s="5">
        <v>45198.76</v>
      </c>
      <c r="J630" s="6">
        <v>0</v>
      </c>
      <c r="K630" s="5">
        <v>90397.52</v>
      </c>
      <c r="L630" s="5">
        <v>62435.16</v>
      </c>
      <c r="M630" s="5">
        <v>27962.36</v>
      </c>
      <c r="N630" s="2" t="s">
        <v>26</v>
      </c>
    </row>
    <row r="631" spans="1:14" ht="12" customHeight="1">
      <c r="A631" s="2" t="s">
        <v>724</v>
      </c>
      <c r="B631" s="3">
        <v>46002</v>
      </c>
      <c r="C631" s="2" t="s">
        <v>15</v>
      </c>
      <c r="D631" s="2" t="s">
        <v>16</v>
      </c>
      <c r="E631" s="2" t="s">
        <v>17</v>
      </c>
      <c r="F631" s="2" t="s">
        <v>24</v>
      </c>
      <c r="G631" s="2" t="s">
        <v>19</v>
      </c>
      <c r="H631" s="4"/>
      <c r="I631" s="5">
        <v>90034.34</v>
      </c>
      <c r="J631" s="6">
        <v>0.1</v>
      </c>
      <c r="K631" s="5">
        <v>648247.25</v>
      </c>
      <c r="L631" s="5">
        <v>534729.59</v>
      </c>
      <c r="M631" s="5">
        <v>113517.66</v>
      </c>
      <c r="N631" s="2" t="s">
        <v>26</v>
      </c>
    </row>
    <row r="632" spans="1:14" ht="12" customHeight="1">
      <c r="A632" s="2" t="s">
        <v>725</v>
      </c>
      <c r="B632" s="3">
        <v>45714</v>
      </c>
      <c r="C632" s="2" t="s">
        <v>28</v>
      </c>
      <c r="D632" s="2" t="s">
        <v>56</v>
      </c>
      <c r="E632" s="2" t="s">
        <v>49</v>
      </c>
      <c r="F632" s="2" t="s">
        <v>50</v>
      </c>
      <c r="G632" s="2" t="s">
        <v>61</v>
      </c>
      <c r="H632" s="4">
        <v>4</v>
      </c>
      <c r="I632" s="5">
        <v>4137.8900000000003</v>
      </c>
      <c r="J632" s="6">
        <v>0.05</v>
      </c>
      <c r="K632" s="5">
        <v>15723.98</v>
      </c>
      <c r="L632" s="5">
        <v>8220.69</v>
      </c>
      <c r="M632" s="5">
        <v>7503.29</v>
      </c>
      <c r="N632" s="2" t="s">
        <v>20</v>
      </c>
    </row>
    <row r="633" spans="1:14" ht="12" customHeight="1">
      <c r="A633" s="2" t="s">
        <v>726</v>
      </c>
      <c r="B633" s="3">
        <v>45891</v>
      </c>
      <c r="C633" s="2" t="s">
        <v>28</v>
      </c>
      <c r="D633" s="2" t="s">
        <v>29</v>
      </c>
      <c r="E633" s="2" t="s">
        <v>30</v>
      </c>
      <c r="F633" s="2" t="s">
        <v>31</v>
      </c>
      <c r="G633" s="2" t="s">
        <v>58</v>
      </c>
      <c r="H633" s="4">
        <v>2</v>
      </c>
      <c r="I633" s="5">
        <v>131287.29</v>
      </c>
      <c r="J633" s="6">
        <v>0</v>
      </c>
      <c r="K633" s="5">
        <v>262574.58</v>
      </c>
      <c r="L633" s="5">
        <v>201380.8</v>
      </c>
      <c r="M633" s="5">
        <v>61193.78</v>
      </c>
      <c r="N633" s="2" t="s">
        <v>20</v>
      </c>
    </row>
    <row r="634" spans="1:14" ht="12" customHeight="1">
      <c r="A634" s="2" t="s">
        <v>727</v>
      </c>
      <c r="B634" s="3">
        <v>45901</v>
      </c>
      <c r="C634" s="2" t="s">
        <v>22</v>
      </c>
      <c r="D634" s="2" t="s">
        <v>37</v>
      </c>
      <c r="E634" s="2" t="s">
        <v>49</v>
      </c>
      <c r="F634" s="2" t="s">
        <v>57</v>
      </c>
      <c r="G634" s="2" t="s">
        <v>32</v>
      </c>
      <c r="H634" s="4">
        <v>7</v>
      </c>
      <c r="I634" s="5">
        <v>10927.36</v>
      </c>
      <c r="J634" s="6">
        <v>0</v>
      </c>
      <c r="K634" s="5">
        <v>76491.520000000004</v>
      </c>
      <c r="L634" s="5">
        <v>46984.79</v>
      </c>
      <c r="M634" s="5">
        <v>29506.73</v>
      </c>
      <c r="N634" s="2" t="s">
        <v>26</v>
      </c>
    </row>
    <row r="635" spans="1:14" ht="12" customHeight="1">
      <c r="A635" s="2" t="s">
        <v>728</v>
      </c>
      <c r="B635" s="3">
        <v>45719</v>
      </c>
      <c r="C635" s="2" t="s">
        <v>22</v>
      </c>
      <c r="D635" s="2" t="s">
        <v>37</v>
      </c>
      <c r="E635" s="2" t="s">
        <v>49</v>
      </c>
      <c r="F635" s="2" t="s">
        <v>91</v>
      </c>
      <c r="G635" s="2" t="s">
        <v>61</v>
      </c>
      <c r="H635" s="4">
        <v>7</v>
      </c>
      <c r="I635" s="5">
        <v>6435.58</v>
      </c>
      <c r="J635" s="6">
        <v>0.15</v>
      </c>
      <c r="K635" s="5">
        <v>38291.699999999997</v>
      </c>
      <c r="L635" s="5">
        <v>25637.38</v>
      </c>
      <c r="M635" s="5">
        <v>12654.32</v>
      </c>
      <c r="N635" s="2" t="s">
        <v>20</v>
      </c>
    </row>
    <row r="636" spans="1:14" ht="12" customHeight="1">
      <c r="A636" s="2" t="s">
        <v>729</v>
      </c>
      <c r="B636" s="3">
        <v>45962</v>
      </c>
      <c r="C636" s="2" t="s">
        <v>28</v>
      </c>
      <c r="D636" s="2" t="s">
        <v>29</v>
      </c>
      <c r="E636" s="2" t="s">
        <v>17</v>
      </c>
      <c r="F636" s="2" t="s">
        <v>24</v>
      </c>
      <c r="G636" s="2" t="s">
        <v>25</v>
      </c>
      <c r="H636" s="4">
        <v>2</v>
      </c>
      <c r="I636" s="5">
        <v>89993.81</v>
      </c>
      <c r="J636" s="6">
        <v>0</v>
      </c>
      <c r="K636" s="5">
        <v>179987.62</v>
      </c>
      <c r="L636" s="5">
        <v>135143.76999999999</v>
      </c>
      <c r="M636" s="5">
        <v>44843.85</v>
      </c>
      <c r="N636" s="2" t="s">
        <v>33</v>
      </c>
    </row>
    <row r="637" spans="1:14" ht="12" customHeight="1">
      <c r="A637" s="2" t="s">
        <v>730</v>
      </c>
      <c r="B637" s="3">
        <v>45840</v>
      </c>
      <c r="C637" s="2" t="s">
        <v>22</v>
      </c>
      <c r="D637" s="2"/>
      <c r="E637" s="2" t="s">
        <v>49</v>
      </c>
      <c r="F637" s="2" t="s">
        <v>57</v>
      </c>
      <c r="G637" s="2" t="s">
        <v>70</v>
      </c>
      <c r="H637" s="4">
        <v>5</v>
      </c>
      <c r="I637" s="5">
        <v>11971.6</v>
      </c>
      <c r="J637" s="6">
        <v>0.15</v>
      </c>
      <c r="K637" s="5">
        <v>50879.3</v>
      </c>
      <c r="L637" s="5">
        <v>33670.839999999997</v>
      </c>
      <c r="M637" s="5">
        <v>17208.46</v>
      </c>
      <c r="N637" s="2" t="s">
        <v>20</v>
      </c>
    </row>
    <row r="638" spans="1:14" ht="12" customHeight="1">
      <c r="A638" s="2" t="s">
        <v>731</v>
      </c>
      <c r="B638" s="3">
        <v>45776</v>
      </c>
      <c r="C638" s="2" t="s">
        <v>28</v>
      </c>
      <c r="D638" s="2" t="s">
        <v>29</v>
      </c>
      <c r="E638" s="2" t="s">
        <v>30</v>
      </c>
      <c r="F638" s="2" t="s">
        <v>86</v>
      </c>
      <c r="G638" s="2" t="s">
        <v>61</v>
      </c>
      <c r="H638" s="4">
        <v>8</v>
      </c>
      <c r="I638" s="5">
        <v>30930.43</v>
      </c>
      <c r="J638" s="6">
        <v>0.05</v>
      </c>
      <c r="K638" s="5">
        <v>235071.27</v>
      </c>
      <c r="L638" s="5">
        <v>180765.7</v>
      </c>
      <c r="M638" s="5">
        <v>54305.57</v>
      </c>
      <c r="N638" s="2" t="s">
        <v>33</v>
      </c>
    </row>
    <row r="639" spans="1:14" ht="12" customHeight="1">
      <c r="A639" s="2" t="s">
        <v>732</v>
      </c>
      <c r="B639" s="3">
        <v>46005</v>
      </c>
      <c r="C639" s="2" t="s">
        <v>22</v>
      </c>
      <c r="D639" s="2" t="s">
        <v>37</v>
      </c>
      <c r="E639" s="2" t="s">
        <v>17</v>
      </c>
      <c r="F639" s="2" t="s">
        <v>75</v>
      </c>
      <c r="G639" s="2" t="s">
        <v>32</v>
      </c>
      <c r="H639" s="4">
        <v>8</v>
      </c>
      <c r="I639" s="5">
        <v>190271.98</v>
      </c>
      <c r="J639" s="6">
        <v>0</v>
      </c>
      <c r="K639" s="5">
        <v>1522175.84</v>
      </c>
      <c r="L639" s="5">
        <v>1132346.97</v>
      </c>
      <c r="M639" s="5">
        <v>389828.87</v>
      </c>
      <c r="N639" s="2" t="s">
        <v>26</v>
      </c>
    </row>
    <row r="640" spans="1:14" ht="12" customHeight="1">
      <c r="A640" s="2" t="s">
        <v>733</v>
      </c>
      <c r="B640" s="3">
        <v>45912</v>
      </c>
      <c r="C640" s="2" t="s">
        <v>28</v>
      </c>
      <c r="D640" s="2" t="s">
        <v>29</v>
      </c>
      <c r="E640" s="2" t="s">
        <v>17</v>
      </c>
      <c r="F640" s="2" t="s">
        <v>75</v>
      </c>
      <c r="G640" s="2" t="s">
        <v>70</v>
      </c>
      <c r="H640" s="4">
        <v>8</v>
      </c>
      <c r="I640" s="5">
        <v>193664.85</v>
      </c>
      <c r="J640" s="6">
        <v>0</v>
      </c>
      <c r="K640" s="5">
        <v>1549318.8</v>
      </c>
      <c r="L640" s="5">
        <v>1125264.1200000001</v>
      </c>
      <c r="M640" s="5">
        <v>424054.68</v>
      </c>
      <c r="N640" s="2" t="s">
        <v>59</v>
      </c>
    </row>
    <row r="641" spans="1:14" ht="12" customHeight="1">
      <c r="A641" s="2" t="s">
        <v>734</v>
      </c>
      <c r="B641" s="3">
        <v>45819</v>
      </c>
      <c r="C641" s="2" t="s">
        <v>15</v>
      </c>
      <c r="D641" s="2" t="s">
        <v>63</v>
      </c>
      <c r="E641" s="2" t="s">
        <v>17</v>
      </c>
      <c r="F641" s="2" t="s">
        <v>75</v>
      </c>
      <c r="G641" s="2" t="s">
        <v>25</v>
      </c>
      <c r="H641" s="4">
        <v>7</v>
      </c>
      <c r="I641" s="5">
        <v>196251.72</v>
      </c>
      <c r="J641" s="6">
        <v>0</v>
      </c>
      <c r="K641" s="5">
        <v>1373762.04</v>
      </c>
      <c r="L641" s="5">
        <v>990872.97</v>
      </c>
      <c r="M641" s="5">
        <v>382889.07</v>
      </c>
      <c r="N641" s="2" t="s">
        <v>20</v>
      </c>
    </row>
    <row r="642" spans="1:14" ht="12" customHeight="1">
      <c r="A642" s="2" t="s">
        <v>735</v>
      </c>
      <c r="B642" s="3">
        <v>45726</v>
      </c>
      <c r="C642" s="2" t="s">
        <v>28</v>
      </c>
      <c r="D642" s="2" t="s">
        <v>52</v>
      </c>
      <c r="E642" s="2" t="s">
        <v>17</v>
      </c>
      <c r="F642" s="2" t="s">
        <v>24</v>
      </c>
      <c r="G642" s="2" t="s">
        <v>58</v>
      </c>
      <c r="H642" s="4">
        <v>5</v>
      </c>
      <c r="I642" s="5">
        <v>97662.79</v>
      </c>
      <c r="J642" s="6">
        <v>0</v>
      </c>
      <c r="K642" s="5">
        <v>488313.95</v>
      </c>
      <c r="L642" s="5">
        <v>341497.21</v>
      </c>
      <c r="M642" s="5">
        <v>146816.74</v>
      </c>
      <c r="N642" s="2" t="s">
        <v>20</v>
      </c>
    </row>
    <row r="643" spans="1:14" ht="12" customHeight="1">
      <c r="A643" s="2" t="s">
        <v>736</v>
      </c>
      <c r="B643" s="3">
        <v>45858</v>
      </c>
      <c r="C643" s="2" t="s">
        <v>28</v>
      </c>
      <c r="D643" s="2" t="s">
        <v>52</v>
      </c>
      <c r="E643" s="2" t="s">
        <v>49</v>
      </c>
      <c r="F643" s="2" t="s">
        <v>107</v>
      </c>
      <c r="G643" s="2" t="s">
        <v>58</v>
      </c>
      <c r="H643" s="4">
        <v>8</v>
      </c>
      <c r="I643" s="5">
        <v>5251.8</v>
      </c>
      <c r="J643" s="6">
        <v>0</v>
      </c>
      <c r="K643" s="5">
        <v>42014.400000000001</v>
      </c>
      <c r="L643" s="5">
        <v>21718.11</v>
      </c>
      <c r="M643" s="5">
        <v>20296.29</v>
      </c>
      <c r="N643" s="2" t="s">
        <v>20</v>
      </c>
    </row>
    <row r="644" spans="1:14" ht="12" customHeight="1">
      <c r="A644" s="2" t="s">
        <v>737</v>
      </c>
      <c r="B644" s="3">
        <v>45845</v>
      </c>
      <c r="C644" s="2" t="s">
        <v>15</v>
      </c>
      <c r="D644" s="2" t="s">
        <v>63</v>
      </c>
      <c r="E644" s="2" t="s">
        <v>30</v>
      </c>
      <c r="F644" s="2" t="s">
        <v>38</v>
      </c>
      <c r="G644" s="2" t="s">
        <v>32</v>
      </c>
      <c r="H644" s="4">
        <v>6</v>
      </c>
      <c r="I644" s="5">
        <v>25105.35</v>
      </c>
      <c r="J644" s="6">
        <v>0.1</v>
      </c>
      <c r="K644" s="5">
        <v>135568.89000000001</v>
      </c>
      <c r="L644" s="5">
        <v>105101.1</v>
      </c>
      <c r="M644" s="5">
        <v>30467.79</v>
      </c>
      <c r="N644" s="2" t="s">
        <v>33</v>
      </c>
    </row>
    <row r="645" spans="1:14" ht="12" customHeight="1">
      <c r="A645" s="2" t="s">
        <v>738</v>
      </c>
      <c r="B645" s="3">
        <v>45686</v>
      </c>
      <c r="C645" s="2" t="s">
        <v>15</v>
      </c>
      <c r="D645" s="2" t="s">
        <v>63</v>
      </c>
      <c r="E645" s="2" t="s">
        <v>49</v>
      </c>
      <c r="F645" s="2" t="s">
        <v>91</v>
      </c>
      <c r="G645" s="2" t="s">
        <v>47</v>
      </c>
      <c r="H645" s="4">
        <v>7</v>
      </c>
      <c r="I645" s="5">
        <v>6338.95</v>
      </c>
      <c r="J645" s="6">
        <v>0.05</v>
      </c>
      <c r="K645" s="5">
        <v>42154.02</v>
      </c>
      <c r="L645" s="5">
        <v>25170.639999999999</v>
      </c>
      <c r="M645" s="5">
        <v>16983.38</v>
      </c>
      <c r="N645" s="2" t="s">
        <v>155</v>
      </c>
    </row>
    <row r="646" spans="1:14" ht="12" customHeight="1">
      <c r="A646" s="2" t="s">
        <v>739</v>
      </c>
      <c r="B646" s="3">
        <v>45668</v>
      </c>
      <c r="C646" s="2" t="s">
        <v>22</v>
      </c>
      <c r="D646" s="2" t="s">
        <v>37</v>
      </c>
      <c r="E646" s="2" t="s">
        <v>30</v>
      </c>
      <c r="F646" s="2" t="s">
        <v>31</v>
      </c>
      <c r="G646" s="2" t="s">
        <v>32</v>
      </c>
      <c r="H646" s="4">
        <v>2</v>
      </c>
      <c r="I646" s="5">
        <v>142969.1</v>
      </c>
      <c r="J646" s="6">
        <v>0</v>
      </c>
      <c r="K646" s="5">
        <v>285938.2</v>
      </c>
      <c r="L646" s="5">
        <v>200713.58</v>
      </c>
      <c r="M646" s="5">
        <v>85224.62</v>
      </c>
      <c r="N646" s="2" t="s">
        <v>33</v>
      </c>
    </row>
    <row r="647" spans="1:14" ht="12" customHeight="1">
      <c r="A647" s="2" t="s">
        <v>740</v>
      </c>
      <c r="B647" s="3">
        <v>45820</v>
      </c>
      <c r="C647" s="2" t="s">
        <v>28</v>
      </c>
      <c r="D647" s="2" t="s">
        <v>29</v>
      </c>
      <c r="E647" s="2" t="s">
        <v>49</v>
      </c>
      <c r="F647" s="2" t="s">
        <v>107</v>
      </c>
      <c r="G647" s="2" t="s">
        <v>25</v>
      </c>
      <c r="H647" s="4">
        <v>5</v>
      </c>
      <c r="I647" s="5">
        <v>4800.97</v>
      </c>
      <c r="J647" s="6">
        <v>0.05</v>
      </c>
      <c r="K647" s="5">
        <v>22804.61</v>
      </c>
      <c r="L647" s="5">
        <v>13650.65</v>
      </c>
      <c r="M647" s="5">
        <v>9153.9599999999991</v>
      </c>
      <c r="N647" s="2" t="s">
        <v>20</v>
      </c>
    </row>
    <row r="648" spans="1:14" ht="12" customHeight="1">
      <c r="A648" s="2" t="s">
        <v>741</v>
      </c>
      <c r="B648" s="3">
        <v>45915</v>
      </c>
      <c r="C648" s="2" t="s">
        <v>28</v>
      </c>
      <c r="D648" s="2" t="s">
        <v>29</v>
      </c>
      <c r="E648" s="2" t="s">
        <v>17</v>
      </c>
      <c r="F648" s="2" t="s">
        <v>114</v>
      </c>
      <c r="G648" s="2" t="s">
        <v>32</v>
      </c>
      <c r="H648" s="4">
        <v>2</v>
      </c>
      <c r="I648" s="5">
        <v>53587.99</v>
      </c>
      <c r="J648" s="6">
        <v>0</v>
      </c>
      <c r="K648" s="5">
        <v>107175.98</v>
      </c>
      <c r="L648" s="5">
        <v>72526.789999999994</v>
      </c>
      <c r="M648" s="5">
        <v>34649.19</v>
      </c>
      <c r="N648" s="2" t="s">
        <v>26</v>
      </c>
    </row>
    <row r="649" spans="1:14" ht="12" customHeight="1">
      <c r="A649" s="2" t="s">
        <v>742</v>
      </c>
      <c r="B649" s="3">
        <v>45932</v>
      </c>
      <c r="C649" s="2" t="s">
        <v>15</v>
      </c>
      <c r="D649" s="2" t="s">
        <v>63</v>
      </c>
      <c r="E649" s="2" t="s">
        <v>30</v>
      </c>
      <c r="F649" s="2" t="s">
        <v>40</v>
      </c>
      <c r="G649" s="2" t="s">
        <v>47</v>
      </c>
      <c r="H649" s="4">
        <v>4</v>
      </c>
      <c r="I649" s="5">
        <v>24488.05</v>
      </c>
      <c r="J649" s="6">
        <v>0</v>
      </c>
      <c r="K649" s="5">
        <v>97952.2</v>
      </c>
      <c r="L649" s="5">
        <v>65021.84</v>
      </c>
      <c r="M649" s="5">
        <v>32930.36</v>
      </c>
      <c r="N649" s="2" t="s">
        <v>59</v>
      </c>
    </row>
    <row r="650" spans="1:14" ht="12" customHeight="1">
      <c r="A650" s="2" t="s">
        <v>743</v>
      </c>
      <c r="B650" s="3">
        <v>45954</v>
      </c>
      <c r="C650" s="2" t="s">
        <v>28</v>
      </c>
      <c r="D650" s="2" t="s">
        <v>52</v>
      </c>
      <c r="E650" s="2" t="s">
        <v>30</v>
      </c>
      <c r="F650" s="2" t="s">
        <v>40</v>
      </c>
      <c r="G650" s="2" t="s">
        <v>19</v>
      </c>
      <c r="H650" s="4">
        <v>4</v>
      </c>
      <c r="I650" s="5">
        <v>24988.32</v>
      </c>
      <c r="J650" s="6">
        <v>0</v>
      </c>
      <c r="K650" s="5">
        <v>99953.279999999999</v>
      </c>
      <c r="L650" s="5">
        <v>64479.14</v>
      </c>
      <c r="M650" s="5">
        <v>35474.14</v>
      </c>
      <c r="N650" s="2" t="s">
        <v>59</v>
      </c>
    </row>
    <row r="651" spans="1:14" ht="12" customHeight="1">
      <c r="A651" s="2" t="s">
        <v>744</v>
      </c>
      <c r="B651" s="3">
        <v>45812</v>
      </c>
      <c r="C651" s="2" t="s">
        <v>28</v>
      </c>
      <c r="D651" s="2" t="s">
        <v>52</v>
      </c>
      <c r="E651" s="2" t="s">
        <v>49</v>
      </c>
      <c r="F651" s="2" t="s">
        <v>107</v>
      </c>
      <c r="G651" s="2" t="s">
        <v>58</v>
      </c>
      <c r="H651" s="4">
        <v>4</v>
      </c>
      <c r="I651" s="5">
        <v>5072.97</v>
      </c>
      <c r="J651" s="6">
        <v>0</v>
      </c>
      <c r="K651" s="5">
        <v>20291.88</v>
      </c>
      <c r="L651" s="5">
        <v>10968.56</v>
      </c>
      <c r="M651" s="5">
        <v>9323.32</v>
      </c>
      <c r="N651" s="2" t="s">
        <v>20</v>
      </c>
    </row>
    <row r="652" spans="1:14" ht="12" customHeight="1">
      <c r="A652" s="2" t="s">
        <v>745</v>
      </c>
      <c r="B652" s="3">
        <v>46001</v>
      </c>
      <c r="C652" s="2" t="s">
        <v>15</v>
      </c>
      <c r="D652" s="2" t="s">
        <v>43</v>
      </c>
      <c r="E652" s="2" t="s">
        <v>30</v>
      </c>
      <c r="F652" s="2" t="s">
        <v>86</v>
      </c>
      <c r="G652" s="2" t="s">
        <v>61</v>
      </c>
      <c r="H652" s="4">
        <v>7</v>
      </c>
      <c r="I652" s="5">
        <v>32484.15</v>
      </c>
      <c r="J652" s="6">
        <v>0.1</v>
      </c>
      <c r="K652" s="5">
        <v>204650.15</v>
      </c>
      <c r="L652" s="5">
        <v>158456.95000000001</v>
      </c>
      <c r="M652" s="5">
        <v>46193.2</v>
      </c>
      <c r="N652" s="2" t="s">
        <v>33</v>
      </c>
    </row>
    <row r="653" spans="1:14" ht="12" customHeight="1">
      <c r="A653" s="2" t="s">
        <v>746</v>
      </c>
      <c r="B653" s="3">
        <v>45795</v>
      </c>
      <c r="C653" s="2" t="s">
        <v>15</v>
      </c>
      <c r="D653" s="2" t="s">
        <v>43</v>
      </c>
      <c r="E653" s="2" t="s">
        <v>44</v>
      </c>
      <c r="F653" s="2" t="s">
        <v>53</v>
      </c>
      <c r="G653" s="2" t="s">
        <v>25</v>
      </c>
      <c r="H653" s="4">
        <v>4</v>
      </c>
      <c r="I653" s="5">
        <v>8718.7000000000007</v>
      </c>
      <c r="J653" s="6">
        <v>0.15</v>
      </c>
      <c r="K653" s="5">
        <v>29643.58</v>
      </c>
      <c r="L653" s="5">
        <v>20299.080000000002</v>
      </c>
      <c r="M653" s="5">
        <v>9344.5</v>
      </c>
      <c r="N653" s="2" t="s">
        <v>33</v>
      </c>
    </row>
    <row r="654" spans="1:14" ht="12" customHeight="1">
      <c r="A654" s="2" t="s">
        <v>747</v>
      </c>
      <c r="B654" s="3">
        <v>45811</v>
      </c>
      <c r="C654" s="2" t="s">
        <v>15</v>
      </c>
      <c r="D654" s="2" t="s">
        <v>16</v>
      </c>
      <c r="E654" s="2" t="s">
        <v>30</v>
      </c>
      <c r="F654" s="2" t="s">
        <v>40</v>
      </c>
      <c r="G654" s="2" t="s">
        <v>25</v>
      </c>
      <c r="H654" s="4">
        <v>3</v>
      </c>
      <c r="I654" s="5">
        <v>23482.27</v>
      </c>
      <c r="J654" s="6">
        <v>0.15</v>
      </c>
      <c r="K654" s="5">
        <v>59879.79</v>
      </c>
      <c r="L654" s="5">
        <v>48251.85</v>
      </c>
      <c r="M654" s="5">
        <v>11627.94</v>
      </c>
      <c r="N654" s="2" t="s">
        <v>20</v>
      </c>
    </row>
    <row r="655" spans="1:14" ht="12" customHeight="1">
      <c r="A655" s="2" t="s">
        <v>748</v>
      </c>
      <c r="B655" s="3">
        <v>46009</v>
      </c>
      <c r="C655" s="2" t="s">
        <v>28</v>
      </c>
      <c r="D655" s="2" t="s">
        <v>52</v>
      </c>
      <c r="E655" s="2" t="s">
        <v>44</v>
      </c>
      <c r="F655" s="2" t="s">
        <v>53</v>
      </c>
      <c r="G655" s="2" t="s">
        <v>47</v>
      </c>
      <c r="H655" s="4">
        <v>5</v>
      </c>
      <c r="I655" s="5">
        <v>8940.25</v>
      </c>
      <c r="J655" s="6">
        <v>0.15</v>
      </c>
      <c r="K655" s="5">
        <v>37996.06</v>
      </c>
      <c r="L655" s="5">
        <v>24040.400000000001</v>
      </c>
      <c r="M655" s="5">
        <v>13955.66</v>
      </c>
      <c r="N655" s="2" t="s">
        <v>20</v>
      </c>
    </row>
    <row r="656" spans="1:14" ht="12" customHeight="1">
      <c r="A656" s="2" t="s">
        <v>749</v>
      </c>
      <c r="B656" s="3">
        <v>45944</v>
      </c>
      <c r="C656" s="2" t="s">
        <v>22</v>
      </c>
      <c r="D656" s="2" t="s">
        <v>23</v>
      </c>
      <c r="E656" s="2" t="s">
        <v>44</v>
      </c>
      <c r="F656" s="2" t="s">
        <v>45</v>
      </c>
      <c r="G656" s="2" t="s">
        <v>25</v>
      </c>
      <c r="H656" s="4">
        <v>1</v>
      </c>
      <c r="I656" s="5">
        <v>27339.87</v>
      </c>
      <c r="J656" s="6">
        <v>0.05</v>
      </c>
      <c r="K656" s="5">
        <v>25972.880000000001</v>
      </c>
      <c r="L656" s="5">
        <v>19047.330000000002</v>
      </c>
      <c r="M656" s="5">
        <v>6925.55</v>
      </c>
      <c r="N656" s="2" t="s">
        <v>20</v>
      </c>
    </row>
    <row r="657" spans="1:14" ht="12" customHeight="1">
      <c r="A657" s="2" t="s">
        <v>750</v>
      </c>
      <c r="B657" s="3">
        <v>45800</v>
      </c>
      <c r="C657" s="2" t="s">
        <v>15</v>
      </c>
      <c r="D657" s="2" t="s">
        <v>16</v>
      </c>
      <c r="E657" s="2" t="s">
        <v>44</v>
      </c>
      <c r="F657" s="2" t="s">
        <v>45</v>
      </c>
      <c r="G657" s="2" t="s">
        <v>61</v>
      </c>
      <c r="H657" s="4">
        <v>5</v>
      </c>
      <c r="I657" s="5">
        <v>26842.12</v>
      </c>
      <c r="J657" s="6">
        <v>0.05</v>
      </c>
      <c r="K657" s="5">
        <v>127500.07</v>
      </c>
      <c r="L657" s="5">
        <v>97401.3</v>
      </c>
      <c r="M657" s="5">
        <v>30098.77</v>
      </c>
      <c r="N657" s="2" t="s">
        <v>33</v>
      </c>
    </row>
    <row r="658" spans="1:14" ht="12" customHeight="1">
      <c r="A658" s="2" t="s">
        <v>751</v>
      </c>
      <c r="B658" s="3">
        <v>45866</v>
      </c>
      <c r="C658" s="2" t="s">
        <v>15</v>
      </c>
      <c r="D658" s="2" t="s">
        <v>63</v>
      </c>
      <c r="E658" s="2" t="s">
        <v>17</v>
      </c>
      <c r="F658" s="2" t="s">
        <v>75</v>
      </c>
      <c r="G658" s="2" t="s">
        <v>32</v>
      </c>
      <c r="H658" s="4">
        <v>2</v>
      </c>
      <c r="I658" s="5">
        <v>179491.58</v>
      </c>
      <c r="J658" s="6">
        <v>0.05</v>
      </c>
      <c r="K658" s="5">
        <v>341034</v>
      </c>
      <c r="L658" s="5">
        <v>292719.37</v>
      </c>
      <c r="M658" s="5">
        <v>48314.63</v>
      </c>
      <c r="N658" s="2" t="s">
        <v>33</v>
      </c>
    </row>
    <row r="659" spans="1:14" ht="12" customHeight="1">
      <c r="A659" s="2" t="s">
        <v>752</v>
      </c>
      <c r="B659" s="3">
        <v>45925</v>
      </c>
      <c r="C659" s="2" t="s">
        <v>28</v>
      </c>
      <c r="D659" s="2" t="s">
        <v>29</v>
      </c>
      <c r="E659" s="2" t="s">
        <v>44</v>
      </c>
      <c r="F659" s="2" t="s">
        <v>45</v>
      </c>
      <c r="G659" s="2" t="s">
        <v>58</v>
      </c>
      <c r="H659" s="4">
        <v>2</v>
      </c>
      <c r="I659" s="5">
        <v>28823.64</v>
      </c>
      <c r="J659" s="6">
        <v>0.1</v>
      </c>
      <c r="K659" s="5">
        <v>51882.55</v>
      </c>
      <c r="L659" s="5">
        <v>39341.61</v>
      </c>
      <c r="M659" s="5">
        <v>12540.94</v>
      </c>
      <c r="N659" s="2" t="s">
        <v>20</v>
      </c>
    </row>
    <row r="660" spans="1:14" ht="12" customHeight="1">
      <c r="A660" s="2" t="s">
        <v>753</v>
      </c>
      <c r="B660" s="3">
        <v>45778</v>
      </c>
      <c r="C660" s="2" t="s">
        <v>22</v>
      </c>
      <c r="D660" s="2"/>
      <c r="E660" s="2" t="s">
        <v>17</v>
      </c>
      <c r="F660" s="2" t="s">
        <v>18</v>
      </c>
      <c r="G660" s="2" t="s">
        <v>25</v>
      </c>
      <c r="H660" s="4">
        <v>6</v>
      </c>
      <c r="I660" s="5">
        <v>15271.02</v>
      </c>
      <c r="J660" s="6">
        <v>0.15</v>
      </c>
      <c r="K660" s="5">
        <v>77882.2</v>
      </c>
      <c r="L660" s="5">
        <v>49066.99</v>
      </c>
      <c r="M660" s="5">
        <v>28815.21</v>
      </c>
      <c r="N660" s="2" t="s">
        <v>26</v>
      </c>
    </row>
    <row r="661" spans="1:14" ht="12" customHeight="1">
      <c r="A661" s="2" t="s">
        <v>754</v>
      </c>
      <c r="B661" s="3">
        <v>45686</v>
      </c>
      <c r="C661" s="2" t="s">
        <v>22</v>
      </c>
      <c r="D661" s="2" t="s">
        <v>23</v>
      </c>
      <c r="E661" s="2" t="s">
        <v>44</v>
      </c>
      <c r="F661" s="2" t="s">
        <v>45</v>
      </c>
      <c r="G661" s="2" t="s">
        <v>249</v>
      </c>
      <c r="H661" s="4">
        <v>5</v>
      </c>
      <c r="I661" s="5">
        <v>28224.01</v>
      </c>
      <c r="J661" s="6">
        <v>0.05</v>
      </c>
      <c r="K661" s="5">
        <v>134064.04999999999</v>
      </c>
      <c r="L661" s="5">
        <v>97888.28</v>
      </c>
      <c r="M661" s="5">
        <v>36175.769999999997</v>
      </c>
      <c r="N661" s="2" t="s">
        <v>59</v>
      </c>
    </row>
    <row r="662" spans="1:14" ht="12" customHeight="1">
      <c r="A662" s="2" t="s">
        <v>755</v>
      </c>
      <c r="B662" s="3">
        <v>45732</v>
      </c>
      <c r="C662" s="2" t="s">
        <v>15</v>
      </c>
      <c r="D662" s="2" t="s">
        <v>16</v>
      </c>
      <c r="E662" s="2" t="s">
        <v>30</v>
      </c>
      <c r="F662" s="2" t="s">
        <v>40</v>
      </c>
      <c r="G662" s="2" t="s">
        <v>756</v>
      </c>
      <c r="H662" s="4">
        <v>8</v>
      </c>
      <c r="I662" s="5">
        <v>25216.33</v>
      </c>
      <c r="J662" s="6">
        <v>0.05</v>
      </c>
      <c r="K662" s="5">
        <v>191644.11</v>
      </c>
      <c r="L662" s="5">
        <v>130389.23</v>
      </c>
      <c r="M662" s="5">
        <v>61254.879999999997</v>
      </c>
      <c r="N662" s="2" t="s">
        <v>20</v>
      </c>
    </row>
    <row r="663" spans="1:14" ht="12" customHeight="1">
      <c r="A663" s="2" t="s">
        <v>757</v>
      </c>
      <c r="B663" s="3">
        <v>45685</v>
      </c>
      <c r="C663" s="2" t="s">
        <v>15</v>
      </c>
      <c r="D663" s="2" t="s">
        <v>63</v>
      </c>
      <c r="E663" s="2" t="s">
        <v>30</v>
      </c>
      <c r="F663" s="2" t="s">
        <v>31</v>
      </c>
      <c r="G663" s="2" t="s">
        <v>47</v>
      </c>
      <c r="H663" s="4">
        <v>1</v>
      </c>
      <c r="I663" s="5">
        <v>142375.82</v>
      </c>
      <c r="J663" s="6">
        <v>0.15</v>
      </c>
      <c r="K663" s="5">
        <v>121019.45</v>
      </c>
      <c r="L663" s="5">
        <v>103618.52</v>
      </c>
      <c r="M663" s="5">
        <v>17400.93</v>
      </c>
      <c r="N663" s="2" t="s">
        <v>59</v>
      </c>
    </row>
    <row r="664" spans="1:14" ht="12" customHeight="1">
      <c r="A664" s="2" t="s">
        <v>758</v>
      </c>
      <c r="B664" s="3">
        <v>45856</v>
      </c>
      <c r="C664" s="2" t="s">
        <v>15</v>
      </c>
      <c r="D664" s="2" t="s">
        <v>63</v>
      </c>
      <c r="E664" s="2" t="s">
        <v>30</v>
      </c>
      <c r="F664" s="2" t="s">
        <v>38</v>
      </c>
      <c r="G664" s="2" t="s">
        <v>64</v>
      </c>
      <c r="H664" s="4">
        <v>2</v>
      </c>
      <c r="I664" s="5">
        <v>27150.81</v>
      </c>
      <c r="J664" s="6">
        <v>0</v>
      </c>
      <c r="K664" s="5">
        <v>54301.62</v>
      </c>
      <c r="L664" s="5">
        <v>37081.269999999997</v>
      </c>
      <c r="M664" s="5">
        <v>17220.349999999999</v>
      </c>
      <c r="N664" s="2" t="s">
        <v>20</v>
      </c>
    </row>
    <row r="665" spans="1:14" ht="12" customHeight="1">
      <c r="A665" s="2" t="s">
        <v>759</v>
      </c>
      <c r="B665" s="3">
        <v>45981</v>
      </c>
      <c r="C665" s="2" t="s">
        <v>28</v>
      </c>
      <c r="D665" s="2" t="s">
        <v>56</v>
      </c>
      <c r="E665" s="2" t="s">
        <v>17</v>
      </c>
      <c r="F665" s="2" t="s">
        <v>24</v>
      </c>
      <c r="G665" s="2" t="s">
        <v>32</v>
      </c>
      <c r="H665" s="4">
        <v>5</v>
      </c>
      <c r="I665" s="5">
        <v>87736.89</v>
      </c>
      <c r="J665" s="6">
        <v>0</v>
      </c>
      <c r="K665" s="5">
        <v>438684.45</v>
      </c>
      <c r="L665" s="5">
        <v>351598.2</v>
      </c>
      <c r="M665" s="5">
        <v>87086.25</v>
      </c>
      <c r="N665" s="2" t="s">
        <v>20</v>
      </c>
    </row>
    <row r="666" spans="1:14" ht="12" customHeight="1">
      <c r="A666" s="2" t="s">
        <v>760</v>
      </c>
      <c r="B666" s="3">
        <v>45709</v>
      </c>
      <c r="C666" s="2" t="s">
        <v>22</v>
      </c>
      <c r="D666" s="2" t="s">
        <v>35</v>
      </c>
      <c r="E666" s="2" t="s">
        <v>17</v>
      </c>
      <c r="F666" s="2" t="s">
        <v>114</v>
      </c>
      <c r="G666" s="2" t="s">
        <v>61</v>
      </c>
      <c r="H666" s="4">
        <v>8</v>
      </c>
      <c r="I666" s="5">
        <v>53971.360000000001</v>
      </c>
      <c r="J666" s="6">
        <v>0.05</v>
      </c>
      <c r="K666" s="5">
        <v>410182.34</v>
      </c>
      <c r="L666" s="5">
        <v>297903.37</v>
      </c>
      <c r="M666" s="5">
        <v>112278.97</v>
      </c>
      <c r="N666" s="2" t="s">
        <v>59</v>
      </c>
    </row>
    <row r="667" spans="1:14" ht="12" customHeight="1">
      <c r="A667" s="2" t="s">
        <v>761</v>
      </c>
      <c r="B667" s="3">
        <v>45986</v>
      </c>
      <c r="C667" s="2" t="s">
        <v>15</v>
      </c>
      <c r="D667" s="2" t="s">
        <v>16</v>
      </c>
      <c r="E667" s="2" t="s">
        <v>30</v>
      </c>
      <c r="F667" s="2" t="s">
        <v>40</v>
      </c>
      <c r="G667" s="2" t="s">
        <v>61</v>
      </c>
      <c r="H667" s="4">
        <v>6</v>
      </c>
      <c r="I667" s="5">
        <v>24316.79</v>
      </c>
      <c r="J667" s="6">
        <v>0</v>
      </c>
      <c r="K667" s="5">
        <v>145900.74</v>
      </c>
      <c r="L667" s="5">
        <v>97012.47</v>
      </c>
      <c r="M667" s="5">
        <v>48888.27</v>
      </c>
      <c r="N667" s="2" t="s">
        <v>20</v>
      </c>
    </row>
    <row r="668" spans="1:14" ht="12" customHeight="1">
      <c r="A668" s="2" t="s">
        <v>762</v>
      </c>
      <c r="B668" s="3">
        <v>45714</v>
      </c>
      <c r="C668" s="2" t="s">
        <v>15</v>
      </c>
      <c r="D668" s="2" t="s">
        <v>16</v>
      </c>
      <c r="E668" s="2" t="s">
        <v>17</v>
      </c>
      <c r="F668" s="2" t="s">
        <v>114</v>
      </c>
      <c r="G668" s="2" t="s">
        <v>61</v>
      </c>
      <c r="H668" s="4">
        <v>4</v>
      </c>
      <c r="I668" s="5">
        <v>53067.42</v>
      </c>
      <c r="J668" s="6">
        <v>0.05</v>
      </c>
      <c r="K668" s="5">
        <v>201656.2</v>
      </c>
      <c r="L668" s="5">
        <v>147504.76999999999</v>
      </c>
      <c r="M668" s="5">
        <v>54151.43</v>
      </c>
      <c r="N668" s="2" t="s">
        <v>26</v>
      </c>
    </row>
    <row r="669" spans="1:14" ht="12" customHeight="1">
      <c r="A669" s="2" t="s">
        <v>763</v>
      </c>
      <c r="B669" s="3">
        <v>45746</v>
      </c>
      <c r="C669" s="2" t="s">
        <v>15</v>
      </c>
      <c r="D669" s="2" t="s">
        <v>43</v>
      </c>
      <c r="E669" s="2" t="s">
        <v>44</v>
      </c>
      <c r="F669" s="2" t="s">
        <v>53</v>
      </c>
      <c r="G669" s="2" t="s">
        <v>32</v>
      </c>
      <c r="H669" s="4">
        <v>6</v>
      </c>
      <c r="I669" s="5">
        <v>8434.0300000000007</v>
      </c>
      <c r="J669" s="6">
        <v>0.15</v>
      </c>
      <c r="K669" s="5">
        <v>43013.55</v>
      </c>
      <c r="L669" s="5">
        <v>28792.76</v>
      </c>
      <c r="M669" s="5">
        <v>14220.79</v>
      </c>
      <c r="N669" s="2" t="s">
        <v>59</v>
      </c>
    </row>
    <row r="670" spans="1:14" ht="12" customHeight="1">
      <c r="A670" s="2" t="s">
        <v>764</v>
      </c>
      <c r="B670" s="3">
        <v>45950</v>
      </c>
      <c r="C670" s="2" t="s">
        <v>22</v>
      </c>
      <c r="D670" s="2" t="s">
        <v>23</v>
      </c>
      <c r="E670" s="2" t="s">
        <v>49</v>
      </c>
      <c r="F670" s="2" t="s">
        <v>57</v>
      </c>
      <c r="G670" s="2" t="s">
        <v>47</v>
      </c>
      <c r="H670" s="4">
        <v>3</v>
      </c>
      <c r="I670" s="5">
        <v>11304.03</v>
      </c>
      <c r="J670" s="6">
        <v>0.05</v>
      </c>
      <c r="K670" s="5">
        <v>32216.49</v>
      </c>
      <c r="L670" s="5">
        <v>20204.59</v>
      </c>
      <c r="M670" s="5">
        <v>12011.9</v>
      </c>
      <c r="N670" s="2" t="s">
        <v>33</v>
      </c>
    </row>
    <row r="671" spans="1:14" ht="12" customHeight="1">
      <c r="A671" s="2" t="s">
        <v>765</v>
      </c>
      <c r="B671" s="3">
        <v>45683</v>
      </c>
      <c r="C671" s="2" t="s">
        <v>22</v>
      </c>
      <c r="D671" s="2" t="s">
        <v>37</v>
      </c>
      <c r="E671" s="2" t="s">
        <v>44</v>
      </c>
      <c r="F671" s="2" t="s">
        <v>80</v>
      </c>
      <c r="G671" s="2" t="s">
        <v>25</v>
      </c>
      <c r="H671" s="4">
        <v>8</v>
      </c>
      <c r="I671" s="5">
        <v>40924.07</v>
      </c>
      <c r="J671" s="6">
        <v>0.15</v>
      </c>
      <c r="K671" s="5">
        <v>278283.68</v>
      </c>
      <c r="L671" s="5">
        <v>255347.78</v>
      </c>
      <c r="M671" s="5">
        <v>22935.9</v>
      </c>
      <c r="N671" s="2" t="s">
        <v>20</v>
      </c>
    </row>
    <row r="672" spans="1:14" ht="12" customHeight="1">
      <c r="A672" s="2" t="s">
        <v>766</v>
      </c>
      <c r="B672" s="3">
        <v>45927</v>
      </c>
      <c r="C672" s="2" t="s">
        <v>15</v>
      </c>
      <c r="D672" s="2" t="s">
        <v>63</v>
      </c>
      <c r="E672" s="2" t="s">
        <v>44</v>
      </c>
      <c r="F672" s="2" t="s">
        <v>80</v>
      </c>
      <c r="G672" s="2" t="s">
        <v>25</v>
      </c>
      <c r="H672" s="4">
        <v>6</v>
      </c>
      <c r="I672" s="5">
        <v>40730.449999999997</v>
      </c>
      <c r="J672" s="6">
        <v>0.1</v>
      </c>
      <c r="K672" s="5">
        <v>219944.43</v>
      </c>
      <c r="L672" s="5">
        <v>181947.9</v>
      </c>
      <c r="M672" s="5">
        <v>37996.53</v>
      </c>
      <c r="N672" s="2" t="s">
        <v>20</v>
      </c>
    </row>
    <row r="673" spans="1:14" ht="12" customHeight="1">
      <c r="A673" s="2" t="s">
        <v>767</v>
      </c>
      <c r="B673" s="3">
        <v>45911</v>
      </c>
      <c r="C673" s="2" t="s">
        <v>15</v>
      </c>
      <c r="D673" s="2" t="s">
        <v>63</v>
      </c>
      <c r="E673" s="2" t="s">
        <v>17</v>
      </c>
      <c r="F673" s="2" t="s">
        <v>24</v>
      </c>
      <c r="G673" s="2" t="s">
        <v>25</v>
      </c>
      <c r="H673" s="4">
        <v>4</v>
      </c>
      <c r="I673" s="5">
        <v>87444.81</v>
      </c>
      <c r="J673" s="6">
        <v>0.05</v>
      </c>
      <c r="K673" s="5">
        <v>332290.28000000003</v>
      </c>
      <c r="L673" s="5">
        <v>269322.8</v>
      </c>
      <c r="M673" s="5">
        <v>62967.48</v>
      </c>
      <c r="N673" s="2" t="s">
        <v>26</v>
      </c>
    </row>
    <row r="674" spans="1:14" ht="12" customHeight="1">
      <c r="A674" s="2" t="s">
        <v>768</v>
      </c>
      <c r="B674" s="3">
        <v>45672</v>
      </c>
      <c r="C674" s="2" t="s">
        <v>28</v>
      </c>
      <c r="D674" s="2" t="s">
        <v>52</v>
      </c>
      <c r="E674" s="2" t="s">
        <v>44</v>
      </c>
      <c r="F674" s="2" t="s">
        <v>69</v>
      </c>
      <c r="G674" s="2" t="s">
        <v>58</v>
      </c>
      <c r="H674" s="4">
        <v>4</v>
      </c>
      <c r="I674" s="5">
        <v>37503.449999999997</v>
      </c>
      <c r="J674" s="6">
        <v>0.05</v>
      </c>
      <c r="K674" s="5">
        <v>142513.10999999999</v>
      </c>
      <c r="L674" s="5">
        <v>106649.13</v>
      </c>
      <c r="M674" s="5">
        <v>35863.980000000003</v>
      </c>
      <c r="N674" s="2" t="s">
        <v>59</v>
      </c>
    </row>
    <row r="675" spans="1:14" ht="12" customHeight="1">
      <c r="A675" s="2" t="s">
        <v>769</v>
      </c>
      <c r="B675" s="3">
        <v>45663</v>
      </c>
      <c r="C675" s="2" t="s">
        <v>22</v>
      </c>
      <c r="D675" s="2" t="s">
        <v>37</v>
      </c>
      <c r="E675" s="2" t="s">
        <v>49</v>
      </c>
      <c r="F675" s="2" t="s">
        <v>50</v>
      </c>
      <c r="G675" s="2" t="s">
        <v>70</v>
      </c>
      <c r="H675" s="4">
        <v>6</v>
      </c>
      <c r="I675" s="5">
        <v>4255.71</v>
      </c>
      <c r="J675" s="6">
        <v>0.15</v>
      </c>
      <c r="K675" s="5">
        <v>21704.12</v>
      </c>
      <c r="L675" s="5">
        <v>12626.1</v>
      </c>
      <c r="M675" s="5">
        <v>9078.02</v>
      </c>
      <c r="N675" s="2" t="s">
        <v>26</v>
      </c>
    </row>
    <row r="676" spans="1:14" ht="12" customHeight="1">
      <c r="A676" s="2" t="s">
        <v>770</v>
      </c>
      <c r="B676" s="3">
        <v>45695</v>
      </c>
      <c r="C676" s="2" t="s">
        <v>28</v>
      </c>
      <c r="D676" s="2" t="s">
        <v>29</v>
      </c>
      <c r="E676" s="2" t="s">
        <v>49</v>
      </c>
      <c r="F676" s="2" t="s">
        <v>50</v>
      </c>
      <c r="G676" s="2" t="s">
        <v>19</v>
      </c>
      <c r="H676" s="4">
        <v>7</v>
      </c>
      <c r="I676" s="5">
        <v>4340.08</v>
      </c>
      <c r="J676" s="6">
        <v>0.15</v>
      </c>
      <c r="K676" s="5">
        <v>25823.48</v>
      </c>
      <c r="L676" s="5">
        <v>14873.51</v>
      </c>
      <c r="M676" s="5">
        <v>10949.97</v>
      </c>
      <c r="N676" s="2" t="s">
        <v>33</v>
      </c>
    </row>
    <row r="677" spans="1:14" ht="12" customHeight="1">
      <c r="A677" s="2" t="s">
        <v>771</v>
      </c>
      <c r="B677" s="3">
        <v>45964</v>
      </c>
      <c r="C677" s="2" t="s">
        <v>22</v>
      </c>
      <c r="D677" s="2" t="s">
        <v>35</v>
      </c>
      <c r="E677" s="2" t="s">
        <v>44</v>
      </c>
      <c r="F677" s="2" t="s">
        <v>53</v>
      </c>
      <c r="G677" s="2" t="s">
        <v>64</v>
      </c>
      <c r="H677" s="4">
        <v>6</v>
      </c>
      <c r="I677" s="5">
        <v>9175.57</v>
      </c>
      <c r="J677" s="6">
        <v>0.15</v>
      </c>
      <c r="K677" s="5">
        <v>46795.41</v>
      </c>
      <c r="L677" s="5">
        <v>30508.52</v>
      </c>
      <c r="M677" s="5">
        <v>16286.89</v>
      </c>
      <c r="N677" s="2" t="s">
        <v>33</v>
      </c>
    </row>
    <row r="678" spans="1:14" ht="12" customHeight="1">
      <c r="A678" s="2" t="s">
        <v>772</v>
      </c>
      <c r="B678" s="3">
        <v>45944</v>
      </c>
      <c r="C678" s="2" t="s">
        <v>28</v>
      </c>
      <c r="D678" s="2" t="s">
        <v>29</v>
      </c>
      <c r="E678" s="2" t="s">
        <v>49</v>
      </c>
      <c r="F678" s="2" t="s">
        <v>57</v>
      </c>
      <c r="G678" s="2" t="s">
        <v>64</v>
      </c>
      <c r="H678" s="4">
        <v>7</v>
      </c>
      <c r="I678" s="5">
        <v>11815.12</v>
      </c>
      <c r="J678" s="6">
        <v>0</v>
      </c>
      <c r="K678" s="5">
        <v>82705.84</v>
      </c>
      <c r="L678" s="5">
        <v>47218.26</v>
      </c>
      <c r="M678" s="5">
        <v>35487.58</v>
      </c>
      <c r="N678" s="2" t="s">
        <v>26</v>
      </c>
    </row>
    <row r="679" spans="1:14" ht="12" customHeight="1">
      <c r="A679" s="2" t="s">
        <v>773</v>
      </c>
      <c r="B679" s="3">
        <v>45879</v>
      </c>
      <c r="C679" s="2" t="s">
        <v>28</v>
      </c>
      <c r="D679" s="2" t="s">
        <v>52</v>
      </c>
      <c r="E679" s="2" t="s">
        <v>49</v>
      </c>
      <c r="F679" s="2" t="s">
        <v>57</v>
      </c>
      <c r="G679" s="2" t="s">
        <v>61</v>
      </c>
      <c r="H679" s="4">
        <v>8</v>
      </c>
      <c r="I679" s="5">
        <v>10822.73</v>
      </c>
      <c r="J679" s="6">
        <v>0.05</v>
      </c>
      <c r="K679" s="5">
        <v>82252.75</v>
      </c>
      <c r="L679" s="5">
        <v>53025.33</v>
      </c>
      <c r="M679" s="5">
        <v>29227.42</v>
      </c>
      <c r="N679" s="2" t="s">
        <v>59</v>
      </c>
    </row>
    <row r="680" spans="1:14" ht="12" customHeight="1">
      <c r="A680" s="2" t="s">
        <v>774</v>
      </c>
      <c r="B680" s="3">
        <v>45878</v>
      </c>
      <c r="C680" s="2" t="s">
        <v>22</v>
      </c>
      <c r="D680" s="2" t="s">
        <v>35</v>
      </c>
      <c r="E680" s="2" t="s">
        <v>17</v>
      </c>
      <c r="F680" s="2" t="s">
        <v>24</v>
      </c>
      <c r="G680" s="2" t="s">
        <v>58</v>
      </c>
      <c r="H680" s="4">
        <v>8</v>
      </c>
      <c r="I680" s="5">
        <v>97471.12</v>
      </c>
      <c r="J680" s="6">
        <v>0.05</v>
      </c>
      <c r="K680" s="5">
        <v>740780.51</v>
      </c>
      <c r="L680" s="5">
        <v>556157.11</v>
      </c>
      <c r="M680" s="5">
        <v>184623.4</v>
      </c>
      <c r="N680" s="2" t="s">
        <v>59</v>
      </c>
    </row>
    <row r="681" spans="1:14" ht="12" customHeight="1">
      <c r="A681" s="2" t="s">
        <v>775</v>
      </c>
      <c r="B681" s="3">
        <v>45735</v>
      </c>
      <c r="C681" s="2" t="s">
        <v>15</v>
      </c>
      <c r="D681" s="2" t="s">
        <v>63</v>
      </c>
      <c r="E681" s="2" t="s">
        <v>30</v>
      </c>
      <c r="F681" s="2" t="s">
        <v>40</v>
      </c>
      <c r="G681" s="2" t="s">
        <v>70</v>
      </c>
      <c r="H681" s="4">
        <v>3</v>
      </c>
      <c r="I681" s="5">
        <v>23776.93</v>
      </c>
      <c r="J681" s="6">
        <v>0.05</v>
      </c>
      <c r="K681" s="5">
        <v>67764.25</v>
      </c>
      <c r="L681" s="5">
        <v>48511.88</v>
      </c>
      <c r="M681" s="5">
        <v>19252.37</v>
      </c>
      <c r="N681" s="2" t="s">
        <v>33</v>
      </c>
    </row>
    <row r="682" spans="1:14" ht="12" customHeight="1">
      <c r="A682" s="2" t="s">
        <v>776</v>
      </c>
      <c r="B682" s="3">
        <v>45897</v>
      </c>
      <c r="C682" s="2" t="s">
        <v>22</v>
      </c>
      <c r="D682" s="2" t="s">
        <v>23</v>
      </c>
      <c r="E682" s="2" t="s">
        <v>17</v>
      </c>
      <c r="F682" s="2" t="s">
        <v>24</v>
      </c>
      <c r="G682" s="2" t="s">
        <v>25</v>
      </c>
      <c r="H682" s="4">
        <v>3</v>
      </c>
      <c r="I682" s="5">
        <v>85167.89</v>
      </c>
      <c r="J682" s="6">
        <v>0.05</v>
      </c>
      <c r="K682" s="5">
        <v>242728.49</v>
      </c>
      <c r="L682" s="5">
        <v>200215.56</v>
      </c>
      <c r="M682" s="5">
        <v>42512.93</v>
      </c>
      <c r="N682" s="2" t="s">
        <v>33</v>
      </c>
    </row>
    <row r="683" spans="1:14" ht="12" customHeight="1">
      <c r="A683" s="2" t="s">
        <v>777</v>
      </c>
      <c r="B683" s="3">
        <v>45733</v>
      </c>
      <c r="C683" s="2" t="s">
        <v>28</v>
      </c>
      <c r="D683" s="2" t="s">
        <v>52</v>
      </c>
      <c r="E683" s="2" t="s">
        <v>49</v>
      </c>
      <c r="F683" s="2" t="s">
        <v>57</v>
      </c>
      <c r="G683" s="2" t="s">
        <v>19</v>
      </c>
      <c r="H683" s="4">
        <v>8</v>
      </c>
      <c r="I683" s="5">
        <v>11422.28</v>
      </c>
      <c r="J683" s="6">
        <v>0</v>
      </c>
      <c r="K683" s="5">
        <v>91378.240000000005</v>
      </c>
      <c r="L683" s="5">
        <v>53518.85</v>
      </c>
      <c r="M683" s="5">
        <v>37859.39</v>
      </c>
      <c r="N683" s="2" t="s">
        <v>59</v>
      </c>
    </row>
    <row r="684" spans="1:14" ht="12" customHeight="1">
      <c r="A684" s="2" t="s">
        <v>778</v>
      </c>
      <c r="B684" s="3">
        <v>45997</v>
      </c>
      <c r="C684" s="2" t="s">
        <v>22</v>
      </c>
      <c r="D684" s="2" t="s">
        <v>23</v>
      </c>
      <c r="E684" s="2" t="s">
        <v>30</v>
      </c>
      <c r="F684" s="2" t="s">
        <v>86</v>
      </c>
      <c r="G684" s="2" t="s">
        <v>47</v>
      </c>
      <c r="H684" s="4">
        <v>3</v>
      </c>
      <c r="I684" s="5">
        <v>34319.67</v>
      </c>
      <c r="J684" s="6">
        <v>0.05</v>
      </c>
      <c r="K684" s="5">
        <v>97811.06</v>
      </c>
      <c r="L684" s="5">
        <v>68136.34</v>
      </c>
      <c r="M684" s="5">
        <v>29674.720000000001</v>
      </c>
      <c r="N684" s="2" t="s">
        <v>33</v>
      </c>
    </row>
    <row r="685" spans="1:14" ht="12" customHeight="1">
      <c r="A685" s="2" t="s">
        <v>779</v>
      </c>
      <c r="B685" s="3">
        <v>45826</v>
      </c>
      <c r="C685" s="2" t="s">
        <v>15</v>
      </c>
      <c r="D685" s="2" t="s">
        <v>43</v>
      </c>
      <c r="E685" s="2" t="s">
        <v>44</v>
      </c>
      <c r="F685" s="2" t="s">
        <v>53</v>
      </c>
      <c r="G685" s="2" t="s">
        <v>64</v>
      </c>
      <c r="H685" s="4">
        <v>2</v>
      </c>
      <c r="I685" s="5">
        <v>8154.77</v>
      </c>
      <c r="J685" s="6">
        <v>0.05</v>
      </c>
      <c r="K685" s="5">
        <v>15494.06</v>
      </c>
      <c r="L685" s="5">
        <v>9970.36</v>
      </c>
      <c r="M685" s="5">
        <v>5523.7</v>
      </c>
      <c r="N685" s="2" t="s">
        <v>59</v>
      </c>
    </row>
    <row r="686" spans="1:14" ht="12" customHeight="1">
      <c r="A686" s="2" t="s">
        <v>780</v>
      </c>
      <c r="B686" s="3">
        <v>45736</v>
      </c>
      <c r="C686" s="2" t="s">
        <v>15</v>
      </c>
      <c r="D686" s="2" t="s">
        <v>43</v>
      </c>
      <c r="E686" s="2" t="s">
        <v>17</v>
      </c>
      <c r="F686" s="2" t="s">
        <v>114</v>
      </c>
      <c r="G686" s="2" t="s">
        <v>64</v>
      </c>
      <c r="H686" s="4">
        <v>6</v>
      </c>
      <c r="I686" s="5">
        <v>52751.62</v>
      </c>
      <c r="J686" s="6">
        <v>0</v>
      </c>
      <c r="K686" s="5">
        <v>316509.71999999997</v>
      </c>
      <c r="L686" s="5">
        <v>225260.86</v>
      </c>
      <c r="M686" s="5">
        <v>91248.86</v>
      </c>
      <c r="N686" s="2" t="s">
        <v>33</v>
      </c>
    </row>
    <row r="687" spans="1:14" ht="12" customHeight="1">
      <c r="A687" s="2" t="s">
        <v>781</v>
      </c>
      <c r="B687" s="3">
        <v>45680</v>
      </c>
      <c r="C687" s="2" t="s">
        <v>28</v>
      </c>
      <c r="D687" s="2" t="s">
        <v>29</v>
      </c>
      <c r="E687" s="2" t="s">
        <v>49</v>
      </c>
      <c r="F687" s="2" t="s">
        <v>107</v>
      </c>
      <c r="G687" s="2" t="s">
        <v>70</v>
      </c>
      <c r="H687" s="4">
        <v>5</v>
      </c>
      <c r="I687" s="5">
        <v>5278.38</v>
      </c>
      <c r="J687" s="6">
        <v>0</v>
      </c>
      <c r="K687" s="5">
        <v>26391.9</v>
      </c>
      <c r="L687" s="5">
        <v>13406.31</v>
      </c>
      <c r="M687" s="5">
        <v>12985.59</v>
      </c>
      <c r="N687" s="2" t="s">
        <v>59</v>
      </c>
    </row>
    <row r="688" spans="1:14" ht="12" customHeight="1">
      <c r="A688" s="2" t="s">
        <v>782</v>
      </c>
      <c r="B688" s="3">
        <v>45686</v>
      </c>
      <c r="C688" s="2" t="s">
        <v>15</v>
      </c>
      <c r="D688" s="2" t="s">
        <v>43</v>
      </c>
      <c r="E688" s="2" t="s">
        <v>44</v>
      </c>
      <c r="F688" s="2" t="s">
        <v>45</v>
      </c>
      <c r="G688" s="2" t="s">
        <v>19</v>
      </c>
      <c r="H688" s="4">
        <v>1</v>
      </c>
      <c r="I688" s="5">
        <v>29875.1</v>
      </c>
      <c r="J688" s="6">
        <v>0.05</v>
      </c>
      <c r="K688" s="5">
        <v>28381.34</v>
      </c>
      <c r="L688" s="5">
        <v>18859.82</v>
      </c>
      <c r="M688" s="5">
        <v>9521.52</v>
      </c>
      <c r="N688" s="2" t="s">
        <v>20</v>
      </c>
    </row>
    <row r="689" spans="1:14" ht="12" customHeight="1">
      <c r="A689" s="2" t="s">
        <v>783</v>
      </c>
      <c r="B689" s="3">
        <v>45764</v>
      </c>
      <c r="C689" s="2" t="s">
        <v>22</v>
      </c>
      <c r="D689" s="2" t="s">
        <v>35</v>
      </c>
      <c r="E689" s="2" t="s">
        <v>30</v>
      </c>
      <c r="F689" s="2" t="s">
        <v>86</v>
      </c>
      <c r="G689" s="2" t="s">
        <v>61</v>
      </c>
      <c r="H689" s="4">
        <v>4</v>
      </c>
      <c r="I689" s="5">
        <v>35455.46</v>
      </c>
      <c r="J689" s="6">
        <v>0.05</v>
      </c>
      <c r="K689" s="5">
        <v>134730.75</v>
      </c>
      <c r="L689" s="5">
        <v>87861.89</v>
      </c>
      <c r="M689" s="5">
        <v>46868.86</v>
      </c>
      <c r="N689" s="2" t="s">
        <v>20</v>
      </c>
    </row>
    <row r="690" spans="1:14" ht="12" customHeight="1">
      <c r="A690" s="2" t="s">
        <v>784</v>
      </c>
      <c r="B690" s="3">
        <v>45816</v>
      </c>
      <c r="C690" s="2" t="s">
        <v>28</v>
      </c>
      <c r="D690" s="2" t="s">
        <v>56</v>
      </c>
      <c r="E690" s="2" t="s">
        <v>44</v>
      </c>
      <c r="F690" s="2" t="s">
        <v>80</v>
      </c>
      <c r="G690" s="2" t="s">
        <v>61</v>
      </c>
      <c r="H690" s="4">
        <v>5</v>
      </c>
      <c r="I690" s="5">
        <v>42937.01</v>
      </c>
      <c r="J690" s="6">
        <v>0.05</v>
      </c>
      <c r="K690" s="5">
        <v>203950.8</v>
      </c>
      <c r="L690" s="5">
        <v>158334.39999999999</v>
      </c>
      <c r="M690" s="5">
        <v>45616.4</v>
      </c>
      <c r="N690" s="2" t="s">
        <v>59</v>
      </c>
    </row>
    <row r="691" spans="1:14" ht="12" customHeight="1">
      <c r="A691" s="2" t="s">
        <v>785</v>
      </c>
      <c r="B691" s="3">
        <v>45946</v>
      </c>
      <c r="C691" s="2" t="s">
        <v>15</v>
      </c>
      <c r="D691" s="2" t="s">
        <v>16</v>
      </c>
      <c r="E691" s="2" t="s">
        <v>30</v>
      </c>
      <c r="F691" s="2" t="s">
        <v>86</v>
      </c>
      <c r="G691" s="2" t="s">
        <v>25</v>
      </c>
      <c r="H691" s="4">
        <v>8</v>
      </c>
      <c r="I691" s="5">
        <v>32711.94</v>
      </c>
      <c r="J691" s="6">
        <v>0.05</v>
      </c>
      <c r="K691" s="5">
        <v>248610.74</v>
      </c>
      <c r="L691" s="5">
        <v>180603.14</v>
      </c>
      <c r="M691" s="5">
        <v>68007.600000000006</v>
      </c>
      <c r="N691" s="2" t="s">
        <v>33</v>
      </c>
    </row>
    <row r="692" spans="1:14" ht="12" customHeight="1">
      <c r="A692" s="2" t="s">
        <v>786</v>
      </c>
      <c r="B692" s="3">
        <v>45895</v>
      </c>
      <c r="C692" s="2" t="s">
        <v>28</v>
      </c>
      <c r="D692" s="2" t="s">
        <v>56</v>
      </c>
      <c r="E692" s="2" t="s">
        <v>44</v>
      </c>
      <c r="F692" s="2" t="s">
        <v>53</v>
      </c>
      <c r="G692" s="2" t="s">
        <v>47</v>
      </c>
      <c r="H692" s="4">
        <v>7</v>
      </c>
      <c r="I692" s="5">
        <v>7946.41</v>
      </c>
      <c r="J692" s="6">
        <v>0.1</v>
      </c>
      <c r="K692" s="5">
        <v>50062.38</v>
      </c>
      <c r="L692" s="5">
        <v>34091.53</v>
      </c>
      <c r="M692" s="5">
        <v>15970.85</v>
      </c>
      <c r="N692" s="2" t="s">
        <v>26</v>
      </c>
    </row>
    <row r="693" spans="1:14" ht="12" customHeight="1">
      <c r="A693" s="2" t="s">
        <v>787</v>
      </c>
      <c r="B693" s="3">
        <v>45723</v>
      </c>
      <c r="C693" s="2" t="s">
        <v>28</v>
      </c>
      <c r="D693" s="2" t="s">
        <v>29</v>
      </c>
      <c r="E693" s="2" t="s">
        <v>17</v>
      </c>
      <c r="F693" s="2" t="s">
        <v>18</v>
      </c>
      <c r="G693" s="2" t="s">
        <v>788</v>
      </c>
      <c r="H693" s="4">
        <v>8</v>
      </c>
      <c r="I693" s="5">
        <v>14354.66</v>
      </c>
      <c r="J693" s="6">
        <v>0.05</v>
      </c>
      <c r="K693" s="5">
        <v>109095.42</v>
      </c>
      <c r="L693" s="5">
        <v>65011.41</v>
      </c>
      <c r="M693" s="5">
        <v>44084.01</v>
      </c>
      <c r="N693" s="2" t="s">
        <v>26</v>
      </c>
    </row>
    <row r="694" spans="1:14" ht="12" customHeight="1">
      <c r="A694" s="2" t="s">
        <v>789</v>
      </c>
      <c r="B694" s="3">
        <v>45875</v>
      </c>
      <c r="C694" s="2" t="s">
        <v>15</v>
      </c>
      <c r="D694" s="2" t="s">
        <v>63</v>
      </c>
      <c r="E694" s="2" t="s">
        <v>30</v>
      </c>
      <c r="F694" s="2" t="s">
        <v>31</v>
      </c>
      <c r="G694" s="2" t="s">
        <v>25</v>
      </c>
      <c r="H694" s="4">
        <v>2</v>
      </c>
      <c r="I694" s="5">
        <v>144013.72</v>
      </c>
      <c r="J694" s="6">
        <v>0.1</v>
      </c>
      <c r="K694" s="5">
        <v>259224.7</v>
      </c>
      <c r="L694" s="5">
        <v>197461.92</v>
      </c>
      <c r="M694" s="5">
        <v>61762.78</v>
      </c>
      <c r="N694" s="2" t="s">
        <v>33</v>
      </c>
    </row>
    <row r="695" spans="1:14" ht="12" customHeight="1">
      <c r="A695" s="2" t="s">
        <v>790</v>
      </c>
      <c r="B695" s="3">
        <v>45996</v>
      </c>
      <c r="C695" s="2" t="s">
        <v>28</v>
      </c>
      <c r="D695" s="2" t="s">
        <v>29</v>
      </c>
      <c r="E695" s="2" t="s">
        <v>30</v>
      </c>
      <c r="F695" s="2" t="s">
        <v>38</v>
      </c>
      <c r="G695" s="2" t="s">
        <v>70</v>
      </c>
      <c r="H695" s="4">
        <v>5</v>
      </c>
      <c r="I695" s="5">
        <v>27369.65</v>
      </c>
      <c r="J695" s="6">
        <v>0.1</v>
      </c>
      <c r="K695" s="5">
        <v>123163.43</v>
      </c>
      <c r="L695" s="5">
        <v>87402.49</v>
      </c>
      <c r="M695" s="5">
        <v>35760.94</v>
      </c>
      <c r="N695" s="2" t="s">
        <v>26</v>
      </c>
    </row>
    <row r="696" spans="1:14" ht="12" customHeight="1">
      <c r="A696" s="2" t="s">
        <v>791</v>
      </c>
      <c r="B696" s="3">
        <v>45890</v>
      </c>
      <c r="C696" s="2" t="s">
        <v>22</v>
      </c>
      <c r="D696" s="2" t="s">
        <v>35</v>
      </c>
      <c r="E696" s="2" t="s">
        <v>17</v>
      </c>
      <c r="F696" s="2" t="s">
        <v>75</v>
      </c>
      <c r="G696" s="2" t="s">
        <v>70</v>
      </c>
      <c r="H696" s="4">
        <v>7</v>
      </c>
      <c r="I696" s="5">
        <v>196151.96</v>
      </c>
      <c r="J696" s="6">
        <v>0.05</v>
      </c>
      <c r="K696" s="5">
        <v>1304410.53</v>
      </c>
      <c r="L696" s="5">
        <v>986024.39</v>
      </c>
      <c r="M696" s="5">
        <v>318386.14</v>
      </c>
      <c r="N696" s="2" t="s">
        <v>59</v>
      </c>
    </row>
    <row r="697" spans="1:14" ht="12" customHeight="1">
      <c r="A697" s="2" t="s">
        <v>792</v>
      </c>
      <c r="B697" s="3">
        <v>46002</v>
      </c>
      <c r="C697" s="2" t="s">
        <v>28</v>
      </c>
      <c r="D697" s="2" t="s">
        <v>52</v>
      </c>
      <c r="E697" s="2" t="s">
        <v>44</v>
      </c>
      <c r="F697" s="2" t="s">
        <v>45</v>
      </c>
      <c r="G697" s="2" t="s">
        <v>19</v>
      </c>
      <c r="H697" s="4">
        <v>2</v>
      </c>
      <c r="I697" s="5">
        <v>29626.45</v>
      </c>
      <c r="J697" s="6">
        <v>0.1</v>
      </c>
      <c r="K697" s="5">
        <v>53327.61</v>
      </c>
      <c r="L697" s="5">
        <v>37549.79</v>
      </c>
      <c r="M697" s="5">
        <v>15777.82</v>
      </c>
      <c r="N697" s="2" t="s">
        <v>20</v>
      </c>
    </row>
    <row r="698" spans="1:14" ht="12" customHeight="1">
      <c r="A698" s="2" t="s">
        <v>793</v>
      </c>
      <c r="B698" s="3">
        <v>46012</v>
      </c>
      <c r="C698" s="2" t="s">
        <v>15</v>
      </c>
      <c r="D698" s="2" t="s">
        <v>16</v>
      </c>
      <c r="E698" s="2" t="s">
        <v>17</v>
      </c>
      <c r="F698" s="2" t="s">
        <v>114</v>
      </c>
      <c r="G698" s="2" t="s">
        <v>25</v>
      </c>
      <c r="H698" s="4">
        <v>2</v>
      </c>
      <c r="I698" s="5">
        <v>47950.69</v>
      </c>
      <c r="J698" s="6">
        <v>0.15</v>
      </c>
      <c r="K698" s="5">
        <v>81516.17</v>
      </c>
      <c r="L698" s="5">
        <v>73248.08</v>
      </c>
      <c r="M698" s="5">
        <v>8268.09</v>
      </c>
      <c r="N698" s="2" t="s">
        <v>20</v>
      </c>
    </row>
    <row r="699" spans="1:14" ht="12" customHeight="1">
      <c r="A699" s="2" t="s">
        <v>794</v>
      </c>
      <c r="B699" s="3">
        <v>45715</v>
      </c>
      <c r="C699" s="2" t="s">
        <v>28</v>
      </c>
      <c r="D699" s="2" t="s">
        <v>29</v>
      </c>
      <c r="E699" s="2" t="s">
        <v>30</v>
      </c>
      <c r="F699" s="2" t="s">
        <v>40</v>
      </c>
      <c r="G699" s="2" t="s">
        <v>64</v>
      </c>
      <c r="H699" s="4">
        <v>5</v>
      </c>
      <c r="I699" s="5">
        <v>22883.53</v>
      </c>
      <c r="J699" s="6">
        <v>0</v>
      </c>
      <c r="K699" s="5">
        <v>114417.65</v>
      </c>
      <c r="L699" s="5">
        <v>76706.73</v>
      </c>
      <c r="M699" s="5">
        <v>37710.92</v>
      </c>
      <c r="N699" s="2" t="s">
        <v>26</v>
      </c>
    </row>
    <row r="700" spans="1:14" ht="12" customHeight="1">
      <c r="A700" s="2" t="s">
        <v>795</v>
      </c>
      <c r="B700" s="3">
        <v>45933</v>
      </c>
      <c r="C700" s="2" t="s">
        <v>22</v>
      </c>
      <c r="D700" s="2" t="s">
        <v>23</v>
      </c>
      <c r="E700" s="2" t="s">
        <v>49</v>
      </c>
      <c r="F700" s="2" t="s">
        <v>50</v>
      </c>
      <c r="G700" s="2" t="s">
        <v>47</v>
      </c>
      <c r="H700" s="4">
        <v>4</v>
      </c>
      <c r="I700" s="5">
        <v>4156.8500000000004</v>
      </c>
      <c r="J700" s="6">
        <v>0.15</v>
      </c>
      <c r="K700" s="5">
        <v>14133.29</v>
      </c>
      <c r="L700" s="5">
        <v>8652.6200000000008</v>
      </c>
      <c r="M700" s="5">
        <v>5480.67</v>
      </c>
      <c r="N700" s="2" t="s">
        <v>33</v>
      </c>
    </row>
    <row r="701" spans="1:14" ht="12" customHeight="1">
      <c r="A701" s="2" t="s">
        <v>796</v>
      </c>
      <c r="B701" s="3">
        <v>46017</v>
      </c>
      <c r="C701" s="2" t="s">
        <v>28</v>
      </c>
      <c r="D701" s="2" t="s">
        <v>56</v>
      </c>
      <c r="E701" s="2" t="s">
        <v>44</v>
      </c>
      <c r="F701" s="2" t="s">
        <v>53</v>
      </c>
      <c r="G701" s="2" t="s">
        <v>70</v>
      </c>
      <c r="H701" s="4">
        <v>7</v>
      </c>
      <c r="I701" s="5">
        <v>7849.67</v>
      </c>
      <c r="J701" s="6">
        <v>0</v>
      </c>
      <c r="K701" s="5">
        <v>54947.69</v>
      </c>
      <c r="L701" s="5">
        <v>35437.699999999997</v>
      </c>
      <c r="M701" s="5">
        <v>19509.990000000002</v>
      </c>
      <c r="N701" s="2" t="s">
        <v>20</v>
      </c>
    </row>
    <row r="702" spans="1:14" ht="12" customHeight="1">
      <c r="A702" s="2" t="s">
        <v>797</v>
      </c>
      <c r="B702" s="3">
        <v>45662</v>
      </c>
      <c r="C702" s="2" t="s">
        <v>28</v>
      </c>
      <c r="D702" s="2" t="s">
        <v>52</v>
      </c>
      <c r="E702" s="2" t="s">
        <v>49</v>
      </c>
      <c r="F702" s="2" t="s">
        <v>50</v>
      </c>
      <c r="G702" s="2" t="s">
        <v>19</v>
      </c>
      <c r="H702" s="4">
        <v>4</v>
      </c>
      <c r="I702" s="5">
        <v>4062.13</v>
      </c>
      <c r="J702" s="6">
        <v>0.05</v>
      </c>
      <c r="K702" s="5">
        <v>15436.09</v>
      </c>
      <c r="L702" s="5">
        <v>8177.94</v>
      </c>
      <c r="M702" s="5">
        <v>7258.15</v>
      </c>
      <c r="N702" s="2" t="s">
        <v>20</v>
      </c>
    </row>
    <row r="703" spans="1:14" ht="12" customHeight="1">
      <c r="A703" s="2" t="s">
        <v>798</v>
      </c>
      <c r="B703" s="3">
        <v>45971</v>
      </c>
      <c r="C703" s="2" t="s">
        <v>28</v>
      </c>
      <c r="D703" s="2" t="s">
        <v>56</v>
      </c>
      <c r="E703" s="2" t="s">
        <v>30</v>
      </c>
      <c r="F703" s="2" t="s">
        <v>31</v>
      </c>
      <c r="G703" s="2" t="s">
        <v>70</v>
      </c>
      <c r="H703" s="4">
        <v>8</v>
      </c>
      <c r="I703" s="5">
        <v>132833.1</v>
      </c>
      <c r="J703" s="6">
        <v>0.1</v>
      </c>
      <c r="K703" s="5">
        <v>956398.32</v>
      </c>
      <c r="L703" s="5">
        <v>817189.18</v>
      </c>
      <c r="M703" s="5">
        <v>139209.14000000001</v>
      </c>
      <c r="N703" s="2" t="s">
        <v>26</v>
      </c>
    </row>
    <row r="704" spans="1:14" ht="12" customHeight="1">
      <c r="A704" s="2" t="s">
        <v>799</v>
      </c>
      <c r="B704" s="3">
        <v>45871</v>
      </c>
      <c r="C704" s="2" t="s">
        <v>15</v>
      </c>
      <c r="D704" s="2" t="s">
        <v>16</v>
      </c>
      <c r="E704" s="2" t="s">
        <v>17</v>
      </c>
      <c r="F704" s="2" t="s">
        <v>114</v>
      </c>
      <c r="G704" s="2" t="s">
        <v>70</v>
      </c>
      <c r="H704" s="4">
        <v>6</v>
      </c>
      <c r="I704" s="5">
        <v>52443.09</v>
      </c>
      <c r="J704" s="6">
        <v>0.05</v>
      </c>
      <c r="K704" s="5">
        <v>298925.61</v>
      </c>
      <c r="L704" s="5">
        <v>226117.81</v>
      </c>
      <c r="M704" s="5">
        <v>72807.8</v>
      </c>
      <c r="N704" s="2" t="s">
        <v>33</v>
      </c>
    </row>
    <row r="705" spans="1:14" ht="12" customHeight="1">
      <c r="A705" s="2" t="s">
        <v>800</v>
      </c>
      <c r="B705" s="3">
        <v>45898</v>
      </c>
      <c r="C705" s="2" t="s">
        <v>28</v>
      </c>
      <c r="D705" s="2" t="s">
        <v>29</v>
      </c>
      <c r="E705" s="2" t="s">
        <v>30</v>
      </c>
      <c r="F705" s="2" t="s">
        <v>40</v>
      </c>
      <c r="G705" s="2" t="s">
        <v>32</v>
      </c>
      <c r="H705" s="4">
        <v>7</v>
      </c>
      <c r="I705" s="5">
        <v>22621.56</v>
      </c>
      <c r="J705" s="6">
        <v>0.05</v>
      </c>
      <c r="K705" s="5">
        <v>150433.37</v>
      </c>
      <c r="L705" s="5">
        <v>112904.31</v>
      </c>
      <c r="M705" s="5">
        <v>37529.06</v>
      </c>
      <c r="N705" s="2" t="s">
        <v>20</v>
      </c>
    </row>
    <row r="706" spans="1:14" ht="12" customHeight="1">
      <c r="A706" s="2" t="s">
        <v>801</v>
      </c>
      <c r="B706" s="3">
        <v>45857</v>
      </c>
      <c r="C706" s="2" t="s">
        <v>22</v>
      </c>
      <c r="D706" s="2" t="s">
        <v>37</v>
      </c>
      <c r="E706" s="2" t="s">
        <v>44</v>
      </c>
      <c r="F706" s="2" t="s">
        <v>69</v>
      </c>
      <c r="G706" s="2" t="s">
        <v>25</v>
      </c>
      <c r="H706" s="4">
        <v>8</v>
      </c>
      <c r="I706" s="5">
        <v>35757.440000000002</v>
      </c>
      <c r="J706" s="6">
        <v>0.05</v>
      </c>
      <c r="K706" s="5">
        <v>271756.53999999998</v>
      </c>
      <c r="L706" s="5">
        <v>212286.81</v>
      </c>
      <c r="M706" s="5">
        <v>59469.73</v>
      </c>
      <c r="N706" s="2" t="s">
        <v>59</v>
      </c>
    </row>
    <row r="707" spans="1:14" ht="12" customHeight="1">
      <c r="A707" s="2" t="s">
        <v>802</v>
      </c>
      <c r="B707" s="3">
        <v>45738</v>
      </c>
      <c r="C707" s="2" t="s">
        <v>28</v>
      </c>
      <c r="D707" s="2" t="s">
        <v>52</v>
      </c>
      <c r="E707" s="2" t="s">
        <v>44</v>
      </c>
      <c r="F707" s="2" t="s">
        <v>69</v>
      </c>
      <c r="G707" s="2" t="s">
        <v>70</v>
      </c>
      <c r="H707" s="4">
        <v>2</v>
      </c>
      <c r="I707" s="5">
        <v>39015.699999999997</v>
      </c>
      <c r="J707" s="6">
        <v>0</v>
      </c>
      <c r="K707" s="5">
        <v>78031.399999999994</v>
      </c>
      <c r="L707" s="5">
        <v>51070.78</v>
      </c>
      <c r="M707" s="5">
        <v>26960.62</v>
      </c>
      <c r="N707" s="2" t="s">
        <v>33</v>
      </c>
    </row>
    <row r="708" spans="1:14" ht="12" customHeight="1">
      <c r="A708" s="2" t="s">
        <v>803</v>
      </c>
      <c r="B708" s="3">
        <v>45791</v>
      </c>
      <c r="C708" s="2" t="s">
        <v>28</v>
      </c>
      <c r="D708" s="2" t="s">
        <v>56</v>
      </c>
      <c r="E708" s="2" t="s">
        <v>30</v>
      </c>
      <c r="F708" s="2" t="s">
        <v>86</v>
      </c>
      <c r="G708" s="2" t="s">
        <v>32</v>
      </c>
      <c r="H708" s="4">
        <v>4</v>
      </c>
      <c r="I708" s="5">
        <v>33300.07</v>
      </c>
      <c r="J708" s="6">
        <v>0</v>
      </c>
      <c r="K708" s="5">
        <v>133200.28</v>
      </c>
      <c r="L708" s="5">
        <v>89560.36</v>
      </c>
      <c r="M708" s="5">
        <v>43639.92</v>
      </c>
      <c r="N708" s="2" t="s">
        <v>26</v>
      </c>
    </row>
    <row r="709" spans="1:14" ht="12" customHeight="1">
      <c r="A709" s="2" t="s">
        <v>804</v>
      </c>
      <c r="B709" s="3">
        <v>45945</v>
      </c>
      <c r="C709" s="2" t="s">
        <v>22</v>
      </c>
      <c r="D709" s="2" t="s">
        <v>37</v>
      </c>
      <c r="E709" s="2" t="s">
        <v>17</v>
      </c>
      <c r="F709" s="2" t="s">
        <v>75</v>
      </c>
      <c r="G709" s="2" t="s">
        <v>47</v>
      </c>
      <c r="H709" s="4">
        <v>6</v>
      </c>
      <c r="I709" s="5">
        <v>182946.37</v>
      </c>
      <c r="J709" s="6">
        <v>0.1</v>
      </c>
      <c r="K709" s="5">
        <v>987910.4</v>
      </c>
      <c r="L709" s="5">
        <v>839959.81</v>
      </c>
      <c r="M709" s="5">
        <v>147950.59</v>
      </c>
      <c r="N709" s="2" t="s">
        <v>20</v>
      </c>
    </row>
    <row r="710" spans="1:14" ht="12" customHeight="1">
      <c r="A710" s="2" t="s">
        <v>805</v>
      </c>
      <c r="B710" s="3">
        <v>45967</v>
      </c>
      <c r="C710" s="2" t="s">
        <v>28</v>
      </c>
      <c r="D710" s="2" t="s">
        <v>56</v>
      </c>
      <c r="E710" s="2" t="s">
        <v>30</v>
      </c>
      <c r="F710" s="2" t="s">
        <v>31</v>
      </c>
      <c r="G710" s="2" t="s">
        <v>19</v>
      </c>
      <c r="H710" s="4">
        <v>5</v>
      </c>
      <c r="I710" s="5">
        <v>143560.46</v>
      </c>
      <c r="J710" s="6">
        <v>0.15</v>
      </c>
      <c r="K710" s="5">
        <v>610131.94999999995</v>
      </c>
      <c r="L710" s="5">
        <v>520735.14</v>
      </c>
      <c r="M710" s="5">
        <v>89396.81</v>
      </c>
      <c r="N710" s="2" t="s">
        <v>33</v>
      </c>
    </row>
    <row r="711" spans="1:14" ht="12" customHeight="1">
      <c r="A711" s="2" t="s">
        <v>806</v>
      </c>
      <c r="B711" s="3">
        <v>45743</v>
      </c>
      <c r="C711" s="2" t="s">
        <v>28</v>
      </c>
      <c r="D711" s="2" t="s">
        <v>56</v>
      </c>
      <c r="E711" s="2" t="s">
        <v>17</v>
      </c>
      <c r="F711" s="2" t="s">
        <v>75</v>
      </c>
      <c r="G711" s="2" t="s">
        <v>19</v>
      </c>
      <c r="H711" s="4">
        <v>2</v>
      </c>
      <c r="I711" s="5">
        <v>194578.86</v>
      </c>
      <c r="J711" s="6">
        <v>0</v>
      </c>
      <c r="K711" s="5">
        <v>389157.72</v>
      </c>
      <c r="L711" s="5">
        <v>285565.24</v>
      </c>
      <c r="M711" s="5">
        <v>103592.48</v>
      </c>
      <c r="N711" s="2" t="s">
        <v>26</v>
      </c>
    </row>
    <row r="712" spans="1:14" ht="12" customHeight="1">
      <c r="A712" s="2" t="s">
        <v>807</v>
      </c>
      <c r="B712" s="3">
        <v>45844</v>
      </c>
      <c r="C712" s="2" t="s">
        <v>28</v>
      </c>
      <c r="D712" s="2" t="s">
        <v>52</v>
      </c>
      <c r="E712" s="2" t="s">
        <v>30</v>
      </c>
      <c r="F712" s="2" t="s">
        <v>40</v>
      </c>
      <c r="G712" s="2" t="s">
        <v>32</v>
      </c>
      <c r="H712" s="4">
        <v>8</v>
      </c>
      <c r="I712" s="5">
        <v>25411.599999999999</v>
      </c>
      <c r="J712" s="6">
        <v>0</v>
      </c>
      <c r="K712" s="5">
        <v>203292.79999999999</v>
      </c>
      <c r="L712" s="5">
        <v>123973.21</v>
      </c>
      <c r="M712" s="5">
        <v>79319.59</v>
      </c>
      <c r="N712" s="2" t="s">
        <v>26</v>
      </c>
    </row>
    <row r="713" spans="1:14" ht="12" customHeight="1">
      <c r="A713" s="2" t="s">
        <v>808</v>
      </c>
      <c r="B713" s="3">
        <v>45916</v>
      </c>
      <c r="C713" s="2" t="s">
        <v>22</v>
      </c>
      <c r="D713" s="2" t="s">
        <v>23</v>
      </c>
      <c r="E713" s="2" t="s">
        <v>49</v>
      </c>
      <c r="F713" s="2" t="s">
        <v>107</v>
      </c>
      <c r="G713" s="2" t="s">
        <v>61</v>
      </c>
      <c r="H713" s="4">
        <v>1</v>
      </c>
      <c r="I713" s="5">
        <v>4988.1000000000004</v>
      </c>
      <c r="J713" s="6">
        <v>0.05</v>
      </c>
      <c r="K713" s="5">
        <v>4738.6899999999996</v>
      </c>
      <c r="L713" s="5">
        <v>2683.51</v>
      </c>
      <c r="M713" s="5">
        <v>2055.1799999999998</v>
      </c>
      <c r="N713" s="2" t="s">
        <v>33</v>
      </c>
    </row>
    <row r="714" spans="1:14" ht="12" customHeight="1">
      <c r="A714" s="2" t="s">
        <v>809</v>
      </c>
      <c r="B714" s="3">
        <v>45774</v>
      </c>
      <c r="C714" s="2" t="s">
        <v>28</v>
      </c>
      <c r="D714" s="2" t="s">
        <v>56</v>
      </c>
      <c r="E714" s="2" t="s">
        <v>49</v>
      </c>
      <c r="F714" s="2" t="s">
        <v>57</v>
      </c>
      <c r="G714" s="2" t="s">
        <v>61</v>
      </c>
      <c r="H714" s="4">
        <v>4</v>
      </c>
      <c r="I714" s="5">
        <v>10858.96</v>
      </c>
      <c r="J714" s="6">
        <v>0.1</v>
      </c>
      <c r="K714" s="5">
        <v>39092.26</v>
      </c>
      <c r="L714" s="5">
        <v>25987.53</v>
      </c>
      <c r="M714" s="5">
        <v>13104.73</v>
      </c>
      <c r="N714" s="2" t="s">
        <v>20</v>
      </c>
    </row>
    <row r="715" spans="1:14" ht="12" customHeight="1">
      <c r="A715" s="2" t="s">
        <v>810</v>
      </c>
      <c r="B715" s="3">
        <v>45922</v>
      </c>
      <c r="C715" s="2" t="s">
        <v>28</v>
      </c>
      <c r="D715" s="2" t="s">
        <v>56</v>
      </c>
      <c r="E715" s="2" t="s">
        <v>49</v>
      </c>
      <c r="F715" s="2" t="s">
        <v>57</v>
      </c>
      <c r="G715" s="2" t="s">
        <v>19</v>
      </c>
      <c r="H715" s="4">
        <v>1</v>
      </c>
      <c r="I715" s="5">
        <v>11394.34</v>
      </c>
      <c r="J715" s="6">
        <v>0</v>
      </c>
      <c r="K715" s="5">
        <v>11394.34</v>
      </c>
      <c r="L715" s="5">
        <v>6631.52</v>
      </c>
      <c r="M715" s="5">
        <v>4762.82</v>
      </c>
      <c r="N715" s="2" t="s">
        <v>33</v>
      </c>
    </row>
    <row r="716" spans="1:14" ht="12" customHeight="1">
      <c r="A716" s="2" t="s">
        <v>811</v>
      </c>
      <c r="B716" s="3">
        <v>45986</v>
      </c>
      <c r="C716" s="2" t="s">
        <v>28</v>
      </c>
      <c r="D716" s="2" t="s">
        <v>56</v>
      </c>
      <c r="E716" s="2" t="s">
        <v>49</v>
      </c>
      <c r="F716" s="2" t="s">
        <v>50</v>
      </c>
      <c r="G716" s="2" t="s">
        <v>61</v>
      </c>
      <c r="H716" s="4">
        <v>7</v>
      </c>
      <c r="I716" s="5">
        <v>3905.31</v>
      </c>
      <c r="J716" s="6">
        <v>0</v>
      </c>
      <c r="K716" s="5">
        <v>27337.17</v>
      </c>
      <c r="L716" s="5">
        <v>14938.32</v>
      </c>
      <c r="M716" s="5">
        <v>12398.85</v>
      </c>
      <c r="N716" s="2" t="s">
        <v>33</v>
      </c>
    </row>
    <row r="717" spans="1:14" ht="12" customHeight="1">
      <c r="A717" s="2" t="s">
        <v>812</v>
      </c>
      <c r="B717" s="3">
        <v>45813</v>
      </c>
      <c r="C717" s="2" t="s">
        <v>15</v>
      </c>
      <c r="D717" s="2" t="s">
        <v>43</v>
      </c>
      <c r="E717" s="2" t="s">
        <v>30</v>
      </c>
      <c r="F717" s="2" t="s">
        <v>40</v>
      </c>
      <c r="G717" s="2" t="s">
        <v>32</v>
      </c>
      <c r="H717" s="4">
        <v>7</v>
      </c>
      <c r="I717" s="5">
        <v>26012.27</v>
      </c>
      <c r="J717" s="6">
        <v>0.15</v>
      </c>
      <c r="K717" s="5">
        <v>154773.01</v>
      </c>
      <c r="L717" s="5">
        <v>111568.05</v>
      </c>
      <c r="M717" s="5">
        <v>43204.959999999999</v>
      </c>
      <c r="N717" s="2" t="s">
        <v>59</v>
      </c>
    </row>
    <row r="718" spans="1:14" ht="12" customHeight="1">
      <c r="A718" s="2" t="s">
        <v>813</v>
      </c>
      <c r="B718" s="3">
        <v>45974</v>
      </c>
      <c r="C718" s="2" t="s">
        <v>22</v>
      </c>
      <c r="D718" s="2" t="s">
        <v>35</v>
      </c>
      <c r="E718" s="2" t="s">
        <v>44</v>
      </c>
      <c r="F718" s="2" t="s">
        <v>53</v>
      </c>
      <c r="G718" s="2" t="s">
        <v>70</v>
      </c>
      <c r="H718" s="4">
        <v>8</v>
      </c>
      <c r="I718" s="5">
        <v>8695.68</v>
      </c>
      <c r="J718" s="6">
        <v>0.1</v>
      </c>
      <c r="K718" s="5">
        <v>62608.9</v>
      </c>
      <c r="L718" s="5">
        <v>39737.24</v>
      </c>
      <c r="M718" s="5">
        <v>22871.66</v>
      </c>
      <c r="N718" s="2" t="s">
        <v>59</v>
      </c>
    </row>
    <row r="719" spans="1:14" ht="12" customHeight="1">
      <c r="A719" s="2" t="s">
        <v>814</v>
      </c>
      <c r="B719" s="3">
        <v>45722</v>
      </c>
      <c r="C719" s="2" t="s">
        <v>15</v>
      </c>
      <c r="D719" s="2" t="s">
        <v>63</v>
      </c>
      <c r="E719" s="2" t="s">
        <v>44</v>
      </c>
      <c r="F719" s="2" t="s">
        <v>69</v>
      </c>
      <c r="G719" s="2" t="s">
        <v>58</v>
      </c>
      <c r="H719" s="4">
        <v>2</v>
      </c>
      <c r="I719" s="5">
        <v>35184.78</v>
      </c>
      <c r="J719" s="6">
        <v>0.05</v>
      </c>
      <c r="K719" s="5">
        <v>66851.08</v>
      </c>
      <c r="L719" s="5">
        <v>51859.58</v>
      </c>
      <c r="M719" s="5">
        <v>14991.5</v>
      </c>
      <c r="N719" s="2" t="s">
        <v>26</v>
      </c>
    </row>
    <row r="720" spans="1:14" ht="12" customHeight="1">
      <c r="A720" s="2" t="s">
        <v>815</v>
      </c>
      <c r="B720" s="3">
        <v>45781</v>
      </c>
      <c r="C720" s="2" t="s">
        <v>22</v>
      </c>
      <c r="D720" s="2" t="s">
        <v>37</v>
      </c>
      <c r="E720" s="2" t="s">
        <v>30</v>
      </c>
      <c r="F720" s="2" t="s">
        <v>38</v>
      </c>
      <c r="G720" s="2" t="s">
        <v>58</v>
      </c>
      <c r="H720" s="4">
        <v>3</v>
      </c>
      <c r="I720" s="5">
        <v>24941.18</v>
      </c>
      <c r="J720" s="6">
        <v>0.1</v>
      </c>
      <c r="K720" s="5">
        <v>67341.19</v>
      </c>
      <c r="L720" s="5">
        <v>54619.66</v>
      </c>
      <c r="M720" s="5">
        <v>12721.53</v>
      </c>
      <c r="N720" s="2" t="s">
        <v>20</v>
      </c>
    </row>
    <row r="721" spans="1:14" ht="12" customHeight="1">
      <c r="A721" s="2" t="s">
        <v>816</v>
      </c>
      <c r="B721" s="3">
        <v>45991</v>
      </c>
      <c r="C721" s="2" t="s">
        <v>15</v>
      </c>
      <c r="D721" s="2" t="s">
        <v>16</v>
      </c>
      <c r="E721" s="2" t="s">
        <v>17</v>
      </c>
      <c r="F721" s="2" t="s">
        <v>18</v>
      </c>
      <c r="G721" s="2" t="s">
        <v>19</v>
      </c>
      <c r="H721" s="4">
        <v>5</v>
      </c>
      <c r="I721" s="5">
        <v>14794.62</v>
      </c>
      <c r="J721" s="6">
        <v>0.05</v>
      </c>
      <c r="K721" s="5">
        <v>70274.45</v>
      </c>
      <c r="L721" s="5">
        <v>40125.339999999997</v>
      </c>
      <c r="M721" s="5">
        <v>30149.11</v>
      </c>
      <c r="N721" s="2" t="s">
        <v>20</v>
      </c>
    </row>
    <row r="722" spans="1:14" ht="12" customHeight="1">
      <c r="A722" s="2" t="s">
        <v>817</v>
      </c>
      <c r="B722" s="3">
        <v>45947</v>
      </c>
      <c r="C722" s="2" t="s">
        <v>28</v>
      </c>
      <c r="D722" s="2" t="s">
        <v>29</v>
      </c>
      <c r="E722" s="2" t="s">
        <v>17</v>
      </c>
      <c r="F722" s="2" t="s">
        <v>114</v>
      </c>
      <c r="G722" s="2" t="s">
        <v>47</v>
      </c>
      <c r="H722" s="4">
        <v>6</v>
      </c>
      <c r="I722" s="5">
        <v>56018.15</v>
      </c>
      <c r="J722" s="6">
        <v>0.15</v>
      </c>
      <c r="K722" s="5">
        <v>285692.57</v>
      </c>
      <c r="L722" s="5">
        <v>227591.37</v>
      </c>
      <c r="M722" s="5">
        <v>58101.2</v>
      </c>
      <c r="N722" s="2" t="s">
        <v>59</v>
      </c>
    </row>
    <row r="723" spans="1:14" ht="12" customHeight="1">
      <c r="A723" s="2" t="s">
        <v>818</v>
      </c>
      <c r="B723" s="3">
        <v>45842</v>
      </c>
      <c r="C723" s="2" t="s">
        <v>28</v>
      </c>
      <c r="D723" s="2" t="s">
        <v>56</v>
      </c>
      <c r="E723" s="2" t="s">
        <v>44</v>
      </c>
      <c r="F723" s="2" t="s">
        <v>53</v>
      </c>
      <c r="G723" s="2" t="s">
        <v>70</v>
      </c>
      <c r="H723" s="4">
        <v>4</v>
      </c>
      <c r="I723" s="5">
        <v>7963.11</v>
      </c>
      <c r="J723" s="6">
        <v>0.1</v>
      </c>
      <c r="K723" s="5">
        <v>28667.200000000001</v>
      </c>
      <c r="L723" s="5">
        <v>19811.009999999998</v>
      </c>
      <c r="M723" s="5">
        <v>8856.19</v>
      </c>
      <c r="N723" s="2" t="s">
        <v>33</v>
      </c>
    </row>
    <row r="724" spans="1:14" ht="12" customHeight="1">
      <c r="A724" s="2" t="s">
        <v>819</v>
      </c>
      <c r="B724" s="3">
        <v>45901</v>
      </c>
      <c r="C724" s="2" t="s">
        <v>22</v>
      </c>
      <c r="D724" s="2" t="s">
        <v>37</v>
      </c>
      <c r="E724" s="2" t="s">
        <v>49</v>
      </c>
      <c r="F724" s="2" t="s">
        <v>107</v>
      </c>
      <c r="G724" s="2" t="s">
        <v>47</v>
      </c>
      <c r="H724" s="4">
        <v>2</v>
      </c>
      <c r="I724" s="5">
        <v>4860.75</v>
      </c>
      <c r="J724" s="6">
        <v>0.05</v>
      </c>
      <c r="K724" s="5">
        <v>9235.42</v>
      </c>
      <c r="L724" s="5">
        <v>5573.86</v>
      </c>
      <c r="M724" s="5">
        <v>3661.56</v>
      </c>
      <c r="N724" s="2" t="s">
        <v>20</v>
      </c>
    </row>
    <row r="725" spans="1:14" ht="12" customHeight="1">
      <c r="A725" s="2" t="s">
        <v>820</v>
      </c>
      <c r="B725" s="3">
        <v>45883</v>
      </c>
      <c r="C725" s="2" t="s">
        <v>22</v>
      </c>
      <c r="D725" s="2" t="s">
        <v>35</v>
      </c>
      <c r="E725" s="2" t="s">
        <v>49</v>
      </c>
      <c r="F725" s="2" t="s">
        <v>107</v>
      </c>
      <c r="G725" s="2" t="s">
        <v>70</v>
      </c>
      <c r="H725" s="4">
        <v>5</v>
      </c>
      <c r="I725" s="5">
        <v>5270.14</v>
      </c>
      <c r="J725" s="6">
        <v>0.15</v>
      </c>
      <c r="K725" s="5">
        <v>22398.1</v>
      </c>
      <c r="L725" s="5">
        <v>13495.13</v>
      </c>
      <c r="M725" s="5">
        <v>8902.9699999999993</v>
      </c>
      <c r="N725" s="2" t="s">
        <v>20</v>
      </c>
    </row>
    <row r="726" spans="1:14" ht="12" customHeight="1">
      <c r="A726" s="2" t="s">
        <v>821</v>
      </c>
      <c r="B726" s="3">
        <v>45928</v>
      </c>
      <c r="C726" s="2" t="s">
        <v>22</v>
      </c>
      <c r="D726" s="2" t="s">
        <v>23</v>
      </c>
      <c r="E726" s="2" t="s">
        <v>44</v>
      </c>
      <c r="F726" s="2" t="s">
        <v>53</v>
      </c>
      <c r="G726" s="2" t="s">
        <v>19</v>
      </c>
      <c r="H726" s="4">
        <v>8</v>
      </c>
      <c r="I726" s="5">
        <v>7995.96</v>
      </c>
      <c r="J726" s="6">
        <v>0.15</v>
      </c>
      <c r="K726" s="5">
        <v>54372.53</v>
      </c>
      <c r="L726" s="5">
        <v>39432.18</v>
      </c>
      <c r="M726" s="5">
        <v>14940.35</v>
      </c>
      <c r="N726" s="2" t="s">
        <v>26</v>
      </c>
    </row>
    <row r="727" spans="1:14" ht="12" customHeight="1">
      <c r="A727" s="2" t="s">
        <v>822</v>
      </c>
      <c r="B727" s="3">
        <v>45867</v>
      </c>
      <c r="C727" s="2" t="s">
        <v>28</v>
      </c>
      <c r="D727" s="2" t="s">
        <v>56</v>
      </c>
      <c r="E727" s="2" t="s">
        <v>17</v>
      </c>
      <c r="F727" s="2" t="s">
        <v>24</v>
      </c>
      <c r="G727" s="2" t="s">
        <v>19</v>
      </c>
      <c r="H727" s="4">
        <v>6</v>
      </c>
      <c r="I727" s="5">
        <v>98207.39</v>
      </c>
      <c r="J727" s="6">
        <v>0</v>
      </c>
      <c r="K727" s="5">
        <v>589244.34</v>
      </c>
      <c r="L727" s="5">
        <v>412941.7</v>
      </c>
      <c r="M727" s="5">
        <v>176302.64</v>
      </c>
      <c r="N727" s="2" t="s">
        <v>33</v>
      </c>
    </row>
    <row r="728" spans="1:14" ht="12" customHeight="1">
      <c r="A728" s="2" t="s">
        <v>823</v>
      </c>
      <c r="B728" s="3">
        <v>45813</v>
      </c>
      <c r="C728" s="2" t="s">
        <v>28</v>
      </c>
      <c r="D728" s="2" t="s">
        <v>29</v>
      </c>
      <c r="E728" s="2" t="s">
        <v>30</v>
      </c>
      <c r="F728" s="2" t="s">
        <v>31</v>
      </c>
      <c r="G728" s="2" t="s">
        <v>58</v>
      </c>
      <c r="H728" s="4">
        <v>3</v>
      </c>
      <c r="I728" s="5">
        <v>126743.23</v>
      </c>
      <c r="J728" s="6">
        <v>0.05</v>
      </c>
      <c r="K728" s="5">
        <v>361218.21</v>
      </c>
      <c r="L728" s="5">
        <v>314929.53999999998</v>
      </c>
      <c r="M728" s="5">
        <v>46288.67</v>
      </c>
      <c r="N728" s="2" t="s">
        <v>20</v>
      </c>
    </row>
    <row r="729" spans="1:14" ht="12" customHeight="1">
      <c r="A729" s="2" t="s">
        <v>824</v>
      </c>
      <c r="B729" s="3">
        <v>45768</v>
      </c>
      <c r="C729" s="2" t="s">
        <v>22</v>
      </c>
      <c r="D729" s="2" t="s">
        <v>23</v>
      </c>
      <c r="E729" s="2" t="s">
        <v>44</v>
      </c>
      <c r="F729" s="2" t="s">
        <v>53</v>
      </c>
      <c r="G729" s="2" t="s">
        <v>61</v>
      </c>
      <c r="H729" s="4">
        <v>1</v>
      </c>
      <c r="I729" s="5">
        <v>9094.08</v>
      </c>
      <c r="J729" s="6">
        <v>0.05</v>
      </c>
      <c r="K729" s="5">
        <v>8639.3799999999992</v>
      </c>
      <c r="L729" s="5">
        <v>5057.95</v>
      </c>
      <c r="M729" s="5">
        <v>3581.43</v>
      </c>
      <c r="N729" s="2"/>
    </row>
    <row r="730" spans="1:14" ht="12" customHeight="1">
      <c r="A730" s="2" t="s">
        <v>825</v>
      </c>
      <c r="B730" s="3">
        <v>45889</v>
      </c>
      <c r="C730" s="2" t="s">
        <v>22</v>
      </c>
      <c r="D730" s="2" t="s">
        <v>23</v>
      </c>
      <c r="E730" s="2" t="s">
        <v>30</v>
      </c>
      <c r="F730" s="2" t="s">
        <v>31</v>
      </c>
      <c r="G730" s="2" t="s">
        <v>32</v>
      </c>
      <c r="H730" s="4">
        <v>1</v>
      </c>
      <c r="I730" s="5">
        <v>133219.62</v>
      </c>
      <c r="J730" s="6">
        <v>0.1</v>
      </c>
      <c r="K730" s="5">
        <v>119897.66</v>
      </c>
      <c r="L730" s="5">
        <v>100159.59</v>
      </c>
      <c r="M730" s="5">
        <v>19738.07</v>
      </c>
      <c r="N730" s="2" t="s">
        <v>20</v>
      </c>
    </row>
    <row r="731" spans="1:14" ht="12" customHeight="1">
      <c r="A731" s="2" t="s">
        <v>826</v>
      </c>
      <c r="B731" s="3">
        <v>45824</v>
      </c>
      <c r="C731" s="2" t="s">
        <v>28</v>
      </c>
      <c r="D731" s="2" t="s">
        <v>29</v>
      </c>
      <c r="E731" s="2" t="s">
        <v>44</v>
      </c>
      <c r="F731" s="2" t="s">
        <v>45</v>
      </c>
      <c r="G731" s="2" t="s">
        <v>19</v>
      </c>
      <c r="H731" s="4">
        <v>8</v>
      </c>
      <c r="I731" s="5">
        <v>29693.26</v>
      </c>
      <c r="J731" s="6">
        <v>0.15</v>
      </c>
      <c r="K731" s="5">
        <v>201914.17</v>
      </c>
      <c r="L731" s="5">
        <v>152218.16</v>
      </c>
      <c r="M731" s="5">
        <v>49696.01</v>
      </c>
      <c r="N731" s="2" t="s">
        <v>20</v>
      </c>
    </row>
    <row r="732" spans="1:14" ht="12" customHeight="1">
      <c r="A732" s="2" t="s">
        <v>827</v>
      </c>
      <c r="B732" s="3">
        <v>45988</v>
      </c>
      <c r="C732" s="2" t="s">
        <v>28</v>
      </c>
      <c r="D732" s="2" t="s">
        <v>52</v>
      </c>
      <c r="E732" s="2" t="s">
        <v>49</v>
      </c>
      <c r="F732" s="2" t="s">
        <v>57</v>
      </c>
      <c r="G732" s="2" t="s">
        <v>19</v>
      </c>
      <c r="H732" s="4">
        <v>1</v>
      </c>
      <c r="I732" s="5">
        <v>12342.87</v>
      </c>
      <c r="J732" s="6">
        <v>0.05</v>
      </c>
      <c r="K732" s="5">
        <v>11725.73</v>
      </c>
      <c r="L732" s="5">
        <v>6639.84</v>
      </c>
      <c r="M732" s="5">
        <v>5085.8900000000003</v>
      </c>
      <c r="N732" s="2" t="s">
        <v>26</v>
      </c>
    </row>
    <row r="733" spans="1:14" ht="12" customHeight="1">
      <c r="A733" s="2" t="s">
        <v>828</v>
      </c>
      <c r="B733" s="3">
        <v>45685</v>
      </c>
      <c r="C733" s="2" t="s">
        <v>15</v>
      </c>
      <c r="D733" s="2" t="s">
        <v>16</v>
      </c>
      <c r="E733" s="2" t="s">
        <v>30</v>
      </c>
      <c r="F733" s="2" t="s">
        <v>31</v>
      </c>
      <c r="G733" s="2" t="s">
        <v>47</v>
      </c>
      <c r="H733" s="4">
        <v>2</v>
      </c>
      <c r="I733" s="5">
        <v>128356.42</v>
      </c>
      <c r="J733" s="6">
        <v>0.1</v>
      </c>
      <c r="K733" s="5">
        <v>231041.56</v>
      </c>
      <c r="L733" s="5">
        <v>203601.54</v>
      </c>
      <c r="M733" s="5">
        <v>27440.02</v>
      </c>
      <c r="N733" s="2" t="s">
        <v>20</v>
      </c>
    </row>
    <row r="734" spans="1:14" ht="12" customHeight="1">
      <c r="A734" s="2" t="s">
        <v>829</v>
      </c>
      <c r="B734" s="3">
        <v>46019</v>
      </c>
      <c r="C734" s="2" t="s">
        <v>15</v>
      </c>
      <c r="D734" s="2" t="s">
        <v>16</v>
      </c>
      <c r="E734" s="2" t="s">
        <v>17</v>
      </c>
      <c r="F734" s="2" t="s">
        <v>24</v>
      </c>
      <c r="G734" s="2" t="s">
        <v>70</v>
      </c>
      <c r="H734" s="4">
        <v>1</v>
      </c>
      <c r="I734" s="5">
        <v>88687.45</v>
      </c>
      <c r="J734" s="6">
        <v>0</v>
      </c>
      <c r="K734" s="5">
        <v>88687.45</v>
      </c>
      <c r="L734" s="5">
        <v>67127.56</v>
      </c>
      <c r="M734" s="5">
        <v>21559.89</v>
      </c>
      <c r="N734" s="2" t="s">
        <v>33</v>
      </c>
    </row>
    <row r="735" spans="1:14" ht="12" customHeight="1">
      <c r="A735" s="2" t="s">
        <v>830</v>
      </c>
      <c r="B735" s="3">
        <v>45750</v>
      </c>
      <c r="C735" s="2" t="s">
        <v>15</v>
      </c>
      <c r="D735" s="2" t="s">
        <v>43</v>
      </c>
      <c r="E735" s="2" t="s">
        <v>30</v>
      </c>
      <c r="F735" s="2" t="s">
        <v>40</v>
      </c>
      <c r="G735" s="2" t="s">
        <v>25</v>
      </c>
      <c r="H735" s="4">
        <v>1</v>
      </c>
      <c r="I735" s="5">
        <v>24466.57</v>
      </c>
      <c r="J735" s="6">
        <v>0</v>
      </c>
      <c r="K735" s="5">
        <v>24466.57</v>
      </c>
      <c r="L735" s="5">
        <v>15701.99</v>
      </c>
      <c r="M735" s="5">
        <v>8764.58</v>
      </c>
      <c r="N735" s="2" t="s">
        <v>33</v>
      </c>
    </row>
    <row r="736" spans="1:14" ht="12" customHeight="1">
      <c r="A736" s="2" t="s">
        <v>831</v>
      </c>
      <c r="B736" s="3">
        <v>45804</v>
      </c>
      <c r="C736" s="2" t="s">
        <v>15</v>
      </c>
      <c r="D736" s="2" t="s">
        <v>63</v>
      </c>
      <c r="E736" s="2" t="s">
        <v>49</v>
      </c>
      <c r="F736" s="2" t="s">
        <v>57</v>
      </c>
      <c r="G736" s="2" t="s">
        <v>61</v>
      </c>
      <c r="H736" s="4">
        <v>2</v>
      </c>
      <c r="I736" s="5">
        <v>10790.95</v>
      </c>
      <c r="J736" s="6">
        <v>0</v>
      </c>
      <c r="K736" s="5">
        <v>21581.9</v>
      </c>
      <c r="L736" s="5">
        <v>13103.02</v>
      </c>
      <c r="M736" s="5">
        <v>8478.8799999999992</v>
      </c>
      <c r="N736" s="2" t="s">
        <v>26</v>
      </c>
    </row>
    <row r="737" spans="1:14" ht="12" customHeight="1">
      <c r="A737" s="2" t="s">
        <v>832</v>
      </c>
      <c r="B737" s="3">
        <v>45824</v>
      </c>
      <c r="C737" s="2" t="s">
        <v>28</v>
      </c>
      <c r="D737" s="2" t="s">
        <v>52</v>
      </c>
      <c r="E737" s="2" t="s">
        <v>44</v>
      </c>
      <c r="F737" s="2" t="s">
        <v>69</v>
      </c>
      <c r="G737" s="2" t="s">
        <v>61</v>
      </c>
      <c r="H737" s="4">
        <v>7</v>
      </c>
      <c r="I737" s="5">
        <v>39085.94</v>
      </c>
      <c r="J737" s="6">
        <v>0</v>
      </c>
      <c r="K737" s="5">
        <v>273601.58</v>
      </c>
      <c r="L737" s="5">
        <v>184368.42</v>
      </c>
      <c r="M737" s="5">
        <v>89233.16</v>
      </c>
      <c r="N737" s="2" t="s">
        <v>33</v>
      </c>
    </row>
    <row r="738" spans="1:14" ht="12" customHeight="1">
      <c r="A738" s="2" t="s">
        <v>833</v>
      </c>
      <c r="B738" s="3">
        <v>45790</v>
      </c>
      <c r="C738" s="2" t="s">
        <v>15</v>
      </c>
      <c r="D738" s="2" t="s">
        <v>16</v>
      </c>
      <c r="E738" s="2" t="s">
        <v>30</v>
      </c>
      <c r="F738" s="2" t="s">
        <v>40</v>
      </c>
      <c r="G738" s="2" t="s">
        <v>25</v>
      </c>
      <c r="H738" s="4">
        <v>2</v>
      </c>
      <c r="I738" s="5">
        <v>23794.560000000001</v>
      </c>
      <c r="J738" s="6">
        <v>0.05</v>
      </c>
      <c r="K738" s="5">
        <v>45209.66</v>
      </c>
      <c r="L738" s="5">
        <v>32627.34</v>
      </c>
      <c r="M738" s="5">
        <v>12582.32</v>
      </c>
      <c r="N738" s="2" t="s">
        <v>33</v>
      </c>
    </row>
    <row r="739" spans="1:14" ht="12" customHeight="1">
      <c r="A739" s="2" t="s">
        <v>834</v>
      </c>
      <c r="B739" s="3">
        <v>45716</v>
      </c>
      <c r="C739" s="2" t="s">
        <v>22</v>
      </c>
      <c r="D739" s="2" t="s">
        <v>23</v>
      </c>
      <c r="E739" s="2" t="s">
        <v>44</v>
      </c>
      <c r="F739" s="2" t="s">
        <v>45</v>
      </c>
      <c r="G739" s="2" t="s">
        <v>58</v>
      </c>
      <c r="H739" s="4">
        <v>8</v>
      </c>
      <c r="I739" s="5">
        <v>28539.31</v>
      </c>
      <c r="J739" s="6">
        <v>0.1</v>
      </c>
      <c r="K739" s="5">
        <v>205483.03</v>
      </c>
      <c r="L739" s="5">
        <v>151536.92000000001</v>
      </c>
      <c r="M739" s="5">
        <v>53946.11</v>
      </c>
      <c r="N739" s="2" t="s">
        <v>33</v>
      </c>
    </row>
    <row r="740" spans="1:14" ht="12" customHeight="1">
      <c r="A740" s="2" t="s">
        <v>835</v>
      </c>
      <c r="B740" s="3">
        <v>45667</v>
      </c>
      <c r="C740" s="2" t="s">
        <v>28</v>
      </c>
      <c r="D740" s="2" t="s">
        <v>56</v>
      </c>
      <c r="E740" s="2" t="s">
        <v>49</v>
      </c>
      <c r="F740" s="2" t="s">
        <v>91</v>
      </c>
      <c r="G740" s="2" t="s">
        <v>58</v>
      </c>
      <c r="H740" s="4">
        <v>8</v>
      </c>
      <c r="I740" s="5">
        <v>6010.06</v>
      </c>
      <c r="J740" s="6">
        <v>0.15</v>
      </c>
      <c r="K740" s="5">
        <v>40868.410000000003</v>
      </c>
      <c r="L740" s="5">
        <v>28407.22</v>
      </c>
      <c r="M740" s="5">
        <v>12461.19</v>
      </c>
      <c r="N740" s="2" t="s">
        <v>33</v>
      </c>
    </row>
    <row r="741" spans="1:14" ht="12" customHeight="1">
      <c r="A741" s="2" t="s">
        <v>836</v>
      </c>
      <c r="B741" s="3">
        <v>45730</v>
      </c>
      <c r="C741" s="2" t="s">
        <v>22</v>
      </c>
      <c r="D741" s="2" t="s">
        <v>37</v>
      </c>
      <c r="E741" s="2" t="s">
        <v>44</v>
      </c>
      <c r="F741" s="2" t="s">
        <v>69</v>
      </c>
      <c r="G741" s="2" t="s">
        <v>32</v>
      </c>
      <c r="H741" s="4">
        <v>7</v>
      </c>
      <c r="I741" s="5">
        <v>37671.57</v>
      </c>
      <c r="J741" s="6">
        <v>0.15</v>
      </c>
      <c r="K741" s="5">
        <v>224145.84</v>
      </c>
      <c r="L741" s="5">
        <v>182915.51</v>
      </c>
      <c r="M741" s="5">
        <v>41230.33</v>
      </c>
      <c r="N741" s="2" t="s">
        <v>26</v>
      </c>
    </row>
    <row r="742" spans="1:14" ht="12" customHeight="1">
      <c r="A742" s="2" t="s">
        <v>837</v>
      </c>
      <c r="B742" s="3">
        <v>45975</v>
      </c>
      <c r="C742" s="2" t="s">
        <v>22</v>
      </c>
      <c r="D742" s="2" t="s">
        <v>37</v>
      </c>
      <c r="E742" s="2" t="s">
        <v>49</v>
      </c>
      <c r="F742" s="2" t="s">
        <v>107</v>
      </c>
      <c r="G742" s="2" t="s">
        <v>58</v>
      </c>
      <c r="H742" s="4">
        <v>1</v>
      </c>
      <c r="I742" s="5">
        <v>4784.83</v>
      </c>
      <c r="J742" s="6">
        <v>0.05</v>
      </c>
      <c r="K742" s="5">
        <v>4545.59</v>
      </c>
      <c r="L742" s="5">
        <v>2800.65</v>
      </c>
      <c r="M742" s="5">
        <v>1744.94</v>
      </c>
      <c r="N742" s="2" t="s">
        <v>26</v>
      </c>
    </row>
    <row r="743" spans="1:14" ht="12" customHeight="1">
      <c r="A743" s="2" t="s">
        <v>838</v>
      </c>
      <c r="B743" s="3">
        <v>45981</v>
      </c>
      <c r="C743" s="2" t="s">
        <v>22</v>
      </c>
      <c r="D743" s="2" t="s">
        <v>23</v>
      </c>
      <c r="E743" s="2" t="s">
        <v>49</v>
      </c>
      <c r="F743" s="2" t="s">
        <v>57</v>
      </c>
      <c r="G743" s="2" t="s">
        <v>47</v>
      </c>
      <c r="H743" s="4">
        <v>5</v>
      </c>
      <c r="I743" s="5">
        <v>12124.66</v>
      </c>
      <c r="J743" s="6">
        <v>0.05</v>
      </c>
      <c r="K743" s="5">
        <v>57592.14</v>
      </c>
      <c r="L743" s="5">
        <v>33798.28</v>
      </c>
      <c r="M743" s="5">
        <v>23793.86</v>
      </c>
      <c r="N743" s="2" t="s">
        <v>59</v>
      </c>
    </row>
    <row r="744" spans="1:14" ht="12" customHeight="1">
      <c r="A744" s="2" t="s">
        <v>839</v>
      </c>
      <c r="B744" s="3">
        <v>45942</v>
      </c>
      <c r="C744" s="2" t="s">
        <v>22</v>
      </c>
      <c r="D744" s="2" t="s">
        <v>23</v>
      </c>
      <c r="E744" s="2" t="s">
        <v>17</v>
      </c>
      <c r="F744" s="2" t="s">
        <v>18</v>
      </c>
      <c r="G744" s="2" t="s">
        <v>58</v>
      </c>
      <c r="H744" s="4">
        <v>2</v>
      </c>
      <c r="I744" s="5">
        <v>14257.11</v>
      </c>
      <c r="J744" s="6">
        <v>0</v>
      </c>
      <c r="K744" s="5">
        <v>28514.22</v>
      </c>
      <c r="L744" s="5">
        <v>16861.41</v>
      </c>
      <c r="M744" s="5">
        <v>11652.81</v>
      </c>
      <c r="N744" s="2" t="s">
        <v>20</v>
      </c>
    </row>
    <row r="745" spans="1:14" ht="12" customHeight="1">
      <c r="A745" s="2" t="s">
        <v>840</v>
      </c>
      <c r="B745" s="3">
        <v>45783</v>
      </c>
      <c r="C745" s="2" t="s">
        <v>22</v>
      </c>
      <c r="D745" s="2" t="s">
        <v>37</v>
      </c>
      <c r="E745" s="2" t="s">
        <v>30</v>
      </c>
      <c r="F745" s="2" t="s">
        <v>38</v>
      </c>
      <c r="G745" s="2" t="s">
        <v>32</v>
      </c>
      <c r="H745" s="4">
        <v>5</v>
      </c>
      <c r="I745" s="5">
        <v>29072.05</v>
      </c>
      <c r="J745" s="6">
        <v>0.15</v>
      </c>
      <c r="K745" s="5">
        <v>123556.21</v>
      </c>
      <c r="L745" s="5">
        <v>90152.12</v>
      </c>
      <c r="M745" s="5">
        <v>33404.089999999997</v>
      </c>
      <c r="N745" s="2" t="s">
        <v>59</v>
      </c>
    </row>
    <row r="746" spans="1:14" ht="12" customHeight="1">
      <c r="A746" s="2" t="s">
        <v>841</v>
      </c>
      <c r="B746" s="3">
        <v>45660</v>
      </c>
      <c r="C746" s="2" t="s">
        <v>22</v>
      </c>
      <c r="D746" s="2" t="s">
        <v>35</v>
      </c>
      <c r="E746" s="2" t="s">
        <v>30</v>
      </c>
      <c r="F746" s="2" t="s">
        <v>31</v>
      </c>
      <c r="G746" s="2" t="s">
        <v>64</v>
      </c>
      <c r="H746" s="4">
        <v>3</v>
      </c>
      <c r="I746" s="5">
        <v>138163.18</v>
      </c>
      <c r="J746" s="6">
        <v>0</v>
      </c>
      <c r="K746" s="5">
        <v>414489.54</v>
      </c>
      <c r="L746" s="5">
        <v>306822.37</v>
      </c>
      <c r="M746" s="5">
        <v>107667.17</v>
      </c>
      <c r="N746" s="2" t="s">
        <v>26</v>
      </c>
    </row>
    <row r="747" spans="1:14" ht="12" customHeight="1">
      <c r="A747" s="2" t="s">
        <v>842</v>
      </c>
      <c r="B747" s="3">
        <v>45933</v>
      </c>
      <c r="C747" s="2" t="s">
        <v>28</v>
      </c>
      <c r="D747" s="2" t="s">
        <v>29</v>
      </c>
      <c r="E747" s="2" t="s">
        <v>49</v>
      </c>
      <c r="F747" s="2" t="s">
        <v>107</v>
      </c>
      <c r="G747" s="2" t="s">
        <v>64</v>
      </c>
      <c r="H747" s="4">
        <v>2</v>
      </c>
      <c r="I747" s="5">
        <v>5439.04</v>
      </c>
      <c r="J747" s="6">
        <v>0.15</v>
      </c>
      <c r="K747" s="5">
        <v>9246.3700000000008</v>
      </c>
      <c r="L747" s="5">
        <v>5484.18</v>
      </c>
      <c r="M747" s="5">
        <v>3762.19</v>
      </c>
      <c r="N747" s="2" t="s">
        <v>20</v>
      </c>
    </row>
    <row r="748" spans="1:14" ht="12" customHeight="1">
      <c r="A748" s="2" t="s">
        <v>843</v>
      </c>
      <c r="B748" s="3">
        <v>45721</v>
      </c>
      <c r="C748" s="2" t="s">
        <v>15</v>
      </c>
      <c r="D748" s="2" t="s">
        <v>16</v>
      </c>
      <c r="E748" s="2" t="s">
        <v>30</v>
      </c>
      <c r="F748" s="2" t="s">
        <v>40</v>
      </c>
      <c r="G748" s="2" t="s">
        <v>70</v>
      </c>
      <c r="H748" s="4">
        <v>6</v>
      </c>
      <c r="I748" s="5">
        <v>24056.06</v>
      </c>
      <c r="J748" s="6">
        <v>0.15</v>
      </c>
      <c r="K748" s="5">
        <v>122685.91</v>
      </c>
      <c r="L748" s="5">
        <v>98484.47</v>
      </c>
      <c r="M748" s="5">
        <v>24201.439999999999</v>
      </c>
      <c r="N748" s="2" t="s">
        <v>59</v>
      </c>
    </row>
    <row r="749" spans="1:14" ht="12" customHeight="1">
      <c r="A749" s="2" t="s">
        <v>844</v>
      </c>
      <c r="B749" s="3">
        <v>45841</v>
      </c>
      <c r="C749" s="2" t="s">
        <v>22</v>
      </c>
      <c r="D749" s="2" t="s">
        <v>35</v>
      </c>
      <c r="E749" s="2" t="s">
        <v>17</v>
      </c>
      <c r="F749" s="2" t="s">
        <v>24</v>
      </c>
      <c r="G749" s="2" t="s">
        <v>47</v>
      </c>
      <c r="H749" s="4">
        <v>1</v>
      </c>
      <c r="I749" s="5">
        <v>95803.96</v>
      </c>
      <c r="J749" s="6">
        <v>0.15</v>
      </c>
      <c r="K749" s="5">
        <v>81433.37</v>
      </c>
      <c r="L749" s="5">
        <v>70345.86</v>
      </c>
      <c r="M749" s="5">
        <v>11087.51</v>
      </c>
      <c r="N749" s="2" t="s">
        <v>33</v>
      </c>
    </row>
    <row r="750" spans="1:14" ht="12" customHeight="1">
      <c r="A750" s="2" t="s">
        <v>845</v>
      </c>
      <c r="B750" s="3">
        <v>45910</v>
      </c>
      <c r="C750" s="2" t="s">
        <v>15</v>
      </c>
      <c r="D750" s="2" t="s">
        <v>43</v>
      </c>
      <c r="E750" s="2" t="s">
        <v>30</v>
      </c>
      <c r="F750" s="2" t="s">
        <v>86</v>
      </c>
      <c r="G750" s="2" t="s">
        <v>47</v>
      </c>
      <c r="H750" s="4">
        <v>4</v>
      </c>
      <c r="I750" s="5">
        <v>35535.03</v>
      </c>
      <c r="J750" s="6">
        <v>0.05</v>
      </c>
      <c r="K750" s="5">
        <v>135033.10999999999</v>
      </c>
      <c r="L750" s="5">
        <v>87531.82</v>
      </c>
      <c r="M750" s="5">
        <v>47501.29</v>
      </c>
      <c r="N750" s="2" t="s">
        <v>33</v>
      </c>
    </row>
    <row r="751" spans="1:14" ht="12" customHeight="1">
      <c r="A751" s="2" t="s">
        <v>846</v>
      </c>
      <c r="B751" s="3">
        <v>45757</v>
      </c>
      <c r="C751" s="2" t="s">
        <v>22</v>
      </c>
      <c r="D751" s="2"/>
      <c r="E751" s="2" t="s">
        <v>49</v>
      </c>
      <c r="F751" s="2" t="s">
        <v>91</v>
      </c>
      <c r="G751" s="2" t="s">
        <v>61</v>
      </c>
      <c r="H751" s="4">
        <v>5</v>
      </c>
      <c r="I751" s="5">
        <v>6571.87</v>
      </c>
      <c r="J751" s="6">
        <v>0.05</v>
      </c>
      <c r="K751" s="5">
        <v>31216.38</v>
      </c>
      <c r="L751" s="5">
        <v>17674.8</v>
      </c>
      <c r="M751" s="5">
        <v>13541.58</v>
      </c>
      <c r="N751" s="2" t="s">
        <v>33</v>
      </c>
    </row>
    <row r="752" spans="1:14" ht="12" customHeight="1">
      <c r="A752" s="2" t="s">
        <v>847</v>
      </c>
      <c r="B752" s="3">
        <v>45798</v>
      </c>
      <c r="C752" s="2" t="s">
        <v>15</v>
      </c>
      <c r="D752" s="2" t="s">
        <v>16</v>
      </c>
      <c r="E752" s="2" t="s">
        <v>17</v>
      </c>
      <c r="F752" s="2" t="s">
        <v>24</v>
      </c>
      <c r="G752" s="2" t="s">
        <v>47</v>
      </c>
      <c r="H752" s="4">
        <v>5</v>
      </c>
      <c r="I752" s="5">
        <v>98382.05</v>
      </c>
      <c r="J752" s="6">
        <v>0</v>
      </c>
      <c r="K752" s="5">
        <v>491910.25</v>
      </c>
      <c r="L752" s="5">
        <v>350767.87</v>
      </c>
      <c r="M752" s="5">
        <v>141142.38</v>
      </c>
      <c r="N752" s="2" t="s">
        <v>33</v>
      </c>
    </row>
    <row r="753" spans="1:14" ht="12" customHeight="1">
      <c r="A753" s="2" t="s">
        <v>848</v>
      </c>
      <c r="B753" s="3">
        <v>45990</v>
      </c>
      <c r="C753" s="2" t="s">
        <v>15</v>
      </c>
      <c r="D753" s="2" t="s">
        <v>43</v>
      </c>
      <c r="E753" s="2" t="s">
        <v>30</v>
      </c>
      <c r="F753" s="2" t="s">
        <v>40</v>
      </c>
      <c r="G753" s="2" t="s">
        <v>64</v>
      </c>
      <c r="H753" s="4">
        <v>1</v>
      </c>
      <c r="I753" s="5">
        <v>26216.53</v>
      </c>
      <c r="J753" s="6">
        <v>0.15</v>
      </c>
      <c r="K753" s="5">
        <v>22284.05</v>
      </c>
      <c r="L753" s="5">
        <v>16070.45</v>
      </c>
      <c r="M753" s="5">
        <v>6213.6</v>
      </c>
      <c r="N753" s="2" t="s">
        <v>59</v>
      </c>
    </row>
    <row r="754" spans="1:14" ht="12" customHeight="1">
      <c r="A754" s="2" t="s">
        <v>849</v>
      </c>
      <c r="B754" s="3">
        <v>45772</v>
      </c>
      <c r="C754" s="2" t="s">
        <v>28</v>
      </c>
      <c r="D754" s="2" t="s">
        <v>56</v>
      </c>
      <c r="E754" s="2" t="s">
        <v>30</v>
      </c>
      <c r="F754" s="2" t="s">
        <v>31</v>
      </c>
      <c r="G754" s="2" t="s">
        <v>64</v>
      </c>
      <c r="H754" s="4">
        <v>8</v>
      </c>
      <c r="I754" s="5">
        <v>134904.41</v>
      </c>
      <c r="J754" s="6">
        <v>0.1</v>
      </c>
      <c r="K754" s="5">
        <v>971311.75</v>
      </c>
      <c r="L754" s="5">
        <v>826690.27</v>
      </c>
      <c r="M754" s="5">
        <v>144621.48000000001</v>
      </c>
      <c r="N754" s="2" t="s">
        <v>59</v>
      </c>
    </row>
    <row r="755" spans="1:14" ht="12" customHeight="1">
      <c r="A755" s="2" t="s">
        <v>850</v>
      </c>
      <c r="B755" s="3">
        <v>45950</v>
      </c>
      <c r="C755" s="2" t="s">
        <v>28</v>
      </c>
      <c r="D755" s="2" t="s">
        <v>29</v>
      </c>
      <c r="E755" s="2" t="s">
        <v>49</v>
      </c>
      <c r="F755" s="2" t="s">
        <v>57</v>
      </c>
      <c r="G755" s="2" t="s">
        <v>64</v>
      </c>
      <c r="H755" s="4">
        <v>1</v>
      </c>
      <c r="I755" s="5">
        <v>11301.02</v>
      </c>
      <c r="J755" s="6">
        <v>0.05</v>
      </c>
      <c r="K755" s="5">
        <v>10735.97</v>
      </c>
      <c r="L755" s="5">
        <v>6342.22</v>
      </c>
      <c r="M755" s="5">
        <v>4393.75</v>
      </c>
      <c r="N755" s="2" t="s">
        <v>26</v>
      </c>
    </row>
    <row r="756" spans="1:14" ht="12" customHeight="1">
      <c r="A756" s="2" t="s">
        <v>851</v>
      </c>
      <c r="B756" s="3">
        <v>45978</v>
      </c>
      <c r="C756" s="2" t="s">
        <v>15</v>
      </c>
      <c r="D756" s="2" t="s">
        <v>63</v>
      </c>
      <c r="E756" s="2" t="s">
        <v>17</v>
      </c>
      <c r="F756" s="2" t="s">
        <v>24</v>
      </c>
      <c r="G756" s="2" t="s">
        <v>19</v>
      </c>
      <c r="H756" s="4">
        <v>4</v>
      </c>
      <c r="I756" s="5">
        <v>87061.17</v>
      </c>
      <c r="J756" s="6">
        <v>-0.05</v>
      </c>
      <c r="K756" s="5">
        <v>330832.45</v>
      </c>
      <c r="L756" s="5">
        <v>265036.55</v>
      </c>
      <c r="M756" s="5">
        <v>65795.899999999994</v>
      </c>
      <c r="N756" s="2" t="s">
        <v>33</v>
      </c>
    </row>
    <row r="757" spans="1:14" ht="12" customHeight="1">
      <c r="A757" s="2" t="s">
        <v>852</v>
      </c>
      <c r="B757" s="3">
        <v>45832</v>
      </c>
      <c r="C757" s="2" t="s">
        <v>28</v>
      </c>
      <c r="D757" s="2" t="s">
        <v>56</v>
      </c>
      <c r="E757" s="2" t="s">
        <v>17</v>
      </c>
      <c r="F757" s="2" t="s">
        <v>18</v>
      </c>
      <c r="G757" s="2" t="s">
        <v>64</v>
      </c>
      <c r="H757" s="4">
        <v>5</v>
      </c>
      <c r="I757" s="5">
        <v>13913.4</v>
      </c>
      <c r="J757" s="6">
        <v>0.05</v>
      </c>
      <c r="K757" s="5">
        <v>66088.649999999994</v>
      </c>
      <c r="L757" s="5">
        <v>40454.089999999997</v>
      </c>
      <c r="M757" s="5">
        <v>25634.560000000001</v>
      </c>
      <c r="N757" s="2" t="s">
        <v>59</v>
      </c>
    </row>
    <row r="758" spans="1:14" ht="12" customHeight="1">
      <c r="A758" s="2" t="s">
        <v>853</v>
      </c>
      <c r="B758" s="3">
        <v>45689</v>
      </c>
      <c r="C758" s="2" t="s">
        <v>15</v>
      </c>
      <c r="D758" s="2"/>
      <c r="E758" s="2" t="s">
        <v>17</v>
      </c>
      <c r="F758" s="2" t="s">
        <v>114</v>
      </c>
      <c r="G758" s="2" t="s">
        <v>64</v>
      </c>
      <c r="H758" s="4">
        <v>2</v>
      </c>
      <c r="I758" s="5">
        <v>53042.9</v>
      </c>
      <c r="J758" s="6">
        <v>0.1</v>
      </c>
      <c r="K758" s="5">
        <v>95477.22</v>
      </c>
      <c r="L758" s="5">
        <v>71447.86</v>
      </c>
      <c r="M758" s="5">
        <v>24029.360000000001</v>
      </c>
      <c r="N758" s="2" t="s">
        <v>20</v>
      </c>
    </row>
    <row r="759" spans="1:14" ht="12" customHeight="1">
      <c r="A759" s="2" t="s">
        <v>854</v>
      </c>
      <c r="B759" s="3">
        <v>45970</v>
      </c>
      <c r="C759" s="2" t="s">
        <v>28</v>
      </c>
      <c r="D759" s="2" t="s">
        <v>29</v>
      </c>
      <c r="E759" s="2" t="s">
        <v>17</v>
      </c>
      <c r="F759" s="2" t="s">
        <v>24</v>
      </c>
      <c r="G759" s="2" t="s">
        <v>25</v>
      </c>
      <c r="H759" s="4">
        <v>1</v>
      </c>
      <c r="I759" s="5">
        <v>98169.38</v>
      </c>
      <c r="J759" s="6">
        <v>0.05</v>
      </c>
      <c r="K759" s="5">
        <v>93260.91</v>
      </c>
      <c r="L759" s="5">
        <v>66220.789999999994</v>
      </c>
      <c r="M759" s="5">
        <v>27040.12</v>
      </c>
      <c r="N759" s="2" t="s">
        <v>33</v>
      </c>
    </row>
    <row r="760" spans="1:14" ht="12" customHeight="1">
      <c r="A760" s="2" t="s">
        <v>855</v>
      </c>
      <c r="B760" s="3">
        <v>45868</v>
      </c>
      <c r="C760" s="2" t="s">
        <v>22</v>
      </c>
      <c r="D760" s="2" t="s">
        <v>37</v>
      </c>
      <c r="E760" s="2" t="s">
        <v>17</v>
      </c>
      <c r="F760" s="2" t="s">
        <v>75</v>
      </c>
      <c r="G760" s="2" t="s">
        <v>47</v>
      </c>
      <c r="H760" s="4">
        <v>5</v>
      </c>
      <c r="I760" s="5">
        <v>195357.91</v>
      </c>
      <c r="J760" s="6">
        <v>0.05</v>
      </c>
      <c r="K760" s="5">
        <v>927950.07</v>
      </c>
      <c r="L760" s="5">
        <v>693462.76</v>
      </c>
      <c r="M760" s="5">
        <v>234487.31</v>
      </c>
      <c r="N760" s="2" t="s">
        <v>33</v>
      </c>
    </row>
    <row r="761" spans="1:14" ht="12" customHeight="1">
      <c r="A761" s="2" t="s">
        <v>856</v>
      </c>
      <c r="B761" s="3">
        <v>45890</v>
      </c>
      <c r="C761" s="2" t="s">
        <v>28</v>
      </c>
      <c r="D761" s="2" t="s">
        <v>56</v>
      </c>
      <c r="E761" s="2" t="s">
        <v>49</v>
      </c>
      <c r="F761" s="2" t="s">
        <v>107</v>
      </c>
      <c r="G761" s="2" t="s">
        <v>32</v>
      </c>
      <c r="H761" s="4">
        <v>2</v>
      </c>
      <c r="I761" s="5">
        <v>5066.5600000000004</v>
      </c>
      <c r="J761" s="6">
        <v>0.15</v>
      </c>
      <c r="K761" s="5">
        <v>8613.15</v>
      </c>
      <c r="L761" s="5">
        <v>5533.95</v>
      </c>
      <c r="M761" s="5">
        <v>3079.2</v>
      </c>
      <c r="N761" s="2" t="s">
        <v>26</v>
      </c>
    </row>
    <row r="762" spans="1:14" ht="12" customHeight="1">
      <c r="A762" s="2" t="s">
        <v>857</v>
      </c>
      <c r="B762" s="3">
        <v>45789</v>
      </c>
      <c r="C762" s="2" t="s">
        <v>22</v>
      </c>
      <c r="D762" s="2" t="s">
        <v>23</v>
      </c>
      <c r="E762" s="2" t="s">
        <v>17</v>
      </c>
      <c r="F762" s="2" t="s">
        <v>75</v>
      </c>
      <c r="G762" s="2" t="s">
        <v>32</v>
      </c>
      <c r="H762" s="4">
        <v>4</v>
      </c>
      <c r="I762" s="5">
        <v>196969.35</v>
      </c>
      <c r="J762" s="6">
        <v>0</v>
      </c>
      <c r="K762" s="5">
        <v>787877.4</v>
      </c>
      <c r="L762" s="5">
        <v>576301.57999999996</v>
      </c>
      <c r="M762" s="5">
        <v>211575.82</v>
      </c>
      <c r="N762" s="2" t="s">
        <v>20</v>
      </c>
    </row>
    <row r="763" spans="1:14" ht="12" customHeight="1">
      <c r="A763" s="2" t="s">
        <v>858</v>
      </c>
      <c r="B763" s="3">
        <v>45817</v>
      </c>
      <c r="C763" s="2" t="s">
        <v>28</v>
      </c>
      <c r="D763" s="2" t="s">
        <v>29</v>
      </c>
      <c r="E763" s="2" t="s">
        <v>49</v>
      </c>
      <c r="F763" s="2" t="s">
        <v>50</v>
      </c>
      <c r="G763" s="2" t="s">
        <v>25</v>
      </c>
      <c r="H763" s="4">
        <v>4</v>
      </c>
      <c r="I763" s="5">
        <v>3956.52</v>
      </c>
      <c r="J763" s="6">
        <v>0</v>
      </c>
      <c r="K763" s="5">
        <v>15826.08</v>
      </c>
      <c r="L763" s="5">
        <v>8183.57</v>
      </c>
      <c r="M763" s="5">
        <v>7642.51</v>
      </c>
      <c r="N763" s="2" t="s">
        <v>59</v>
      </c>
    </row>
    <row r="764" spans="1:14" ht="12" customHeight="1">
      <c r="A764" s="2" t="s">
        <v>859</v>
      </c>
      <c r="B764" s="3">
        <v>45662</v>
      </c>
      <c r="C764" s="2" t="s">
        <v>28</v>
      </c>
      <c r="D764" s="2" t="s">
        <v>29</v>
      </c>
      <c r="E764" s="2" t="s">
        <v>44</v>
      </c>
      <c r="F764" s="2" t="s">
        <v>45</v>
      </c>
      <c r="G764" s="2" t="s">
        <v>61</v>
      </c>
      <c r="H764" s="4">
        <v>8</v>
      </c>
      <c r="I764" s="5">
        <v>27627.56</v>
      </c>
      <c r="J764" s="6">
        <v>0.05</v>
      </c>
      <c r="K764" s="5">
        <v>209969.46</v>
      </c>
      <c r="L764" s="5">
        <v>150536.92000000001</v>
      </c>
      <c r="M764" s="5">
        <v>59432.54</v>
      </c>
      <c r="N764" s="2" t="s">
        <v>33</v>
      </c>
    </row>
    <row r="765" spans="1:14" ht="12" customHeight="1">
      <c r="A765" s="2" t="s">
        <v>860</v>
      </c>
      <c r="B765" s="3">
        <v>45761</v>
      </c>
      <c r="C765" s="2" t="s">
        <v>22</v>
      </c>
      <c r="D765" s="2" t="s">
        <v>37</v>
      </c>
      <c r="E765" s="2" t="s">
        <v>17</v>
      </c>
      <c r="F765" s="2" t="s">
        <v>114</v>
      </c>
      <c r="G765" s="2" t="s">
        <v>19</v>
      </c>
      <c r="H765" s="4">
        <v>6</v>
      </c>
      <c r="I765" s="5">
        <v>49465.79</v>
      </c>
      <c r="J765" s="6">
        <v>0</v>
      </c>
      <c r="K765" s="5">
        <v>296794.74</v>
      </c>
      <c r="L765" s="5">
        <v>222249.7</v>
      </c>
      <c r="M765" s="5">
        <v>74545.039999999994</v>
      </c>
      <c r="N765" s="2" t="s">
        <v>59</v>
      </c>
    </row>
    <row r="766" spans="1:14" ht="12" customHeight="1">
      <c r="A766" s="2" t="s">
        <v>861</v>
      </c>
      <c r="B766" s="3">
        <v>45973</v>
      </c>
      <c r="C766" s="2" t="s">
        <v>22</v>
      </c>
      <c r="D766" s="2" t="s">
        <v>37</v>
      </c>
      <c r="E766" s="2" t="s">
        <v>49</v>
      </c>
      <c r="F766" s="2" t="s">
        <v>107</v>
      </c>
      <c r="G766" s="2" t="s">
        <v>58</v>
      </c>
      <c r="H766" s="4">
        <v>6</v>
      </c>
      <c r="I766" s="5">
        <v>5492.87</v>
      </c>
      <c r="J766" s="6">
        <v>0.1</v>
      </c>
      <c r="K766" s="5">
        <v>29661.5</v>
      </c>
      <c r="L766" s="5">
        <v>16806.12</v>
      </c>
      <c r="M766" s="5">
        <v>12855.38</v>
      </c>
      <c r="N766" s="2" t="s">
        <v>20</v>
      </c>
    </row>
    <row r="767" spans="1:14" ht="12" customHeight="1">
      <c r="A767" s="2" t="s">
        <v>862</v>
      </c>
      <c r="B767" s="3">
        <v>46012</v>
      </c>
      <c r="C767" s="2" t="s">
        <v>28</v>
      </c>
      <c r="D767" s="2" t="s">
        <v>52</v>
      </c>
      <c r="E767" s="2" t="s">
        <v>17</v>
      </c>
      <c r="F767" s="2" t="s">
        <v>114</v>
      </c>
      <c r="G767" s="2" t="s">
        <v>47</v>
      </c>
      <c r="H767" s="4">
        <v>1</v>
      </c>
      <c r="I767" s="5">
        <v>51966.14</v>
      </c>
      <c r="J767" s="6">
        <v>0</v>
      </c>
      <c r="K767" s="5">
        <v>51966.14</v>
      </c>
      <c r="L767" s="5">
        <v>37037.050000000003</v>
      </c>
      <c r="M767" s="5">
        <v>14929.09</v>
      </c>
      <c r="N767" s="2" t="s">
        <v>20</v>
      </c>
    </row>
    <row r="768" spans="1:14" ht="12" customHeight="1">
      <c r="A768" s="2" t="s">
        <v>863</v>
      </c>
      <c r="B768" s="3">
        <v>45752</v>
      </c>
      <c r="C768" s="2" t="s">
        <v>15</v>
      </c>
      <c r="D768" s="2" t="s">
        <v>16</v>
      </c>
      <c r="E768" s="2" t="s">
        <v>44</v>
      </c>
      <c r="F768" s="2" t="s">
        <v>53</v>
      </c>
      <c r="G768" s="2" t="s">
        <v>64</v>
      </c>
      <c r="H768" s="4">
        <v>6</v>
      </c>
      <c r="I768" s="5">
        <v>8917.89</v>
      </c>
      <c r="J768" s="6">
        <v>0.05</v>
      </c>
      <c r="K768" s="5">
        <v>50831.97</v>
      </c>
      <c r="L768" s="5">
        <v>28940.54</v>
      </c>
      <c r="M768" s="5">
        <v>21891.43</v>
      </c>
      <c r="N768" s="2" t="s">
        <v>59</v>
      </c>
    </row>
    <row r="769" spans="1:14" ht="12" customHeight="1">
      <c r="A769" s="2" t="s">
        <v>864</v>
      </c>
      <c r="B769" s="3">
        <v>45957</v>
      </c>
      <c r="C769" s="2" t="s">
        <v>301</v>
      </c>
      <c r="D769" s="2" t="s">
        <v>23</v>
      </c>
      <c r="E769" s="2" t="s">
        <v>30</v>
      </c>
      <c r="F769" s="2" t="s">
        <v>31</v>
      </c>
      <c r="G769" s="2" t="s">
        <v>32</v>
      </c>
      <c r="H769" s="4">
        <v>2</v>
      </c>
      <c r="I769" s="5">
        <v>127275.88</v>
      </c>
      <c r="J769" s="6">
        <v>0.05</v>
      </c>
      <c r="K769" s="5">
        <v>241824.17</v>
      </c>
      <c r="L769" s="5">
        <v>198688.86</v>
      </c>
      <c r="M769" s="5">
        <v>43135.31</v>
      </c>
      <c r="N769" s="2" t="s">
        <v>33</v>
      </c>
    </row>
    <row r="770" spans="1:14" ht="12" customHeight="1">
      <c r="A770" s="2" t="s">
        <v>865</v>
      </c>
      <c r="B770" s="3">
        <v>45831</v>
      </c>
      <c r="C770" s="2" t="s">
        <v>22</v>
      </c>
      <c r="D770" s="2"/>
      <c r="E770" s="2" t="s">
        <v>44</v>
      </c>
      <c r="F770" s="2" t="s">
        <v>69</v>
      </c>
      <c r="G770" s="2" t="s">
        <v>47</v>
      </c>
      <c r="H770" s="4">
        <v>3</v>
      </c>
      <c r="I770" s="5">
        <v>36291.19</v>
      </c>
      <c r="J770" s="6">
        <v>0.05</v>
      </c>
      <c r="K770" s="5">
        <v>103429.89</v>
      </c>
      <c r="L770" s="5">
        <v>79584.850000000006</v>
      </c>
      <c r="M770" s="5">
        <v>23845.040000000001</v>
      </c>
      <c r="N770" s="2" t="s">
        <v>26</v>
      </c>
    </row>
    <row r="771" spans="1:14" ht="12" customHeight="1">
      <c r="A771" s="2" t="s">
        <v>866</v>
      </c>
      <c r="B771" s="3">
        <v>45993</v>
      </c>
      <c r="C771" s="2" t="s">
        <v>22</v>
      </c>
      <c r="D771" s="2" t="s">
        <v>23</v>
      </c>
      <c r="E771" s="2" t="s">
        <v>44</v>
      </c>
      <c r="F771" s="2" t="s">
        <v>69</v>
      </c>
      <c r="G771" s="2" t="s">
        <v>19</v>
      </c>
      <c r="H771" s="4">
        <v>2</v>
      </c>
      <c r="I771" s="5">
        <v>35087.64</v>
      </c>
      <c r="J771" s="6">
        <v>0.15</v>
      </c>
      <c r="K771" s="5">
        <v>59648.99</v>
      </c>
      <c r="L771" s="5">
        <v>50939.57</v>
      </c>
      <c r="M771" s="5">
        <v>8709.42</v>
      </c>
      <c r="N771" s="2" t="s">
        <v>59</v>
      </c>
    </row>
    <row r="772" spans="1:14" ht="12" customHeight="1">
      <c r="A772" s="2" t="s">
        <v>867</v>
      </c>
      <c r="B772" s="3">
        <v>45927</v>
      </c>
      <c r="C772" s="2" t="s">
        <v>22</v>
      </c>
      <c r="D772" s="2" t="s">
        <v>35</v>
      </c>
      <c r="E772" s="2" t="s">
        <v>49</v>
      </c>
      <c r="F772" s="2" t="s">
        <v>50</v>
      </c>
      <c r="G772" s="2" t="s">
        <v>25</v>
      </c>
      <c r="H772" s="4">
        <v>6</v>
      </c>
      <c r="I772" s="5">
        <v>4407.9799999999996</v>
      </c>
      <c r="J772" s="6">
        <v>0.15</v>
      </c>
      <c r="K772" s="5">
        <v>22480.7</v>
      </c>
      <c r="L772" s="5">
        <v>12373.14</v>
      </c>
      <c r="M772" s="5">
        <v>10107.56</v>
      </c>
      <c r="N772" s="2" t="s">
        <v>33</v>
      </c>
    </row>
    <row r="773" spans="1:14" ht="12" customHeight="1">
      <c r="A773" s="2" t="s">
        <v>868</v>
      </c>
      <c r="B773" s="3">
        <v>45964</v>
      </c>
      <c r="C773" s="2" t="s">
        <v>22</v>
      </c>
      <c r="D773" s="2" t="s">
        <v>23</v>
      </c>
      <c r="E773" s="2" t="s">
        <v>44</v>
      </c>
      <c r="F773" s="2" t="s">
        <v>45</v>
      </c>
      <c r="G773" s="2" t="s">
        <v>25</v>
      </c>
      <c r="H773" s="4">
        <v>4</v>
      </c>
      <c r="I773" s="5">
        <v>28648.45</v>
      </c>
      <c r="J773" s="6">
        <v>0.15</v>
      </c>
      <c r="K773" s="5">
        <v>97404.73</v>
      </c>
      <c r="L773" s="5">
        <v>75711.039999999994</v>
      </c>
      <c r="M773" s="5">
        <v>21693.69</v>
      </c>
      <c r="N773" s="2" t="s">
        <v>26</v>
      </c>
    </row>
    <row r="774" spans="1:14" ht="12" customHeight="1">
      <c r="A774" s="2" t="s">
        <v>869</v>
      </c>
      <c r="B774" s="3">
        <v>45801</v>
      </c>
      <c r="C774" s="2" t="s">
        <v>22</v>
      </c>
      <c r="D774" s="2" t="s">
        <v>37</v>
      </c>
      <c r="E774" s="2" t="s">
        <v>44</v>
      </c>
      <c r="F774" s="2" t="s">
        <v>69</v>
      </c>
      <c r="G774" s="2" t="s">
        <v>61</v>
      </c>
      <c r="H774" s="4">
        <v>3</v>
      </c>
      <c r="I774" s="5">
        <v>36952.300000000003</v>
      </c>
      <c r="J774" s="6">
        <v>0</v>
      </c>
      <c r="K774" s="5">
        <v>110856.9</v>
      </c>
      <c r="L774" s="5">
        <v>79096.850000000006</v>
      </c>
      <c r="M774" s="5">
        <v>31760.05</v>
      </c>
      <c r="N774" s="2" t="s">
        <v>20</v>
      </c>
    </row>
    <row r="775" spans="1:14" ht="12" customHeight="1">
      <c r="A775" s="2" t="s">
        <v>870</v>
      </c>
      <c r="B775" s="3">
        <v>45988</v>
      </c>
      <c r="C775" s="2" t="s">
        <v>22</v>
      </c>
      <c r="D775" s="2" t="s">
        <v>37</v>
      </c>
      <c r="E775" s="2" t="s">
        <v>17</v>
      </c>
      <c r="F775" s="2" t="s">
        <v>114</v>
      </c>
      <c r="G775" s="2" t="s">
        <v>32</v>
      </c>
      <c r="H775" s="4">
        <v>2</v>
      </c>
      <c r="I775" s="5">
        <v>49233.05</v>
      </c>
      <c r="J775" s="6">
        <v>0.05</v>
      </c>
      <c r="K775" s="5">
        <v>93542.79</v>
      </c>
      <c r="L775" s="5">
        <v>74649.179999999993</v>
      </c>
      <c r="M775" s="5">
        <v>18893.61</v>
      </c>
      <c r="N775" s="2" t="s">
        <v>20</v>
      </c>
    </row>
    <row r="776" spans="1:14" ht="12" customHeight="1">
      <c r="A776" s="2" t="s">
        <v>871</v>
      </c>
      <c r="B776" s="3">
        <v>45911</v>
      </c>
      <c r="C776" s="2" t="s">
        <v>15</v>
      </c>
      <c r="D776" s="2" t="s">
        <v>63</v>
      </c>
      <c r="E776" s="2" t="s">
        <v>44</v>
      </c>
      <c r="F776" s="2" t="s">
        <v>69</v>
      </c>
      <c r="G776" s="2" t="s">
        <v>70</v>
      </c>
      <c r="H776" s="4">
        <v>6</v>
      </c>
      <c r="I776" s="5">
        <v>38154.89</v>
      </c>
      <c r="J776" s="6">
        <v>0.05</v>
      </c>
      <c r="K776" s="5">
        <v>217482.87</v>
      </c>
      <c r="L776" s="5">
        <v>159134.9</v>
      </c>
      <c r="M776" s="5">
        <v>58347.97</v>
      </c>
      <c r="N776" s="2" t="s">
        <v>59</v>
      </c>
    </row>
    <row r="777" spans="1:14" ht="12" customHeight="1">
      <c r="A777" s="2" t="s">
        <v>872</v>
      </c>
      <c r="B777" s="3">
        <v>45860</v>
      </c>
      <c r="C777" s="2" t="s">
        <v>15</v>
      </c>
      <c r="D777" s="2" t="s">
        <v>63</v>
      </c>
      <c r="E777" s="2" t="s">
        <v>17</v>
      </c>
      <c r="F777" s="2" t="s">
        <v>24</v>
      </c>
      <c r="G777" s="2" t="s">
        <v>47</v>
      </c>
      <c r="H777" s="4">
        <v>4</v>
      </c>
      <c r="I777" s="5">
        <v>97812.7</v>
      </c>
      <c r="J777" s="6">
        <v>0.05</v>
      </c>
      <c r="K777" s="5">
        <v>371688.26</v>
      </c>
      <c r="L777" s="5">
        <v>280274.71999999997</v>
      </c>
      <c r="M777" s="5">
        <v>91413.54</v>
      </c>
      <c r="N777" s="2" t="s">
        <v>59</v>
      </c>
    </row>
    <row r="778" spans="1:14" ht="12" customHeight="1">
      <c r="A778" s="2" t="s">
        <v>873</v>
      </c>
      <c r="B778" s="3">
        <v>45809</v>
      </c>
      <c r="C778" s="2" t="s">
        <v>28</v>
      </c>
      <c r="D778" s="2" t="s">
        <v>56</v>
      </c>
      <c r="E778" s="2" t="s">
        <v>44</v>
      </c>
      <c r="F778" s="2" t="s">
        <v>69</v>
      </c>
      <c r="G778" s="2" t="s">
        <v>70</v>
      </c>
      <c r="H778" s="4">
        <v>5</v>
      </c>
      <c r="I778" s="5">
        <v>38307.360000000001</v>
      </c>
      <c r="J778" s="6">
        <v>0</v>
      </c>
      <c r="K778" s="5">
        <v>191536.8</v>
      </c>
      <c r="L778" s="5">
        <v>132939.76999999999</v>
      </c>
      <c r="M778" s="5">
        <v>58597.03</v>
      </c>
      <c r="N778" s="2" t="s">
        <v>59</v>
      </c>
    </row>
    <row r="779" spans="1:14" ht="12" customHeight="1">
      <c r="A779" s="2" t="s">
        <v>874</v>
      </c>
      <c r="B779" s="3">
        <v>45846</v>
      </c>
      <c r="C779" s="2" t="s">
        <v>22</v>
      </c>
      <c r="D779" s="2" t="s">
        <v>37</v>
      </c>
      <c r="E779" s="2" t="s">
        <v>17</v>
      </c>
      <c r="F779" s="2" t="s">
        <v>114</v>
      </c>
      <c r="G779" s="2" t="s">
        <v>70</v>
      </c>
      <c r="H779" s="4">
        <v>6</v>
      </c>
      <c r="I779" s="5">
        <v>51385.17</v>
      </c>
      <c r="J779" s="6">
        <v>0.05</v>
      </c>
      <c r="K779" s="5">
        <v>292895.46999999997</v>
      </c>
      <c r="L779" s="5">
        <v>219060.31</v>
      </c>
      <c r="M779" s="5">
        <v>73835.16</v>
      </c>
      <c r="N779" s="2" t="s">
        <v>232</v>
      </c>
    </row>
    <row r="780" spans="1:14" ht="12" customHeight="1">
      <c r="A780" s="2" t="s">
        <v>875</v>
      </c>
      <c r="B780" s="3">
        <v>45700</v>
      </c>
      <c r="C780" s="2" t="s">
        <v>28</v>
      </c>
      <c r="D780" s="2" t="s">
        <v>56</v>
      </c>
      <c r="E780" s="2" t="s">
        <v>17</v>
      </c>
      <c r="F780" s="2" t="s">
        <v>24</v>
      </c>
      <c r="G780" s="2" t="s">
        <v>58</v>
      </c>
      <c r="H780" s="4">
        <v>8</v>
      </c>
      <c r="I780" s="5">
        <v>88081.39</v>
      </c>
      <c r="J780" s="6">
        <v>0.15</v>
      </c>
      <c r="K780" s="5">
        <v>598953.44999999995</v>
      </c>
      <c r="L780" s="5">
        <v>530569.82999999996</v>
      </c>
      <c r="M780" s="5">
        <v>68383.62</v>
      </c>
      <c r="N780" s="2" t="s">
        <v>33</v>
      </c>
    </row>
    <row r="781" spans="1:14" ht="12" customHeight="1">
      <c r="A781" s="2" t="s">
        <v>876</v>
      </c>
      <c r="B781" s="3">
        <v>45758</v>
      </c>
      <c r="C781" s="2" t="s">
        <v>28</v>
      </c>
      <c r="D781" s="2" t="s">
        <v>52</v>
      </c>
      <c r="E781" s="2" t="s">
        <v>17</v>
      </c>
      <c r="F781" s="2" t="s">
        <v>75</v>
      </c>
      <c r="G781" s="2" t="s">
        <v>32</v>
      </c>
      <c r="H781" s="4">
        <v>2</v>
      </c>
      <c r="I781" s="5">
        <v>180863.01</v>
      </c>
      <c r="J781" s="6">
        <v>0.1</v>
      </c>
      <c r="K781" s="5">
        <v>325553.42</v>
      </c>
      <c r="L781" s="5">
        <v>279462.09999999998</v>
      </c>
      <c r="M781" s="5">
        <v>46091.32</v>
      </c>
      <c r="N781" s="2" t="s">
        <v>59</v>
      </c>
    </row>
    <row r="782" spans="1:14" ht="12" customHeight="1">
      <c r="A782" s="2" t="s">
        <v>877</v>
      </c>
      <c r="B782" s="3">
        <v>45791</v>
      </c>
      <c r="C782" s="2" t="s">
        <v>28</v>
      </c>
      <c r="D782" s="2" t="s">
        <v>29</v>
      </c>
      <c r="E782" s="2" t="s">
        <v>30</v>
      </c>
      <c r="F782" s="2" t="s">
        <v>86</v>
      </c>
      <c r="G782" s="2" t="s">
        <v>64</v>
      </c>
      <c r="H782" s="4">
        <v>3</v>
      </c>
      <c r="I782" s="5">
        <v>35631.58</v>
      </c>
      <c r="J782" s="6">
        <v>0.15</v>
      </c>
      <c r="K782" s="5">
        <v>90860.53</v>
      </c>
      <c r="L782" s="5">
        <v>68970.649999999994</v>
      </c>
      <c r="M782" s="5">
        <v>21889.88</v>
      </c>
      <c r="N782" s="2" t="s">
        <v>59</v>
      </c>
    </row>
    <row r="783" spans="1:14" ht="12" customHeight="1">
      <c r="A783" s="2" t="s">
        <v>878</v>
      </c>
      <c r="B783" s="3">
        <v>45734</v>
      </c>
      <c r="C783" s="2" t="s">
        <v>28</v>
      </c>
      <c r="D783" s="2" t="s">
        <v>56</v>
      </c>
      <c r="E783" s="2" t="s">
        <v>49</v>
      </c>
      <c r="F783" s="2" t="s">
        <v>107</v>
      </c>
      <c r="G783" s="2" t="s">
        <v>25</v>
      </c>
      <c r="H783" s="4">
        <v>1</v>
      </c>
      <c r="I783" s="5">
        <v>5176.71</v>
      </c>
      <c r="J783" s="6">
        <v>0.1</v>
      </c>
      <c r="K783" s="5">
        <v>4659.04</v>
      </c>
      <c r="L783" s="5">
        <v>2805.97</v>
      </c>
      <c r="M783" s="5">
        <v>1853.07</v>
      </c>
      <c r="N783" s="2" t="s">
        <v>26</v>
      </c>
    </row>
    <row r="784" spans="1:14" ht="12" customHeight="1">
      <c r="A784" s="2" t="s">
        <v>879</v>
      </c>
      <c r="B784" s="3">
        <v>45894</v>
      </c>
      <c r="C784" s="2" t="s">
        <v>22</v>
      </c>
      <c r="D784" s="2" t="s">
        <v>37</v>
      </c>
      <c r="E784" s="2" t="s">
        <v>44</v>
      </c>
      <c r="F784" s="2" t="s">
        <v>53</v>
      </c>
      <c r="G784" s="2" t="s">
        <v>32</v>
      </c>
      <c r="H784" s="4">
        <v>4</v>
      </c>
      <c r="I784" s="5">
        <v>8521.52</v>
      </c>
      <c r="J784" s="6">
        <v>0.1</v>
      </c>
      <c r="K784" s="5">
        <v>30677.47</v>
      </c>
      <c r="L784" s="5">
        <v>20051.46</v>
      </c>
      <c r="M784" s="5">
        <v>10626.01</v>
      </c>
      <c r="N784" s="2" t="s">
        <v>33</v>
      </c>
    </row>
    <row r="785" spans="1:14" ht="12" customHeight="1">
      <c r="A785" s="2" t="s">
        <v>880</v>
      </c>
      <c r="B785" s="3">
        <v>45729</v>
      </c>
      <c r="C785" s="2" t="s">
        <v>28</v>
      </c>
      <c r="D785" s="2" t="s">
        <v>52</v>
      </c>
      <c r="E785" s="2" t="s">
        <v>49</v>
      </c>
      <c r="F785" s="2" t="s">
        <v>107</v>
      </c>
      <c r="G785" s="2" t="s">
        <v>61</v>
      </c>
      <c r="H785" s="4">
        <v>4</v>
      </c>
      <c r="I785" s="5">
        <v>5148.9799999999996</v>
      </c>
      <c r="J785" s="6">
        <v>0.1</v>
      </c>
      <c r="K785" s="5">
        <v>18536.330000000002</v>
      </c>
      <c r="L785" s="5">
        <v>10498.76</v>
      </c>
      <c r="M785" s="5">
        <v>8037.57</v>
      </c>
      <c r="N785" s="2" t="s">
        <v>59</v>
      </c>
    </row>
    <row r="786" spans="1:14" ht="12" customHeight="1">
      <c r="A786" s="2" t="s">
        <v>881</v>
      </c>
      <c r="B786" s="3">
        <v>45864</v>
      </c>
      <c r="C786" s="2" t="s">
        <v>15</v>
      </c>
      <c r="D786" s="2" t="s">
        <v>16</v>
      </c>
      <c r="E786" s="2" t="s">
        <v>49</v>
      </c>
      <c r="F786" s="2" t="s">
        <v>57</v>
      </c>
      <c r="G786" s="2" t="s">
        <v>58</v>
      </c>
      <c r="H786" s="4">
        <v>6</v>
      </c>
      <c r="I786" s="5">
        <v>10994.9</v>
      </c>
      <c r="J786" s="6">
        <v>0.05</v>
      </c>
      <c r="K786" s="5">
        <v>62670.93</v>
      </c>
      <c r="L786" s="5">
        <v>39702.129999999997</v>
      </c>
      <c r="M786" s="5">
        <v>22968.799999999999</v>
      </c>
      <c r="N786" s="2" t="s">
        <v>59</v>
      </c>
    </row>
    <row r="787" spans="1:14" ht="12" customHeight="1">
      <c r="A787" s="2" t="s">
        <v>882</v>
      </c>
      <c r="B787" s="3">
        <v>45966</v>
      </c>
      <c r="C787" s="2" t="s">
        <v>15</v>
      </c>
      <c r="D787" s="2" t="s">
        <v>16</v>
      </c>
      <c r="E787" s="2" t="s">
        <v>17</v>
      </c>
      <c r="F787" s="2" t="s">
        <v>24</v>
      </c>
      <c r="G787" s="2" t="s">
        <v>25</v>
      </c>
      <c r="H787" s="4">
        <v>3</v>
      </c>
      <c r="I787" s="5">
        <v>99025.02</v>
      </c>
      <c r="J787" s="6">
        <v>0.05</v>
      </c>
      <c r="K787" s="5">
        <v>282221.31</v>
      </c>
      <c r="L787" s="5">
        <v>205993.77</v>
      </c>
      <c r="M787" s="5">
        <v>76227.539999999994</v>
      </c>
      <c r="N787" s="2" t="s">
        <v>20</v>
      </c>
    </row>
    <row r="788" spans="1:14" ht="12" customHeight="1">
      <c r="A788" s="2" t="s">
        <v>883</v>
      </c>
      <c r="B788" s="3">
        <v>45889</v>
      </c>
      <c r="C788" s="2" t="s">
        <v>22</v>
      </c>
      <c r="D788" s="2" t="s">
        <v>35</v>
      </c>
      <c r="E788" s="2" t="s">
        <v>17</v>
      </c>
      <c r="F788" s="2" t="s">
        <v>114</v>
      </c>
      <c r="G788" s="2" t="s">
        <v>58</v>
      </c>
      <c r="H788" s="4">
        <v>4</v>
      </c>
      <c r="I788" s="5">
        <v>51790.15</v>
      </c>
      <c r="J788" s="6">
        <v>0.05</v>
      </c>
      <c r="K788" s="5">
        <v>196802.57</v>
      </c>
      <c r="L788" s="5">
        <v>147440.44</v>
      </c>
      <c r="M788" s="5">
        <v>49362.13</v>
      </c>
      <c r="N788" s="2" t="s">
        <v>33</v>
      </c>
    </row>
    <row r="789" spans="1:14" ht="12" customHeight="1">
      <c r="A789" s="2" t="s">
        <v>884</v>
      </c>
      <c r="B789" s="3">
        <v>45855</v>
      </c>
      <c r="C789" s="2" t="s">
        <v>22</v>
      </c>
      <c r="D789" s="2" t="s">
        <v>23</v>
      </c>
      <c r="E789" s="2" t="s">
        <v>44</v>
      </c>
      <c r="F789" s="2" t="s">
        <v>80</v>
      </c>
      <c r="G789" s="2" t="s">
        <v>58</v>
      </c>
      <c r="H789" s="4">
        <v>8</v>
      </c>
      <c r="I789" s="5">
        <v>39744.65</v>
      </c>
      <c r="J789" s="6">
        <v>0</v>
      </c>
      <c r="K789" s="5">
        <v>317957.2</v>
      </c>
      <c r="L789" s="5">
        <v>241766.36</v>
      </c>
      <c r="M789" s="5">
        <v>76190.84</v>
      </c>
      <c r="N789" s="2" t="s">
        <v>26</v>
      </c>
    </row>
    <row r="790" spans="1:14" ht="12" customHeight="1">
      <c r="A790" s="2" t="s">
        <v>885</v>
      </c>
      <c r="B790" s="3">
        <v>45868</v>
      </c>
      <c r="C790" s="2" t="s">
        <v>22</v>
      </c>
      <c r="D790" s="2" t="s">
        <v>35</v>
      </c>
      <c r="E790" s="2" t="s">
        <v>17</v>
      </c>
      <c r="F790" s="2" t="s">
        <v>114</v>
      </c>
      <c r="G790" s="2" t="s">
        <v>25</v>
      </c>
      <c r="H790" s="4">
        <v>1</v>
      </c>
      <c r="I790" s="5">
        <v>50907.19</v>
      </c>
      <c r="J790" s="6">
        <v>0</v>
      </c>
      <c r="K790" s="5">
        <v>50907.19</v>
      </c>
      <c r="L790" s="5">
        <v>35844.01</v>
      </c>
      <c r="M790" s="5">
        <v>15063.18</v>
      </c>
      <c r="N790" s="2" t="s">
        <v>26</v>
      </c>
    </row>
    <row r="791" spans="1:14" ht="12" customHeight="1">
      <c r="A791" s="2" t="s">
        <v>886</v>
      </c>
      <c r="B791" s="3">
        <v>45763</v>
      </c>
      <c r="C791" s="2" t="s">
        <v>22</v>
      </c>
      <c r="D791" s="2" t="s">
        <v>23</v>
      </c>
      <c r="E791" s="2" t="s">
        <v>49</v>
      </c>
      <c r="F791" s="2" t="s">
        <v>107</v>
      </c>
      <c r="G791" s="2" t="s">
        <v>58</v>
      </c>
      <c r="H791" s="4">
        <v>2</v>
      </c>
      <c r="I791" s="5">
        <v>5107.6400000000003</v>
      </c>
      <c r="J791" s="6">
        <v>0</v>
      </c>
      <c r="K791" s="5">
        <v>10215.280000000001</v>
      </c>
      <c r="L791" s="5">
        <v>5287.11</v>
      </c>
      <c r="M791" s="5">
        <v>4928.17</v>
      </c>
      <c r="N791" s="2" t="s">
        <v>20</v>
      </c>
    </row>
    <row r="792" spans="1:14" ht="12" customHeight="1">
      <c r="A792" s="2" t="s">
        <v>887</v>
      </c>
      <c r="B792" s="3">
        <v>45892</v>
      </c>
      <c r="C792" s="2" t="s">
        <v>15</v>
      </c>
      <c r="D792" s="2" t="s">
        <v>43</v>
      </c>
      <c r="E792" s="2" t="s">
        <v>49</v>
      </c>
      <c r="F792" s="2" t="s">
        <v>50</v>
      </c>
      <c r="G792" s="2" t="s">
        <v>58</v>
      </c>
      <c r="H792" s="4">
        <v>5</v>
      </c>
      <c r="I792" s="5">
        <v>4258.79</v>
      </c>
      <c r="J792" s="6">
        <v>0.1</v>
      </c>
      <c r="K792" s="5">
        <v>19164.560000000001</v>
      </c>
      <c r="L792" s="5">
        <v>10711.83</v>
      </c>
      <c r="M792" s="5">
        <v>8452.73</v>
      </c>
      <c r="N792" s="2" t="s">
        <v>26</v>
      </c>
    </row>
    <row r="793" spans="1:14" ht="12" customHeight="1">
      <c r="A793" s="2" t="s">
        <v>888</v>
      </c>
      <c r="B793" s="3">
        <v>45949</v>
      </c>
      <c r="C793" s="2" t="s">
        <v>22</v>
      </c>
      <c r="D793" s="2" t="s">
        <v>23</v>
      </c>
      <c r="E793" s="2" t="s">
        <v>49</v>
      </c>
      <c r="F793" s="2" t="s">
        <v>91</v>
      </c>
      <c r="G793" s="2" t="s">
        <v>70</v>
      </c>
      <c r="H793" s="4">
        <v>7</v>
      </c>
      <c r="I793" s="5">
        <v>6609.04</v>
      </c>
      <c r="J793" s="6">
        <v>0</v>
      </c>
      <c r="K793" s="5">
        <v>46263.28</v>
      </c>
      <c r="L793" s="5">
        <v>25371.61</v>
      </c>
      <c r="M793" s="5">
        <v>20891.669999999998</v>
      </c>
      <c r="N793" s="2" t="s">
        <v>20</v>
      </c>
    </row>
    <row r="794" spans="1:14" ht="12" customHeight="1">
      <c r="A794" s="2" t="s">
        <v>889</v>
      </c>
      <c r="B794" s="3">
        <v>46022</v>
      </c>
      <c r="C794" s="2" t="s">
        <v>28</v>
      </c>
      <c r="D794" s="2" t="s">
        <v>29</v>
      </c>
      <c r="E794" s="2" t="s">
        <v>17</v>
      </c>
      <c r="F794" s="2" t="s">
        <v>75</v>
      </c>
      <c r="G794" s="2" t="s">
        <v>58</v>
      </c>
      <c r="H794" s="4">
        <v>5</v>
      </c>
      <c r="I794" s="5">
        <v>189330.45</v>
      </c>
      <c r="J794" s="6">
        <v>0.05</v>
      </c>
      <c r="K794" s="5">
        <v>899319.64</v>
      </c>
      <c r="L794" s="5">
        <v>705935.06</v>
      </c>
      <c r="M794" s="5">
        <v>193384.58</v>
      </c>
      <c r="N794" s="2" t="s">
        <v>20</v>
      </c>
    </row>
    <row r="795" spans="1:14" ht="12" customHeight="1">
      <c r="A795" s="2" t="s">
        <v>890</v>
      </c>
      <c r="B795" s="3">
        <v>45854</v>
      </c>
      <c r="C795" s="2" t="s">
        <v>15</v>
      </c>
      <c r="D795" s="2" t="s">
        <v>16</v>
      </c>
      <c r="E795" s="2" t="s">
        <v>49</v>
      </c>
      <c r="F795" s="2" t="s">
        <v>50</v>
      </c>
      <c r="G795" s="2" t="s">
        <v>61</v>
      </c>
      <c r="H795" s="4">
        <v>3</v>
      </c>
      <c r="I795" s="5">
        <v>4468.78</v>
      </c>
      <c r="J795" s="6">
        <v>0.15</v>
      </c>
      <c r="K795" s="5">
        <v>11395.39</v>
      </c>
      <c r="L795" s="5">
        <v>6301.55</v>
      </c>
      <c r="M795" s="5">
        <v>5093.84</v>
      </c>
      <c r="N795" s="2" t="s">
        <v>33</v>
      </c>
    </row>
    <row r="796" spans="1:14" ht="12" customHeight="1">
      <c r="A796" s="2" t="s">
        <v>891</v>
      </c>
      <c r="B796" s="3">
        <v>45999</v>
      </c>
      <c r="C796" s="2" t="s">
        <v>28</v>
      </c>
      <c r="D796" s="2" t="s">
        <v>29</v>
      </c>
      <c r="E796" s="2" t="s">
        <v>17</v>
      </c>
      <c r="F796" s="2" t="s">
        <v>24</v>
      </c>
      <c r="G796" s="2" t="s">
        <v>19</v>
      </c>
      <c r="H796" s="4">
        <v>3</v>
      </c>
      <c r="I796" s="5">
        <v>88669.99</v>
      </c>
      <c r="J796" s="6">
        <v>0.15</v>
      </c>
      <c r="K796" s="5">
        <v>226108.47</v>
      </c>
      <c r="L796" s="5">
        <v>205558.89</v>
      </c>
      <c r="M796" s="5">
        <v>20549.580000000002</v>
      </c>
      <c r="N796" s="2" t="s">
        <v>26</v>
      </c>
    </row>
    <row r="797" spans="1:14" ht="12" customHeight="1">
      <c r="A797" s="2" t="s">
        <v>892</v>
      </c>
      <c r="B797" s="3">
        <v>45824</v>
      </c>
      <c r="C797" s="2" t="s">
        <v>28</v>
      </c>
      <c r="D797" s="2" t="s">
        <v>56</v>
      </c>
      <c r="E797" s="2" t="s">
        <v>17</v>
      </c>
      <c r="F797" s="2" t="s">
        <v>18</v>
      </c>
      <c r="G797" s="2" t="s">
        <v>25</v>
      </c>
      <c r="H797" s="4">
        <v>2</v>
      </c>
      <c r="I797" s="5">
        <v>15092.52</v>
      </c>
      <c r="J797" s="6">
        <v>0.1</v>
      </c>
      <c r="K797" s="5">
        <v>27166.54</v>
      </c>
      <c r="L797" s="5">
        <v>16787.990000000002</v>
      </c>
      <c r="M797" s="5">
        <v>10378.549999999999</v>
      </c>
      <c r="N797" s="2" t="s">
        <v>20</v>
      </c>
    </row>
    <row r="798" spans="1:14" ht="12" customHeight="1">
      <c r="A798" s="2" t="s">
        <v>893</v>
      </c>
      <c r="B798" s="3">
        <v>45894</v>
      </c>
      <c r="C798" s="2" t="s">
        <v>22</v>
      </c>
      <c r="D798" s="2" t="s">
        <v>35</v>
      </c>
      <c r="E798" s="2" t="s">
        <v>44</v>
      </c>
      <c r="F798" s="2" t="s">
        <v>80</v>
      </c>
      <c r="G798" s="2" t="s">
        <v>25</v>
      </c>
      <c r="H798" s="4">
        <v>8</v>
      </c>
      <c r="I798" s="5">
        <v>39743.82</v>
      </c>
      <c r="J798" s="6">
        <v>0.15</v>
      </c>
      <c r="K798" s="5">
        <v>270257.98</v>
      </c>
      <c r="L798" s="5">
        <v>252616.27</v>
      </c>
      <c r="M798" s="5">
        <v>17641.71</v>
      </c>
      <c r="N798" s="2" t="s">
        <v>59</v>
      </c>
    </row>
    <row r="799" spans="1:14" ht="12" customHeight="1">
      <c r="A799" s="2" t="s">
        <v>894</v>
      </c>
      <c r="B799" s="3">
        <v>45727</v>
      </c>
      <c r="C799" s="2" t="s">
        <v>15</v>
      </c>
      <c r="D799" s="2" t="s">
        <v>63</v>
      </c>
      <c r="E799" s="2" t="s">
        <v>44</v>
      </c>
      <c r="F799" s="2" t="s">
        <v>53</v>
      </c>
      <c r="G799" s="2" t="s">
        <v>32</v>
      </c>
      <c r="H799" s="4">
        <v>1</v>
      </c>
      <c r="I799" s="5">
        <v>7834.6</v>
      </c>
      <c r="J799" s="6">
        <v>0</v>
      </c>
      <c r="K799" s="5">
        <v>7834.6</v>
      </c>
      <c r="L799" s="5">
        <v>4996.22</v>
      </c>
      <c r="M799" s="5">
        <v>2838.38</v>
      </c>
      <c r="N799" s="2" t="s">
        <v>20</v>
      </c>
    </row>
    <row r="800" spans="1:14" ht="12" customHeight="1">
      <c r="A800" s="2" t="s">
        <v>895</v>
      </c>
      <c r="B800" s="3">
        <v>45800</v>
      </c>
      <c r="C800" s="2" t="s">
        <v>28</v>
      </c>
      <c r="D800" s="2" t="s">
        <v>56</v>
      </c>
      <c r="E800" s="2" t="s">
        <v>17</v>
      </c>
      <c r="F800" s="2" t="s">
        <v>75</v>
      </c>
      <c r="G800" s="2" t="s">
        <v>61</v>
      </c>
      <c r="H800" s="4">
        <v>4</v>
      </c>
      <c r="I800" s="5">
        <v>191322.01</v>
      </c>
      <c r="J800" s="6">
        <v>0.05</v>
      </c>
      <c r="K800" s="5">
        <v>727023.64</v>
      </c>
      <c r="L800" s="5">
        <v>556536.56999999995</v>
      </c>
      <c r="M800" s="5">
        <v>170487.07</v>
      </c>
      <c r="N800" s="2" t="s">
        <v>26</v>
      </c>
    </row>
    <row r="801" spans="1:14" ht="12" customHeight="1">
      <c r="A801" s="2" t="s">
        <v>896</v>
      </c>
      <c r="B801" s="3">
        <v>45697</v>
      </c>
      <c r="C801" s="2" t="s">
        <v>22</v>
      </c>
      <c r="D801" s="2" t="s">
        <v>37</v>
      </c>
      <c r="E801" s="2" t="s">
        <v>17</v>
      </c>
      <c r="F801" s="2" t="s">
        <v>24</v>
      </c>
      <c r="G801" s="2" t="s">
        <v>64</v>
      </c>
      <c r="H801" s="4">
        <v>5</v>
      </c>
      <c r="I801" s="5">
        <v>86467.51</v>
      </c>
      <c r="J801" s="6">
        <v>0.15</v>
      </c>
      <c r="K801" s="5">
        <v>367486.92</v>
      </c>
      <c r="L801" s="5">
        <v>339102.22</v>
      </c>
      <c r="M801" s="5">
        <v>28384.7</v>
      </c>
      <c r="N801" s="2" t="s">
        <v>59</v>
      </c>
    </row>
    <row r="802" spans="1:14" ht="12" customHeight="1">
      <c r="A802" s="2" t="s">
        <v>897</v>
      </c>
      <c r="B802" s="3">
        <v>45884</v>
      </c>
      <c r="C802" s="2" t="s">
        <v>22</v>
      </c>
      <c r="D802" s="2" t="s">
        <v>35</v>
      </c>
      <c r="E802" s="2" t="s">
        <v>30</v>
      </c>
      <c r="F802" s="2" t="s">
        <v>86</v>
      </c>
      <c r="G802" s="2" t="s">
        <v>64</v>
      </c>
      <c r="H802" s="4">
        <v>4</v>
      </c>
      <c r="I802" s="5">
        <v>34132.1</v>
      </c>
      <c r="J802" s="6">
        <v>0.15</v>
      </c>
      <c r="K802" s="5">
        <v>116049.14</v>
      </c>
      <c r="L802" s="5">
        <v>90653.48</v>
      </c>
      <c r="M802" s="5">
        <v>25395.66</v>
      </c>
      <c r="N802" s="2" t="s">
        <v>33</v>
      </c>
    </row>
    <row r="803" spans="1:14" ht="12" customHeight="1">
      <c r="A803" s="2" t="s">
        <v>898</v>
      </c>
      <c r="B803" s="3">
        <v>45761</v>
      </c>
      <c r="C803" s="2" t="s">
        <v>28</v>
      </c>
      <c r="D803" s="2" t="s">
        <v>29</v>
      </c>
      <c r="E803" s="2" t="s">
        <v>30</v>
      </c>
      <c r="F803" s="2" t="s">
        <v>40</v>
      </c>
      <c r="G803" s="2" t="s">
        <v>47</v>
      </c>
      <c r="H803" s="4">
        <v>1</v>
      </c>
      <c r="I803" s="5">
        <v>24884.959999999999</v>
      </c>
      <c r="J803" s="6">
        <v>0</v>
      </c>
      <c r="K803" s="5">
        <v>24884.959999999999</v>
      </c>
      <c r="L803" s="5">
        <v>16180.29</v>
      </c>
      <c r="M803" s="5">
        <v>8704.67</v>
      </c>
      <c r="N803" s="2" t="s">
        <v>59</v>
      </c>
    </row>
    <row r="804" spans="1:14" ht="12" customHeight="1">
      <c r="A804" s="2" t="s">
        <v>899</v>
      </c>
      <c r="B804" s="3" t="s">
        <v>900</v>
      </c>
      <c r="C804" s="2" t="s">
        <v>22</v>
      </c>
      <c r="D804" s="2" t="s">
        <v>23</v>
      </c>
      <c r="E804" s="2" t="s">
        <v>17</v>
      </c>
      <c r="F804" s="2" t="s">
        <v>75</v>
      </c>
      <c r="G804" s="2" t="s">
        <v>19</v>
      </c>
      <c r="H804" s="4">
        <v>7</v>
      </c>
      <c r="I804" s="5">
        <v>171027.15</v>
      </c>
      <c r="J804" s="6">
        <v>0</v>
      </c>
      <c r="K804" s="5">
        <v>1197190.05</v>
      </c>
      <c r="L804" s="5">
        <v>987636.58</v>
      </c>
      <c r="M804" s="5">
        <v>209553.47</v>
      </c>
      <c r="N804" s="2" t="s">
        <v>26</v>
      </c>
    </row>
    <row r="805" spans="1:14" ht="12" customHeight="1">
      <c r="A805" s="2" t="s">
        <v>901</v>
      </c>
      <c r="B805" s="3">
        <v>45823</v>
      </c>
      <c r="C805" s="2" t="s">
        <v>22</v>
      </c>
      <c r="D805" s="2" t="s">
        <v>37</v>
      </c>
      <c r="E805" s="2" t="s">
        <v>44</v>
      </c>
      <c r="F805" s="2" t="s">
        <v>45</v>
      </c>
      <c r="G805" s="2" t="s">
        <v>47</v>
      </c>
      <c r="H805" s="4">
        <v>1</v>
      </c>
      <c r="I805" s="5">
        <v>28115.5</v>
      </c>
      <c r="J805" s="6">
        <v>0</v>
      </c>
      <c r="K805" s="5">
        <v>28115.5</v>
      </c>
      <c r="L805" s="5">
        <v>19514.78</v>
      </c>
      <c r="M805" s="5">
        <v>8600.7199999999993</v>
      </c>
      <c r="N805" s="2" t="s">
        <v>26</v>
      </c>
    </row>
    <row r="806" spans="1:14" ht="12" customHeight="1">
      <c r="A806" s="2" t="s">
        <v>902</v>
      </c>
      <c r="B806" s="3">
        <v>45665</v>
      </c>
      <c r="C806" s="2" t="s">
        <v>15</v>
      </c>
      <c r="D806" s="2" t="s">
        <v>63</v>
      </c>
      <c r="E806" s="2" t="s">
        <v>49</v>
      </c>
      <c r="F806" s="2" t="s">
        <v>91</v>
      </c>
      <c r="G806" s="2" t="s">
        <v>25</v>
      </c>
      <c r="H806" s="4">
        <v>4</v>
      </c>
      <c r="I806" s="5">
        <v>6202.33</v>
      </c>
      <c r="J806" s="6">
        <v>0.05</v>
      </c>
      <c r="K806" s="5">
        <v>23568.85</v>
      </c>
      <c r="L806" s="5">
        <v>14293.95</v>
      </c>
      <c r="M806" s="5">
        <v>9274.9</v>
      </c>
      <c r="N806" s="2" t="s">
        <v>59</v>
      </c>
    </row>
    <row r="807" spans="1:14" ht="12" customHeight="1">
      <c r="A807" s="2" t="s">
        <v>903</v>
      </c>
      <c r="B807" s="3">
        <v>45846</v>
      </c>
      <c r="C807" s="2" t="s">
        <v>22</v>
      </c>
      <c r="D807" s="2" t="s">
        <v>35</v>
      </c>
      <c r="E807" s="2" t="s">
        <v>44</v>
      </c>
      <c r="F807" s="2" t="s">
        <v>53</v>
      </c>
      <c r="G807" s="2" t="s">
        <v>64</v>
      </c>
      <c r="H807" s="4">
        <v>4</v>
      </c>
      <c r="I807" s="5">
        <v>7909.78</v>
      </c>
      <c r="J807" s="6">
        <v>0.05</v>
      </c>
      <c r="K807" s="5">
        <v>30057.16</v>
      </c>
      <c r="L807" s="5">
        <v>19903.72</v>
      </c>
      <c r="M807" s="5">
        <v>10153.44</v>
      </c>
      <c r="N807" s="2" t="s">
        <v>33</v>
      </c>
    </row>
    <row r="808" spans="1:14" ht="12" customHeight="1">
      <c r="A808" s="2" t="s">
        <v>904</v>
      </c>
      <c r="B808" s="3">
        <v>45706</v>
      </c>
      <c r="C808" s="2" t="s">
        <v>22</v>
      </c>
      <c r="D808" s="2" t="s">
        <v>35</v>
      </c>
      <c r="E808" s="2" t="s">
        <v>30</v>
      </c>
      <c r="F808" s="2" t="s">
        <v>40</v>
      </c>
      <c r="G808" s="2" t="s">
        <v>32</v>
      </c>
      <c r="H808" s="4">
        <v>2</v>
      </c>
      <c r="I808" s="5">
        <v>25333.119999999999</v>
      </c>
      <c r="J808" s="6">
        <v>0.1</v>
      </c>
      <c r="K808" s="5">
        <v>45599.62</v>
      </c>
      <c r="L808" s="5">
        <v>31031.27</v>
      </c>
      <c r="M808" s="5">
        <v>14568.35</v>
      </c>
      <c r="N808" s="2" t="s">
        <v>20</v>
      </c>
    </row>
    <row r="809" spans="1:14" ht="12" customHeight="1">
      <c r="A809" s="2" t="s">
        <v>905</v>
      </c>
      <c r="B809" s="3">
        <v>45999</v>
      </c>
      <c r="C809" s="2" t="s">
        <v>15</v>
      </c>
      <c r="D809" s="2" t="s">
        <v>43</v>
      </c>
      <c r="E809" s="2" t="s">
        <v>44</v>
      </c>
      <c r="F809" s="2" t="s">
        <v>69</v>
      </c>
      <c r="G809" s="2" t="s">
        <v>70</v>
      </c>
      <c r="H809" s="4">
        <v>3</v>
      </c>
      <c r="I809" s="5">
        <v>38822.949999999997</v>
      </c>
      <c r="J809" s="6">
        <v>0.15</v>
      </c>
      <c r="K809" s="5">
        <v>98998.52</v>
      </c>
      <c r="L809" s="5">
        <v>77396.100000000006</v>
      </c>
      <c r="M809" s="5">
        <v>21602.42</v>
      </c>
      <c r="N809" s="2" t="s">
        <v>33</v>
      </c>
    </row>
    <row r="810" spans="1:14" ht="12" customHeight="1">
      <c r="A810" s="2" t="s">
        <v>906</v>
      </c>
      <c r="B810" s="3">
        <v>45777</v>
      </c>
      <c r="C810" s="2" t="s">
        <v>28</v>
      </c>
      <c r="D810" s="2" t="s">
        <v>52</v>
      </c>
      <c r="E810" s="2" t="s">
        <v>907</v>
      </c>
      <c r="F810" s="2" t="s">
        <v>107</v>
      </c>
      <c r="G810" s="2" t="s">
        <v>64</v>
      </c>
      <c r="H810" s="4">
        <v>4</v>
      </c>
      <c r="I810" s="5">
        <v>5202.8500000000004</v>
      </c>
      <c r="J810" s="6">
        <v>0.15</v>
      </c>
      <c r="K810" s="5">
        <v>17689.689999999999</v>
      </c>
      <c r="L810" s="5">
        <v>11223.22</v>
      </c>
      <c r="M810" s="5">
        <v>6466.47</v>
      </c>
      <c r="N810" s="2" t="s">
        <v>33</v>
      </c>
    </row>
    <row r="811" spans="1:14" ht="12" customHeight="1">
      <c r="A811" s="2" t="s">
        <v>908</v>
      </c>
      <c r="B811" s="3">
        <v>45761</v>
      </c>
      <c r="C811" s="2" t="s">
        <v>28</v>
      </c>
      <c r="D811" s="2" t="s">
        <v>52</v>
      </c>
      <c r="E811" s="2" t="s">
        <v>49</v>
      </c>
      <c r="F811" s="2" t="s">
        <v>50</v>
      </c>
      <c r="G811" s="2" t="s">
        <v>61</v>
      </c>
      <c r="H811" s="4">
        <v>2</v>
      </c>
      <c r="I811" s="5">
        <v>3904.27</v>
      </c>
      <c r="J811" s="6">
        <v>0.05</v>
      </c>
      <c r="K811" s="5">
        <v>7418.11</v>
      </c>
      <c r="L811" s="5">
        <v>4220.63</v>
      </c>
      <c r="M811" s="5">
        <v>3197.48</v>
      </c>
      <c r="N811" s="2" t="s">
        <v>20</v>
      </c>
    </row>
    <row r="812" spans="1:14" ht="12" customHeight="1">
      <c r="A812" s="2" t="s">
        <v>909</v>
      </c>
      <c r="B812" s="3">
        <v>45820</v>
      </c>
      <c r="C812" s="2" t="s">
        <v>22</v>
      </c>
      <c r="D812" s="2" t="s">
        <v>37</v>
      </c>
      <c r="E812" s="2" t="s">
        <v>17</v>
      </c>
      <c r="F812" s="2" t="s">
        <v>24</v>
      </c>
      <c r="G812" s="2" t="s">
        <v>64</v>
      </c>
      <c r="H812" s="4">
        <v>8</v>
      </c>
      <c r="I812" s="5">
        <v>95521.84</v>
      </c>
      <c r="J812" s="6">
        <v>0.05</v>
      </c>
      <c r="K812" s="5">
        <v>725965.98</v>
      </c>
      <c r="L812" s="5">
        <v>532792.89</v>
      </c>
      <c r="M812" s="5">
        <v>193173.09</v>
      </c>
      <c r="N812" s="2" t="s">
        <v>20</v>
      </c>
    </row>
    <row r="813" spans="1:14" ht="12" customHeight="1">
      <c r="A813" s="2" t="s">
        <v>910</v>
      </c>
      <c r="B813" s="3">
        <v>45998</v>
      </c>
      <c r="C813" s="2" t="s">
        <v>15</v>
      </c>
      <c r="D813" s="2" t="s">
        <v>63</v>
      </c>
      <c r="E813" s="2" t="s">
        <v>17</v>
      </c>
      <c r="F813" s="2" t="s">
        <v>24</v>
      </c>
      <c r="G813" s="2" t="s">
        <v>47</v>
      </c>
      <c r="H813" s="4">
        <v>6</v>
      </c>
      <c r="I813" s="5">
        <v>89684.96</v>
      </c>
      <c r="J813" s="6">
        <v>0</v>
      </c>
      <c r="K813" s="5">
        <v>538109.76</v>
      </c>
      <c r="L813" s="5">
        <v>411162.74</v>
      </c>
      <c r="M813" s="5">
        <v>126947.02</v>
      </c>
      <c r="N813" s="2" t="s">
        <v>26</v>
      </c>
    </row>
    <row r="814" spans="1:14" ht="12" customHeight="1">
      <c r="A814" s="2" t="s">
        <v>911</v>
      </c>
      <c r="B814" s="3">
        <v>45693</v>
      </c>
      <c r="C814" s="2" t="s">
        <v>15</v>
      </c>
      <c r="D814" s="2" t="s">
        <v>63</v>
      </c>
      <c r="E814" s="2" t="s">
        <v>30</v>
      </c>
      <c r="F814" s="2" t="s">
        <v>86</v>
      </c>
      <c r="G814" s="2" t="s">
        <v>47</v>
      </c>
      <c r="H814" s="4">
        <v>8</v>
      </c>
      <c r="I814" s="5">
        <v>33685.25</v>
      </c>
      <c r="J814" s="6">
        <v>0</v>
      </c>
      <c r="K814" s="5">
        <v>269482</v>
      </c>
      <c r="L814" s="5">
        <v>185560.32000000001</v>
      </c>
      <c r="M814" s="5">
        <v>83921.68</v>
      </c>
      <c r="N814" s="2" t="s">
        <v>33</v>
      </c>
    </row>
    <row r="815" spans="1:14" ht="12" customHeight="1">
      <c r="A815" s="2" t="s">
        <v>912</v>
      </c>
      <c r="B815" s="3">
        <v>45762</v>
      </c>
      <c r="C815" s="2" t="s">
        <v>15</v>
      </c>
      <c r="D815" s="2" t="s">
        <v>16</v>
      </c>
      <c r="E815" s="2" t="s">
        <v>44</v>
      </c>
      <c r="F815" s="2" t="s">
        <v>45</v>
      </c>
      <c r="G815" s="2" t="s">
        <v>47</v>
      </c>
      <c r="H815" s="4">
        <v>2</v>
      </c>
      <c r="I815" s="5">
        <v>27011.96</v>
      </c>
      <c r="J815" s="6">
        <v>0.1</v>
      </c>
      <c r="K815" s="5">
        <v>48621.53</v>
      </c>
      <c r="L815" s="5">
        <v>39071.050000000003</v>
      </c>
      <c r="M815" s="5">
        <v>9550.48</v>
      </c>
      <c r="N815" s="2" t="s">
        <v>33</v>
      </c>
    </row>
    <row r="816" spans="1:14" ht="12" customHeight="1">
      <c r="A816" s="2" t="s">
        <v>913</v>
      </c>
      <c r="B816" s="3">
        <v>45968</v>
      </c>
      <c r="C816" s="2" t="s">
        <v>28</v>
      </c>
      <c r="D816" s="2" t="s">
        <v>29</v>
      </c>
      <c r="E816" s="2" t="s">
        <v>49</v>
      </c>
      <c r="F816" s="2" t="s">
        <v>57</v>
      </c>
      <c r="G816" s="2" t="s">
        <v>47</v>
      </c>
      <c r="H816" s="4">
        <v>3</v>
      </c>
      <c r="I816" s="5">
        <v>11907.88</v>
      </c>
      <c r="J816" s="6">
        <v>0</v>
      </c>
      <c r="K816" s="5">
        <v>35723.64</v>
      </c>
      <c r="L816" s="5">
        <v>19493.78</v>
      </c>
      <c r="M816" s="5">
        <v>16229.86</v>
      </c>
      <c r="N816" s="2" t="s">
        <v>59</v>
      </c>
    </row>
    <row r="817" spans="1:14" ht="12" customHeight="1">
      <c r="A817" s="2" t="s">
        <v>914</v>
      </c>
      <c r="B817" s="3">
        <v>45842</v>
      </c>
      <c r="C817" s="2" t="s">
        <v>28</v>
      </c>
      <c r="D817" s="2" t="s">
        <v>29</v>
      </c>
      <c r="E817" s="2" t="s">
        <v>49</v>
      </c>
      <c r="F817" s="2" t="s">
        <v>50</v>
      </c>
      <c r="G817" s="2" t="s">
        <v>25</v>
      </c>
      <c r="H817" s="4">
        <v>5</v>
      </c>
      <c r="I817" s="5">
        <v>4443.55</v>
      </c>
      <c r="J817" s="6">
        <v>0.05</v>
      </c>
      <c r="K817" s="5">
        <v>21106.86</v>
      </c>
      <c r="L817" s="5">
        <v>10243.81</v>
      </c>
      <c r="M817" s="5">
        <v>10863.05</v>
      </c>
      <c r="N817" s="2" t="s">
        <v>20</v>
      </c>
    </row>
    <row r="818" spans="1:14" ht="12" customHeight="1">
      <c r="A818" s="2" t="s">
        <v>915</v>
      </c>
      <c r="B818" s="3">
        <v>45853</v>
      </c>
      <c r="C818" s="2" t="s">
        <v>22</v>
      </c>
      <c r="D818" s="2" t="s">
        <v>35</v>
      </c>
      <c r="E818" s="2" t="s">
        <v>49</v>
      </c>
      <c r="F818" s="2" t="s">
        <v>107</v>
      </c>
      <c r="G818" s="2" t="s">
        <v>25</v>
      </c>
      <c r="H818" s="4">
        <v>7</v>
      </c>
      <c r="I818" s="5">
        <v>5416.59</v>
      </c>
      <c r="J818" s="6">
        <v>0.05</v>
      </c>
      <c r="K818" s="5">
        <v>36020.32</v>
      </c>
      <c r="L818" s="5">
        <v>18359.21</v>
      </c>
      <c r="M818" s="5">
        <v>17661.11</v>
      </c>
      <c r="N818" s="2" t="s">
        <v>33</v>
      </c>
    </row>
    <row r="819" spans="1:14" ht="12" customHeight="1">
      <c r="A819" s="2" t="s">
        <v>916</v>
      </c>
      <c r="B819" s="3">
        <v>45850</v>
      </c>
      <c r="C819" s="2" t="s">
        <v>28</v>
      </c>
      <c r="D819" s="2" t="s">
        <v>29</v>
      </c>
      <c r="E819" s="2" t="s">
        <v>44</v>
      </c>
      <c r="F819" s="2" t="s">
        <v>45</v>
      </c>
      <c r="G819" s="2" t="s">
        <v>70</v>
      </c>
      <c r="H819" s="4">
        <v>5</v>
      </c>
      <c r="I819" s="5">
        <v>27954.85</v>
      </c>
      <c r="J819" s="6">
        <v>0.05</v>
      </c>
      <c r="K819" s="5">
        <v>132785.54</v>
      </c>
      <c r="L819" s="5">
        <v>95166.46</v>
      </c>
      <c r="M819" s="5">
        <v>37619.08</v>
      </c>
      <c r="N819" s="2" t="s">
        <v>33</v>
      </c>
    </row>
    <row r="820" spans="1:14" ht="12" customHeight="1">
      <c r="A820" s="2" t="s">
        <v>917</v>
      </c>
      <c r="B820" s="3">
        <v>45914</v>
      </c>
      <c r="C820" s="2" t="s">
        <v>28</v>
      </c>
      <c r="D820" s="2" t="s">
        <v>52</v>
      </c>
      <c r="E820" s="2" t="s">
        <v>49</v>
      </c>
      <c r="F820" s="2" t="s">
        <v>50</v>
      </c>
      <c r="G820" s="2" t="s">
        <v>32</v>
      </c>
      <c r="H820" s="4">
        <v>3</v>
      </c>
      <c r="I820" s="5">
        <v>4479.6400000000003</v>
      </c>
      <c r="J820" s="6">
        <v>0</v>
      </c>
      <c r="K820" s="5">
        <v>13438.92</v>
      </c>
      <c r="L820" s="5">
        <v>6116.66</v>
      </c>
      <c r="M820" s="5">
        <v>7322.26</v>
      </c>
      <c r="N820" s="2" t="s">
        <v>20</v>
      </c>
    </row>
    <row r="821" spans="1:14" ht="12" customHeight="1">
      <c r="A821" s="2" t="s">
        <v>918</v>
      </c>
      <c r="B821" s="3">
        <v>45694</v>
      </c>
      <c r="C821" s="2" t="s">
        <v>28</v>
      </c>
      <c r="D821" s="2" t="s">
        <v>56</v>
      </c>
      <c r="E821" s="2" t="s">
        <v>49</v>
      </c>
      <c r="F821" s="2" t="s">
        <v>57</v>
      </c>
      <c r="G821" s="2" t="s">
        <v>25</v>
      </c>
      <c r="H821" s="4">
        <v>7</v>
      </c>
      <c r="I821" s="5">
        <v>11480.77</v>
      </c>
      <c r="J821" s="6">
        <v>0.15</v>
      </c>
      <c r="K821" s="5">
        <v>68310.58</v>
      </c>
      <c r="L821" s="5">
        <v>47280.26</v>
      </c>
      <c r="M821" s="5">
        <v>21030.32</v>
      </c>
      <c r="N821" s="2" t="s">
        <v>33</v>
      </c>
    </row>
    <row r="822" spans="1:14" ht="12" customHeight="1">
      <c r="A822" s="2" t="s">
        <v>919</v>
      </c>
      <c r="B822" s="3">
        <v>46021</v>
      </c>
      <c r="C822" s="2" t="s">
        <v>22</v>
      </c>
      <c r="D822" s="2" t="s">
        <v>35</v>
      </c>
      <c r="E822" s="2" t="s">
        <v>44</v>
      </c>
      <c r="F822" s="2" t="s">
        <v>45</v>
      </c>
      <c r="G822" s="2" t="s">
        <v>70</v>
      </c>
      <c r="H822" s="4">
        <v>7</v>
      </c>
      <c r="I822" s="5">
        <v>30584.36</v>
      </c>
      <c r="J822" s="6">
        <v>0.15</v>
      </c>
      <c r="K822" s="5">
        <v>181976.94</v>
      </c>
      <c r="L822" s="5">
        <v>132255.26999999999</v>
      </c>
      <c r="M822" s="5">
        <v>49721.67</v>
      </c>
      <c r="N822" s="2" t="s">
        <v>59</v>
      </c>
    </row>
    <row r="823" spans="1:14" ht="12" customHeight="1">
      <c r="A823" s="2" t="s">
        <v>920</v>
      </c>
      <c r="B823" s="3">
        <v>45843</v>
      </c>
      <c r="C823" s="2" t="s">
        <v>15</v>
      </c>
      <c r="D823" s="2" t="s">
        <v>16</v>
      </c>
      <c r="E823" s="2" t="s">
        <v>49</v>
      </c>
      <c r="F823" s="2" t="s">
        <v>107</v>
      </c>
      <c r="G823" s="2" t="s">
        <v>64</v>
      </c>
      <c r="H823" s="4">
        <v>4</v>
      </c>
      <c r="I823" s="5">
        <v>4985.6400000000003</v>
      </c>
      <c r="J823" s="6">
        <v>0</v>
      </c>
      <c r="K823" s="5">
        <v>19942.560000000001</v>
      </c>
      <c r="L823" s="5">
        <v>11172.63</v>
      </c>
      <c r="M823" s="5">
        <v>8769.93</v>
      </c>
      <c r="N823" s="2" t="s">
        <v>26</v>
      </c>
    </row>
    <row r="824" spans="1:14" ht="12" customHeight="1">
      <c r="A824" s="2" t="s">
        <v>921</v>
      </c>
      <c r="B824" s="3">
        <v>45740</v>
      </c>
      <c r="C824" s="2" t="s">
        <v>28</v>
      </c>
      <c r="D824" s="2" t="s">
        <v>29</v>
      </c>
      <c r="E824" s="2" t="s">
        <v>49</v>
      </c>
      <c r="F824" s="2" t="s">
        <v>50</v>
      </c>
      <c r="G824" s="2" t="s">
        <v>64</v>
      </c>
      <c r="H824" s="4">
        <v>5</v>
      </c>
      <c r="I824" s="5">
        <v>4030.26</v>
      </c>
      <c r="J824" s="6">
        <v>0.1</v>
      </c>
      <c r="K824" s="5">
        <v>18136.169999999998</v>
      </c>
      <c r="L824" s="5">
        <v>10884.56</v>
      </c>
      <c r="M824" s="5">
        <v>7251.61</v>
      </c>
      <c r="N824" s="2" t="s">
        <v>33</v>
      </c>
    </row>
    <row r="825" spans="1:14" ht="12" customHeight="1">
      <c r="A825" s="2" t="s">
        <v>922</v>
      </c>
      <c r="B825" s="3">
        <v>45742</v>
      </c>
      <c r="C825" s="2" t="s">
        <v>22</v>
      </c>
      <c r="D825" s="2" t="s">
        <v>37</v>
      </c>
      <c r="E825" s="2" t="s">
        <v>49</v>
      </c>
      <c r="F825" s="2" t="s">
        <v>107</v>
      </c>
      <c r="G825" s="2" t="s">
        <v>25</v>
      </c>
      <c r="H825" s="4">
        <v>2</v>
      </c>
      <c r="I825" s="5">
        <v>5215.42</v>
      </c>
      <c r="J825" s="6">
        <v>0</v>
      </c>
      <c r="K825" s="5">
        <v>10430.84</v>
      </c>
      <c r="L825" s="5">
        <v>5569.13</v>
      </c>
      <c r="M825" s="5">
        <v>4861.71</v>
      </c>
      <c r="N825" s="2" t="s">
        <v>59</v>
      </c>
    </row>
    <row r="826" spans="1:14" ht="12" customHeight="1">
      <c r="A826" s="2" t="s">
        <v>923</v>
      </c>
      <c r="B826" s="3">
        <v>45713</v>
      </c>
      <c r="C826" s="2" t="s">
        <v>15</v>
      </c>
      <c r="D826" s="2" t="s">
        <v>63</v>
      </c>
      <c r="E826" s="2" t="s">
        <v>49</v>
      </c>
      <c r="F826" s="2" t="s">
        <v>57</v>
      </c>
      <c r="G826" s="2" t="s">
        <v>32</v>
      </c>
      <c r="H826" s="4">
        <v>7</v>
      </c>
      <c r="I826" s="5">
        <v>11964.53</v>
      </c>
      <c r="J826" s="6">
        <v>0.15</v>
      </c>
      <c r="K826" s="5">
        <v>71188.95</v>
      </c>
      <c r="L826" s="5">
        <v>46904.1</v>
      </c>
      <c r="M826" s="5">
        <v>24284.85</v>
      </c>
      <c r="N826" s="2" t="s">
        <v>26</v>
      </c>
    </row>
    <row r="827" spans="1:14" ht="12" customHeight="1">
      <c r="A827" s="2" t="s">
        <v>924</v>
      </c>
      <c r="B827" s="3">
        <v>45658</v>
      </c>
      <c r="C827" s="2" t="s">
        <v>28</v>
      </c>
      <c r="D827" s="2" t="s">
        <v>29</v>
      </c>
      <c r="E827" s="2" t="s">
        <v>44</v>
      </c>
      <c r="F827" s="2" t="s">
        <v>53</v>
      </c>
      <c r="G827" s="2" t="s">
        <v>19</v>
      </c>
      <c r="H827" s="4">
        <v>5</v>
      </c>
      <c r="I827" s="5">
        <v>7828.73</v>
      </c>
      <c r="J827" s="6">
        <v>0</v>
      </c>
      <c r="K827" s="5">
        <v>39143.65</v>
      </c>
      <c r="L827" s="5">
        <v>25165.11</v>
      </c>
      <c r="M827" s="5">
        <v>13978.54</v>
      </c>
      <c r="N827" s="2" t="s">
        <v>33</v>
      </c>
    </row>
    <row r="828" spans="1:14" ht="12" customHeight="1">
      <c r="A828" s="2" t="s">
        <v>925</v>
      </c>
      <c r="B828" s="3">
        <v>45726</v>
      </c>
      <c r="C828" s="2" t="s">
        <v>15</v>
      </c>
      <c r="D828" s="2" t="s">
        <v>63</v>
      </c>
      <c r="E828" s="2" t="s">
        <v>49</v>
      </c>
      <c r="F828" s="2" t="s">
        <v>57</v>
      </c>
      <c r="G828" s="2" t="s">
        <v>47</v>
      </c>
      <c r="H828" s="4">
        <v>7</v>
      </c>
      <c r="I828" s="5">
        <v>10893.97</v>
      </c>
      <c r="J828" s="6">
        <v>0.05</v>
      </c>
      <c r="K828" s="5">
        <v>72444.899999999994</v>
      </c>
      <c r="L828" s="5">
        <v>44728.68</v>
      </c>
      <c r="M828" s="5">
        <v>27716.22</v>
      </c>
      <c r="N828" s="2" t="s">
        <v>20</v>
      </c>
    </row>
    <row r="829" spans="1:14" ht="12" customHeight="1">
      <c r="A829" s="2" t="s">
        <v>926</v>
      </c>
      <c r="B829" s="3">
        <v>45756</v>
      </c>
      <c r="C829" s="2" t="s">
        <v>22</v>
      </c>
      <c r="D829" s="2" t="s">
        <v>37</v>
      </c>
      <c r="E829" s="2" t="s">
        <v>17</v>
      </c>
      <c r="F829" s="2" t="s">
        <v>114</v>
      </c>
      <c r="G829" s="2" t="s">
        <v>58</v>
      </c>
      <c r="H829" s="4">
        <v>4</v>
      </c>
      <c r="I829" s="5">
        <v>49384.51</v>
      </c>
      <c r="J829" s="6">
        <v>0</v>
      </c>
      <c r="K829" s="5">
        <v>197538.04</v>
      </c>
      <c r="L829" s="5">
        <v>149284.14000000001</v>
      </c>
      <c r="M829" s="5">
        <v>48253.9</v>
      </c>
      <c r="N829" s="2" t="s">
        <v>20</v>
      </c>
    </row>
    <row r="830" spans="1:14" ht="12" customHeight="1">
      <c r="A830" s="2" t="s">
        <v>927</v>
      </c>
      <c r="B830" s="3">
        <v>45690</v>
      </c>
      <c r="C830" s="2" t="s">
        <v>28</v>
      </c>
      <c r="D830" s="2" t="s">
        <v>29</v>
      </c>
      <c r="E830" s="2" t="s">
        <v>17</v>
      </c>
      <c r="F830" s="2" t="s">
        <v>24</v>
      </c>
      <c r="G830" s="2" t="s">
        <v>32</v>
      </c>
      <c r="H830" s="4">
        <v>2</v>
      </c>
      <c r="I830" s="5">
        <v>88954.81</v>
      </c>
      <c r="J830" s="6">
        <v>0.05</v>
      </c>
      <c r="K830" s="5">
        <v>169014.14</v>
      </c>
      <c r="L830" s="5">
        <v>133106.97</v>
      </c>
      <c r="M830" s="5">
        <v>35907.17</v>
      </c>
      <c r="N830" s="2" t="s">
        <v>33</v>
      </c>
    </row>
    <row r="831" spans="1:14" ht="12" customHeight="1">
      <c r="A831" s="2" t="s">
        <v>928</v>
      </c>
      <c r="B831" s="3">
        <v>45661</v>
      </c>
      <c r="C831" s="2" t="s">
        <v>15</v>
      </c>
      <c r="D831" s="2" t="s">
        <v>16</v>
      </c>
      <c r="E831" s="2" t="s">
        <v>49</v>
      </c>
      <c r="F831" s="2" t="s">
        <v>107</v>
      </c>
      <c r="G831" s="2" t="s">
        <v>64</v>
      </c>
      <c r="H831" s="4">
        <v>2</v>
      </c>
      <c r="I831" s="5">
        <v>4791.91</v>
      </c>
      <c r="J831" s="6">
        <v>0.05</v>
      </c>
      <c r="K831" s="5">
        <v>9104.6299999999992</v>
      </c>
      <c r="L831" s="5">
        <v>5522.18</v>
      </c>
      <c r="M831" s="5">
        <v>3582.45</v>
      </c>
      <c r="N831" s="2" t="s">
        <v>33</v>
      </c>
    </row>
    <row r="832" spans="1:14" ht="12" customHeight="1">
      <c r="A832" s="2" t="s">
        <v>929</v>
      </c>
      <c r="B832" s="3">
        <v>45967</v>
      </c>
      <c r="C832" s="2" t="s">
        <v>22</v>
      </c>
      <c r="D832" s="2" t="s">
        <v>37</v>
      </c>
      <c r="E832" s="2" t="s">
        <v>17</v>
      </c>
      <c r="F832" s="2" t="s">
        <v>114</v>
      </c>
      <c r="G832" s="2" t="s">
        <v>25</v>
      </c>
      <c r="H832" s="4">
        <v>5</v>
      </c>
      <c r="I832" s="5">
        <v>55595.31</v>
      </c>
      <c r="J832" s="6">
        <v>0.05</v>
      </c>
      <c r="K832" s="5">
        <v>264077.71999999997</v>
      </c>
      <c r="L832" s="5">
        <v>186694.55</v>
      </c>
      <c r="M832" s="5">
        <v>77383.17</v>
      </c>
      <c r="N832" s="2" t="s">
        <v>59</v>
      </c>
    </row>
    <row r="833" spans="1:14" ht="12" customHeight="1">
      <c r="A833" s="2" t="s">
        <v>930</v>
      </c>
      <c r="B833" s="3">
        <v>45970</v>
      </c>
      <c r="C833" s="2" t="s">
        <v>28</v>
      </c>
      <c r="D833" s="2" t="s">
        <v>29</v>
      </c>
      <c r="E833" s="2" t="s">
        <v>30</v>
      </c>
      <c r="F833" s="2" t="s">
        <v>38</v>
      </c>
      <c r="G833" s="2" t="s">
        <v>64</v>
      </c>
      <c r="H833" s="4">
        <v>4</v>
      </c>
      <c r="I833" s="5">
        <v>28905.08</v>
      </c>
      <c r="J833" s="6">
        <v>0.15</v>
      </c>
      <c r="K833" s="5">
        <v>98277.27</v>
      </c>
      <c r="L833" s="5">
        <v>71848.3</v>
      </c>
      <c r="M833" s="5">
        <v>26428.97</v>
      </c>
      <c r="N833" s="2" t="s">
        <v>59</v>
      </c>
    </row>
    <row r="834" spans="1:14" ht="12" customHeight="1">
      <c r="A834" s="2" t="s">
        <v>931</v>
      </c>
      <c r="B834" s="3">
        <v>45720</v>
      </c>
      <c r="C834" s="2" t="s">
        <v>28</v>
      </c>
      <c r="D834" s="2" t="s">
        <v>52</v>
      </c>
      <c r="E834" s="2" t="s">
        <v>17</v>
      </c>
      <c r="F834" s="2" t="s">
        <v>114</v>
      </c>
      <c r="G834" s="2" t="s">
        <v>58</v>
      </c>
      <c r="H834" s="4">
        <v>7</v>
      </c>
      <c r="I834" s="5">
        <v>53873.83</v>
      </c>
      <c r="J834" s="6">
        <v>0</v>
      </c>
      <c r="K834" s="5">
        <v>377116.81</v>
      </c>
      <c r="L834" s="5">
        <v>248294.29</v>
      </c>
      <c r="M834" s="5">
        <v>128822.52</v>
      </c>
      <c r="N834" s="2"/>
    </row>
    <row r="835" spans="1:14" ht="12" customHeight="1">
      <c r="A835" s="2" t="s">
        <v>932</v>
      </c>
      <c r="B835" s="3">
        <v>45822</v>
      </c>
      <c r="C835" s="2" t="s">
        <v>28</v>
      </c>
      <c r="D835" s="2" t="s">
        <v>56</v>
      </c>
      <c r="E835" s="2" t="s">
        <v>49</v>
      </c>
      <c r="F835" s="2" t="s">
        <v>107</v>
      </c>
      <c r="G835" s="2" t="s">
        <v>64</v>
      </c>
      <c r="H835" s="4">
        <v>4</v>
      </c>
      <c r="I835" s="5">
        <v>4786.6000000000004</v>
      </c>
      <c r="J835" s="6">
        <v>0.15</v>
      </c>
      <c r="K835" s="5">
        <v>16274.44</v>
      </c>
      <c r="L835" s="5">
        <v>11199.91</v>
      </c>
      <c r="M835" s="5">
        <v>5074.53</v>
      </c>
      <c r="N835" s="2" t="s">
        <v>59</v>
      </c>
    </row>
    <row r="836" spans="1:14" ht="12" customHeight="1">
      <c r="A836" s="2" t="s">
        <v>933</v>
      </c>
      <c r="B836" s="3">
        <v>45699</v>
      </c>
      <c r="C836" s="2" t="s">
        <v>22</v>
      </c>
      <c r="D836" s="2" t="s">
        <v>37</v>
      </c>
      <c r="E836" s="2" t="s">
        <v>30</v>
      </c>
      <c r="F836" s="2" t="s">
        <v>40</v>
      </c>
      <c r="G836" s="2" t="s">
        <v>32</v>
      </c>
      <c r="H836" s="4"/>
      <c r="I836" s="5">
        <v>24918.51</v>
      </c>
      <c r="J836" s="6">
        <v>0.05</v>
      </c>
      <c r="K836" s="5">
        <v>94690.34</v>
      </c>
      <c r="L836" s="5">
        <v>64574.239999999998</v>
      </c>
      <c r="M836" s="5">
        <v>30116.1</v>
      </c>
      <c r="N836" s="2" t="s">
        <v>20</v>
      </c>
    </row>
    <row r="837" spans="1:14" ht="12" customHeight="1">
      <c r="A837" s="2" t="s">
        <v>934</v>
      </c>
      <c r="B837" s="3">
        <v>45924</v>
      </c>
      <c r="C837" s="2" t="s">
        <v>28</v>
      </c>
      <c r="D837" s="2" t="s">
        <v>29</v>
      </c>
      <c r="E837" s="2" t="s">
        <v>17</v>
      </c>
      <c r="F837" s="2" t="s">
        <v>114</v>
      </c>
      <c r="G837" s="2" t="s">
        <v>64</v>
      </c>
      <c r="H837" s="4">
        <v>5</v>
      </c>
      <c r="I837" s="5">
        <v>52891.69</v>
      </c>
      <c r="J837" s="6">
        <v>0.15</v>
      </c>
      <c r="K837" s="5">
        <v>224789.68</v>
      </c>
      <c r="L837" s="5">
        <v>178853.89</v>
      </c>
      <c r="M837" s="5">
        <v>45935.79</v>
      </c>
      <c r="N837" s="2" t="s">
        <v>26</v>
      </c>
    </row>
    <row r="838" spans="1:14" ht="12" customHeight="1">
      <c r="A838" s="2" t="s">
        <v>935</v>
      </c>
      <c r="B838" s="3">
        <v>45934</v>
      </c>
      <c r="C838" s="2" t="s">
        <v>28</v>
      </c>
      <c r="D838" s="2" t="s">
        <v>52</v>
      </c>
      <c r="E838" s="2" t="s">
        <v>30</v>
      </c>
      <c r="F838" s="2" t="s">
        <v>40</v>
      </c>
      <c r="G838" s="2" t="s">
        <v>47</v>
      </c>
      <c r="H838" s="4">
        <v>3</v>
      </c>
      <c r="I838" s="5">
        <v>26053.919999999998</v>
      </c>
      <c r="J838" s="6">
        <v>0</v>
      </c>
      <c r="K838" s="5">
        <v>78161.759999999995</v>
      </c>
      <c r="L838" s="5">
        <v>47577.84</v>
      </c>
      <c r="M838" s="5">
        <v>30583.919999999998</v>
      </c>
      <c r="N838" s="2" t="s">
        <v>26</v>
      </c>
    </row>
    <row r="839" spans="1:14" ht="12" customHeight="1">
      <c r="A839" s="2" t="s">
        <v>936</v>
      </c>
      <c r="B839" s="3">
        <v>45825</v>
      </c>
      <c r="C839" s="2" t="s">
        <v>22</v>
      </c>
      <c r="D839" s="2" t="s">
        <v>23</v>
      </c>
      <c r="E839" s="2" t="s">
        <v>17</v>
      </c>
      <c r="F839" s="2" t="s">
        <v>75</v>
      </c>
      <c r="G839" s="2" t="s">
        <v>25</v>
      </c>
      <c r="H839" s="4">
        <v>7</v>
      </c>
      <c r="I839" s="5">
        <v>199603.5</v>
      </c>
      <c r="J839" s="6">
        <v>0</v>
      </c>
      <c r="K839" s="5">
        <v>1397224.5</v>
      </c>
      <c r="L839" s="5">
        <v>975329.17</v>
      </c>
      <c r="M839" s="5">
        <v>421895.33</v>
      </c>
      <c r="N839" s="2" t="s">
        <v>59</v>
      </c>
    </row>
    <row r="840" spans="1:14" ht="12" customHeight="1">
      <c r="A840" s="2" t="s">
        <v>937</v>
      </c>
      <c r="B840" s="3">
        <v>45909</v>
      </c>
      <c r="C840" s="2" t="s">
        <v>22</v>
      </c>
      <c r="D840" s="2" t="s">
        <v>37</v>
      </c>
      <c r="E840" s="2" t="s">
        <v>30</v>
      </c>
      <c r="F840" s="2" t="s">
        <v>40</v>
      </c>
      <c r="G840" s="2" t="s">
        <v>19</v>
      </c>
      <c r="H840" s="4">
        <v>2</v>
      </c>
      <c r="I840" s="5">
        <v>25148.67</v>
      </c>
      <c r="J840" s="6">
        <v>0.1</v>
      </c>
      <c r="K840" s="5">
        <v>45267.61</v>
      </c>
      <c r="L840" s="5">
        <v>32053.41</v>
      </c>
      <c r="M840" s="5">
        <v>13214.2</v>
      </c>
      <c r="N840" s="2" t="s">
        <v>59</v>
      </c>
    </row>
    <row r="841" spans="1:14" ht="12" customHeight="1">
      <c r="A841" s="2" t="s">
        <v>938</v>
      </c>
      <c r="B841" s="3">
        <v>45853</v>
      </c>
      <c r="C841" s="2" t="s">
        <v>22</v>
      </c>
      <c r="D841" s="2" t="s">
        <v>37</v>
      </c>
      <c r="E841" s="2" t="s">
        <v>17</v>
      </c>
      <c r="F841" s="2" t="s">
        <v>18</v>
      </c>
      <c r="G841" s="2" t="s">
        <v>25</v>
      </c>
      <c r="H841" s="4">
        <v>7</v>
      </c>
      <c r="I841" s="5">
        <v>15451.59</v>
      </c>
      <c r="J841" s="6">
        <v>0.15</v>
      </c>
      <c r="K841" s="5">
        <v>91936.960000000006</v>
      </c>
      <c r="L841" s="5">
        <v>58635.26</v>
      </c>
      <c r="M841" s="5">
        <v>33301.699999999997</v>
      </c>
      <c r="N841" s="2" t="s">
        <v>26</v>
      </c>
    </row>
    <row r="842" spans="1:14" ht="12" customHeight="1">
      <c r="A842" s="2" t="s">
        <v>939</v>
      </c>
      <c r="B842" s="3">
        <v>45754</v>
      </c>
      <c r="C842" s="2" t="s">
        <v>22</v>
      </c>
      <c r="D842" s="2" t="s">
        <v>35</v>
      </c>
      <c r="E842" s="2" t="s">
        <v>17</v>
      </c>
      <c r="F842" s="2" t="s">
        <v>18</v>
      </c>
      <c r="G842" s="2" t="s">
        <v>19</v>
      </c>
      <c r="H842" s="4">
        <v>2</v>
      </c>
      <c r="I842" s="5">
        <v>13598.41</v>
      </c>
      <c r="J842" s="6">
        <v>0.05</v>
      </c>
      <c r="K842" s="5">
        <v>25836.98</v>
      </c>
      <c r="L842" s="5">
        <v>16758.189999999999</v>
      </c>
      <c r="M842" s="5">
        <v>9078.7900000000009</v>
      </c>
      <c r="N842" s="2"/>
    </row>
    <row r="843" spans="1:14" ht="12" customHeight="1">
      <c r="A843" s="2" t="s">
        <v>940</v>
      </c>
      <c r="B843" s="3">
        <v>45856</v>
      </c>
      <c r="C843" s="2" t="s">
        <v>22</v>
      </c>
      <c r="D843" s="2" t="s">
        <v>35</v>
      </c>
      <c r="E843" s="2" t="s">
        <v>49</v>
      </c>
      <c r="F843" s="2" t="s">
        <v>91</v>
      </c>
      <c r="G843" s="2" t="s">
        <v>25</v>
      </c>
      <c r="H843" s="4">
        <v>5</v>
      </c>
      <c r="I843" s="5">
        <v>6044.36</v>
      </c>
      <c r="J843" s="6">
        <v>0.1</v>
      </c>
      <c r="K843" s="5">
        <v>27199.62</v>
      </c>
      <c r="L843" s="5">
        <v>17699.22</v>
      </c>
      <c r="M843" s="5">
        <v>9500.4</v>
      </c>
      <c r="N843" s="2" t="s">
        <v>59</v>
      </c>
    </row>
    <row r="844" spans="1:14" ht="12" customHeight="1">
      <c r="A844" s="2" t="s">
        <v>941</v>
      </c>
      <c r="B844" s="3">
        <v>45819</v>
      </c>
      <c r="C844" s="2" t="s">
        <v>28</v>
      </c>
      <c r="D844" s="2" t="s">
        <v>29</v>
      </c>
      <c r="E844" s="2" t="s">
        <v>44</v>
      </c>
      <c r="F844" s="2" t="s">
        <v>45</v>
      </c>
      <c r="G844" s="2" t="s">
        <v>61</v>
      </c>
      <c r="H844" s="4">
        <v>2</v>
      </c>
      <c r="I844" s="5">
        <v>28022.62</v>
      </c>
      <c r="J844" s="6">
        <v>0.1</v>
      </c>
      <c r="K844" s="5">
        <v>50440.72</v>
      </c>
      <c r="L844" s="5">
        <v>39127.279999999999</v>
      </c>
      <c r="M844" s="5">
        <v>11313.44</v>
      </c>
      <c r="N844" s="2" t="s">
        <v>59</v>
      </c>
    </row>
    <row r="845" spans="1:14" ht="12" customHeight="1">
      <c r="A845" s="2" t="s">
        <v>942</v>
      </c>
      <c r="B845" s="3">
        <v>46017</v>
      </c>
      <c r="C845" s="2" t="s">
        <v>22</v>
      </c>
      <c r="D845" s="2" t="s">
        <v>35</v>
      </c>
      <c r="E845" s="2" t="s">
        <v>49</v>
      </c>
      <c r="F845" s="2" t="s">
        <v>50</v>
      </c>
      <c r="G845" s="2" t="s">
        <v>64</v>
      </c>
      <c r="H845" s="4">
        <v>5</v>
      </c>
      <c r="I845" s="5">
        <v>3962.03</v>
      </c>
      <c r="J845" s="6">
        <v>0.15</v>
      </c>
      <c r="K845" s="5">
        <v>16838.63</v>
      </c>
      <c r="L845" s="5">
        <v>10809.11</v>
      </c>
      <c r="M845" s="5">
        <v>6029.52</v>
      </c>
      <c r="N845" s="2" t="s">
        <v>59</v>
      </c>
    </row>
    <row r="846" spans="1:14" ht="12" customHeight="1">
      <c r="A846" s="2" t="s">
        <v>943</v>
      </c>
      <c r="B846" s="3">
        <v>46018</v>
      </c>
      <c r="C846" s="2" t="s">
        <v>28</v>
      </c>
      <c r="D846" s="2" t="s">
        <v>29</v>
      </c>
      <c r="E846" s="2" t="s">
        <v>17</v>
      </c>
      <c r="F846" s="2" t="s">
        <v>18</v>
      </c>
      <c r="G846" s="2" t="s">
        <v>25</v>
      </c>
      <c r="H846" s="4">
        <v>8</v>
      </c>
      <c r="I846" s="5">
        <v>14804.1</v>
      </c>
      <c r="J846" s="6">
        <v>0</v>
      </c>
      <c r="K846" s="5">
        <v>118432.8</v>
      </c>
      <c r="L846" s="5">
        <v>65905.16</v>
      </c>
      <c r="M846" s="5">
        <v>52527.64</v>
      </c>
      <c r="N846" s="2" t="s">
        <v>33</v>
      </c>
    </row>
    <row r="847" spans="1:14" ht="12" customHeight="1">
      <c r="A847" s="2" t="s">
        <v>944</v>
      </c>
      <c r="B847" s="3">
        <v>45858</v>
      </c>
      <c r="C847" s="2" t="s">
        <v>28</v>
      </c>
      <c r="D847" s="2" t="s">
        <v>52</v>
      </c>
      <c r="E847" s="2" t="s">
        <v>44</v>
      </c>
      <c r="F847" s="2" t="s">
        <v>45</v>
      </c>
      <c r="G847" s="2" t="s">
        <v>58</v>
      </c>
      <c r="H847" s="4">
        <v>1</v>
      </c>
      <c r="I847" s="5">
        <v>30429.599999999999</v>
      </c>
      <c r="J847" s="6">
        <v>0</v>
      </c>
      <c r="K847" s="5">
        <v>30429.599999999999</v>
      </c>
      <c r="L847" s="5">
        <v>19569.52</v>
      </c>
      <c r="M847" s="5">
        <v>10860.08</v>
      </c>
      <c r="N847" s="2" t="s">
        <v>26</v>
      </c>
    </row>
    <row r="848" spans="1:14" ht="12" customHeight="1">
      <c r="A848" s="2" t="s">
        <v>945</v>
      </c>
      <c r="B848" s="3">
        <v>45858</v>
      </c>
      <c r="C848" s="2" t="s">
        <v>22</v>
      </c>
      <c r="D848" s="2" t="s">
        <v>37</v>
      </c>
      <c r="E848" s="2" t="s">
        <v>49</v>
      </c>
      <c r="F848" s="2" t="s">
        <v>57</v>
      </c>
      <c r="G848" s="2" t="s">
        <v>19</v>
      </c>
      <c r="H848" s="4">
        <v>7</v>
      </c>
      <c r="I848" s="5">
        <v>11827.33</v>
      </c>
      <c r="J848" s="6">
        <v>0.05</v>
      </c>
      <c r="K848" s="5">
        <v>78651.740000000005</v>
      </c>
      <c r="L848" s="5">
        <v>46548.32</v>
      </c>
      <c r="M848" s="5">
        <v>32103.42</v>
      </c>
      <c r="N848" s="2" t="s">
        <v>59</v>
      </c>
    </row>
    <row r="849" spans="1:14" ht="12" customHeight="1">
      <c r="A849" s="2" t="s">
        <v>946</v>
      </c>
      <c r="B849" s="3">
        <v>45685</v>
      </c>
      <c r="C849" s="2" t="s">
        <v>28</v>
      </c>
      <c r="D849" s="2" t="s">
        <v>29</v>
      </c>
      <c r="E849" s="2" t="s">
        <v>44</v>
      </c>
      <c r="F849" s="2" t="s">
        <v>53</v>
      </c>
      <c r="G849" s="2" t="s">
        <v>58</v>
      </c>
      <c r="H849" s="4">
        <v>2</v>
      </c>
      <c r="I849" s="5">
        <v>7998.02</v>
      </c>
      <c r="J849" s="6">
        <v>0.1</v>
      </c>
      <c r="K849" s="5">
        <v>14396.44</v>
      </c>
      <c r="L849" s="5">
        <v>10099.98</v>
      </c>
      <c r="M849" s="5">
        <v>4296.46</v>
      </c>
      <c r="N849" s="2" t="s">
        <v>20</v>
      </c>
    </row>
    <row r="850" spans="1:14" ht="12" customHeight="1">
      <c r="A850" s="2" t="s">
        <v>947</v>
      </c>
      <c r="B850" s="3">
        <v>45758</v>
      </c>
      <c r="C850" s="2" t="s">
        <v>15</v>
      </c>
      <c r="D850" s="2" t="s">
        <v>16</v>
      </c>
      <c r="E850" s="2" t="s">
        <v>44</v>
      </c>
      <c r="F850" s="2" t="s">
        <v>53</v>
      </c>
      <c r="G850" s="2" t="s">
        <v>64</v>
      </c>
      <c r="H850" s="4">
        <v>8</v>
      </c>
      <c r="I850" s="5">
        <v>8215.8700000000008</v>
      </c>
      <c r="J850" s="6">
        <v>0</v>
      </c>
      <c r="K850" s="5">
        <v>65726.960000000006</v>
      </c>
      <c r="L850" s="5">
        <v>38599.599999999999</v>
      </c>
      <c r="M850" s="5">
        <v>27127.360000000001</v>
      </c>
      <c r="N850" s="2" t="s">
        <v>59</v>
      </c>
    </row>
    <row r="851" spans="1:14" ht="12" customHeight="1">
      <c r="A851" s="2" t="s">
        <v>948</v>
      </c>
      <c r="B851" s="3">
        <v>45744</v>
      </c>
      <c r="C851" s="2" t="s">
        <v>15</v>
      </c>
      <c r="D851" s="2" t="s">
        <v>43</v>
      </c>
      <c r="E851" s="2" t="s">
        <v>17</v>
      </c>
      <c r="F851" s="2" t="s">
        <v>24</v>
      </c>
      <c r="G851" s="2" t="s">
        <v>64</v>
      </c>
      <c r="H851" s="4">
        <v>7</v>
      </c>
      <c r="I851" s="5">
        <v>98629.86</v>
      </c>
      <c r="J851" s="6">
        <v>0.05</v>
      </c>
      <c r="K851" s="5">
        <v>655888.56999999995</v>
      </c>
      <c r="L851" s="5">
        <v>484359.12</v>
      </c>
      <c r="M851" s="5">
        <v>171529.45</v>
      </c>
      <c r="N851" s="2" t="s">
        <v>33</v>
      </c>
    </row>
    <row r="852" spans="1:14" ht="12" customHeight="1">
      <c r="A852" s="2" t="s">
        <v>949</v>
      </c>
      <c r="B852" s="3">
        <v>45880</v>
      </c>
      <c r="C852" s="2" t="s">
        <v>402</v>
      </c>
      <c r="D852" s="2" t="s">
        <v>56</v>
      </c>
      <c r="E852" s="2" t="s">
        <v>44</v>
      </c>
      <c r="F852" s="2" t="s">
        <v>80</v>
      </c>
      <c r="G852" s="2" t="s">
        <v>61</v>
      </c>
      <c r="H852" s="4">
        <v>2</v>
      </c>
      <c r="I852" s="5">
        <v>46304.3</v>
      </c>
      <c r="J852" s="6">
        <v>0.15</v>
      </c>
      <c r="K852" s="5">
        <v>78717.31</v>
      </c>
      <c r="L852" s="5">
        <v>61609.03</v>
      </c>
      <c r="M852" s="5">
        <v>17108.28</v>
      </c>
      <c r="N852" s="2" t="s">
        <v>20</v>
      </c>
    </row>
    <row r="853" spans="1:14" ht="12" customHeight="1">
      <c r="A853" s="2" t="s">
        <v>950</v>
      </c>
      <c r="B853" s="3">
        <v>45746</v>
      </c>
      <c r="C853" s="2" t="s">
        <v>22</v>
      </c>
      <c r="D853" s="2" t="s">
        <v>23</v>
      </c>
      <c r="E853" s="2" t="s">
        <v>17</v>
      </c>
      <c r="F853" s="2" t="s">
        <v>24</v>
      </c>
      <c r="G853" s="2" t="s">
        <v>25</v>
      </c>
      <c r="H853" s="4">
        <v>7</v>
      </c>
      <c r="I853" s="5">
        <v>91832.57</v>
      </c>
      <c r="J853" s="6">
        <v>0.15</v>
      </c>
      <c r="K853" s="5">
        <v>546403.79</v>
      </c>
      <c r="L853" s="5">
        <v>481583.9</v>
      </c>
      <c r="M853" s="5">
        <v>64819.89</v>
      </c>
      <c r="N853" s="2" t="s">
        <v>33</v>
      </c>
    </row>
    <row r="854" spans="1:14" ht="12" customHeight="1">
      <c r="A854" s="2" t="s">
        <v>951</v>
      </c>
      <c r="B854" s="3">
        <v>45720</v>
      </c>
      <c r="C854" s="2" t="s">
        <v>28</v>
      </c>
      <c r="D854" s="2" t="s">
        <v>29</v>
      </c>
      <c r="E854" s="2" t="s">
        <v>49</v>
      </c>
      <c r="F854" s="2" t="s">
        <v>57</v>
      </c>
      <c r="G854" s="2" t="s">
        <v>70</v>
      </c>
      <c r="H854" s="4">
        <v>8</v>
      </c>
      <c r="I854" s="5">
        <v>11255.87</v>
      </c>
      <c r="J854" s="6">
        <v>0</v>
      </c>
      <c r="K854" s="5">
        <v>90046.96</v>
      </c>
      <c r="L854" s="5">
        <v>50864.52</v>
      </c>
      <c r="M854" s="5">
        <v>39182.44</v>
      </c>
      <c r="N854" s="2" t="s">
        <v>26</v>
      </c>
    </row>
    <row r="855" spans="1:14" ht="12" customHeight="1">
      <c r="A855" s="2" t="s">
        <v>952</v>
      </c>
      <c r="B855" s="3">
        <v>45988</v>
      </c>
      <c r="C855" s="2" t="s">
        <v>22</v>
      </c>
      <c r="D855" s="2" t="s">
        <v>37</v>
      </c>
      <c r="E855" s="2" t="s">
        <v>49</v>
      </c>
      <c r="F855" s="2" t="s">
        <v>57</v>
      </c>
      <c r="G855" s="2" t="s">
        <v>25</v>
      </c>
      <c r="H855" s="4">
        <v>2</v>
      </c>
      <c r="I855" s="5">
        <v>12041.59</v>
      </c>
      <c r="J855" s="6">
        <v>0</v>
      </c>
      <c r="K855" s="5">
        <v>24083.18</v>
      </c>
      <c r="L855" s="5">
        <v>12959.4</v>
      </c>
      <c r="M855" s="5">
        <v>11123.78</v>
      </c>
      <c r="N855" s="2" t="s">
        <v>59</v>
      </c>
    </row>
    <row r="856" spans="1:14" ht="12" customHeight="1">
      <c r="A856" s="2" t="s">
        <v>953</v>
      </c>
      <c r="B856" s="3">
        <v>46016</v>
      </c>
      <c r="C856" s="2" t="s">
        <v>15</v>
      </c>
      <c r="D856" s="2" t="s">
        <v>16</v>
      </c>
      <c r="E856" s="2" t="s">
        <v>17</v>
      </c>
      <c r="F856" s="2" t="s">
        <v>18</v>
      </c>
      <c r="G856" s="2" t="s">
        <v>64</v>
      </c>
      <c r="H856" s="4">
        <v>2</v>
      </c>
      <c r="I856" s="5">
        <v>14995.94</v>
      </c>
      <c r="J856" s="6">
        <v>0.1</v>
      </c>
      <c r="K856" s="5">
        <v>26992.69</v>
      </c>
      <c r="L856" s="5">
        <v>16120.25</v>
      </c>
      <c r="M856" s="5">
        <v>10872.44</v>
      </c>
      <c r="N856" s="2" t="s">
        <v>20</v>
      </c>
    </row>
    <row r="857" spans="1:14" ht="12" customHeight="1">
      <c r="A857" s="2" t="s">
        <v>954</v>
      </c>
      <c r="B857" s="3">
        <v>45718</v>
      </c>
      <c r="C857" s="2" t="s">
        <v>15</v>
      </c>
      <c r="D857" s="2" t="s">
        <v>43</v>
      </c>
      <c r="E857" s="2" t="s">
        <v>49</v>
      </c>
      <c r="F857" s="2" t="s">
        <v>91</v>
      </c>
      <c r="G857" s="2" t="s">
        <v>61</v>
      </c>
      <c r="H857" s="4">
        <v>2</v>
      </c>
      <c r="I857" s="5">
        <v>6763.65</v>
      </c>
      <c r="J857" s="6">
        <v>0</v>
      </c>
      <c r="K857" s="5">
        <v>13527.3</v>
      </c>
      <c r="L857" s="5">
        <v>7470.7</v>
      </c>
      <c r="M857" s="5">
        <v>6056.6</v>
      </c>
      <c r="N857" s="2" t="s">
        <v>26</v>
      </c>
    </row>
    <row r="858" spans="1:14" ht="12" customHeight="1">
      <c r="A858" s="2" t="s">
        <v>955</v>
      </c>
      <c r="B858" s="3">
        <v>45740</v>
      </c>
      <c r="C858" s="2" t="s">
        <v>22</v>
      </c>
      <c r="D858" s="2" t="s">
        <v>37</v>
      </c>
      <c r="E858" s="2" t="s">
        <v>49</v>
      </c>
      <c r="F858" s="2" t="s">
        <v>57</v>
      </c>
      <c r="G858" s="2" t="s">
        <v>19</v>
      </c>
      <c r="H858" s="4">
        <v>2</v>
      </c>
      <c r="I858" s="5">
        <v>10652.02</v>
      </c>
      <c r="J858" s="6">
        <v>0.1</v>
      </c>
      <c r="K858" s="5">
        <v>19173.64</v>
      </c>
      <c r="L858" s="5">
        <v>12797.67</v>
      </c>
      <c r="M858" s="5">
        <v>6375.97</v>
      </c>
      <c r="N858" s="2" t="s">
        <v>59</v>
      </c>
    </row>
    <row r="859" spans="1:14" ht="12" customHeight="1">
      <c r="A859" s="2" t="s">
        <v>956</v>
      </c>
      <c r="B859" s="3">
        <v>45994</v>
      </c>
      <c r="C859" s="2" t="s">
        <v>22</v>
      </c>
      <c r="D859" s="2" t="s">
        <v>23</v>
      </c>
      <c r="E859" s="2" t="s">
        <v>17</v>
      </c>
      <c r="F859" s="2" t="s">
        <v>18</v>
      </c>
      <c r="G859" s="2" t="s">
        <v>64</v>
      </c>
      <c r="H859" s="4">
        <v>6</v>
      </c>
      <c r="I859" s="5">
        <v>15581.76</v>
      </c>
      <c r="J859" s="6">
        <v>0</v>
      </c>
      <c r="K859" s="5">
        <v>93490.559999999998</v>
      </c>
      <c r="L859" s="5">
        <v>49180.99</v>
      </c>
      <c r="M859" s="5">
        <v>44309.57</v>
      </c>
      <c r="N859" s="2" t="s">
        <v>26</v>
      </c>
    </row>
    <row r="860" spans="1:14" ht="12" customHeight="1">
      <c r="A860" s="2" t="s">
        <v>957</v>
      </c>
      <c r="B860" s="3">
        <v>45838</v>
      </c>
      <c r="C860" s="2" t="s">
        <v>28</v>
      </c>
      <c r="D860" s="2" t="s">
        <v>52</v>
      </c>
      <c r="E860" s="2" t="s">
        <v>30</v>
      </c>
      <c r="F860" s="2" t="s">
        <v>40</v>
      </c>
      <c r="G860" s="2" t="s">
        <v>47</v>
      </c>
      <c r="H860" s="4">
        <v>3</v>
      </c>
      <c r="I860" s="5">
        <v>24802.12</v>
      </c>
      <c r="J860" s="6">
        <v>0.15</v>
      </c>
      <c r="K860" s="5">
        <v>63245.41</v>
      </c>
      <c r="L860" s="5">
        <v>47016.32</v>
      </c>
      <c r="M860" s="5">
        <v>16229.09</v>
      </c>
      <c r="N860" s="2" t="s">
        <v>33</v>
      </c>
    </row>
    <row r="861" spans="1:14" ht="12" customHeight="1">
      <c r="A861" s="2" t="s">
        <v>958</v>
      </c>
      <c r="B861" s="3">
        <v>45966</v>
      </c>
      <c r="C861" s="2" t="s">
        <v>15</v>
      </c>
      <c r="D861" s="2" t="s">
        <v>16</v>
      </c>
      <c r="E861" s="2" t="s">
        <v>44</v>
      </c>
      <c r="F861" s="2" t="s">
        <v>80</v>
      </c>
      <c r="G861" s="2" t="s">
        <v>47</v>
      </c>
      <c r="H861" s="4"/>
      <c r="I861" s="5">
        <v>40534.67</v>
      </c>
      <c r="J861" s="6">
        <v>0</v>
      </c>
      <c r="K861" s="5">
        <v>162138.68</v>
      </c>
      <c r="L861" s="5">
        <v>128590.43</v>
      </c>
      <c r="M861" s="5">
        <v>33548.25</v>
      </c>
      <c r="N861" s="2" t="s">
        <v>59</v>
      </c>
    </row>
    <row r="862" spans="1:14" ht="12" customHeight="1">
      <c r="A862" s="2" t="s">
        <v>959</v>
      </c>
      <c r="B862" s="3">
        <v>45862</v>
      </c>
      <c r="C862" s="2" t="s">
        <v>402</v>
      </c>
      <c r="D862" s="2" t="s">
        <v>52</v>
      </c>
      <c r="E862" s="2" t="s">
        <v>49</v>
      </c>
      <c r="F862" s="2" t="s">
        <v>91</v>
      </c>
      <c r="G862" s="2" t="s">
        <v>70</v>
      </c>
      <c r="H862" s="4">
        <v>5</v>
      </c>
      <c r="I862" s="5">
        <v>6251.1</v>
      </c>
      <c r="J862" s="6">
        <v>0.15</v>
      </c>
      <c r="K862" s="5">
        <v>26567.17</v>
      </c>
      <c r="L862" s="5">
        <v>18598.61</v>
      </c>
      <c r="M862" s="5">
        <v>7968.56</v>
      </c>
      <c r="N862" s="2" t="s">
        <v>33</v>
      </c>
    </row>
    <row r="863" spans="1:14" ht="12" customHeight="1">
      <c r="A863" s="2" t="s">
        <v>960</v>
      </c>
      <c r="B863" s="3">
        <v>45982</v>
      </c>
      <c r="C863" s="2" t="s">
        <v>28</v>
      </c>
      <c r="D863" s="2" t="s">
        <v>29</v>
      </c>
      <c r="E863" s="2" t="s">
        <v>49</v>
      </c>
      <c r="F863" s="2" t="s">
        <v>50</v>
      </c>
      <c r="G863" s="2" t="s">
        <v>47</v>
      </c>
      <c r="H863" s="4">
        <v>4</v>
      </c>
      <c r="I863" s="5">
        <v>3911.42</v>
      </c>
      <c r="J863" s="6">
        <v>0.15</v>
      </c>
      <c r="K863" s="5">
        <v>13298.83</v>
      </c>
      <c r="L863" s="5">
        <v>8306.41</v>
      </c>
      <c r="M863" s="5">
        <v>4992.42</v>
      </c>
      <c r="N863" s="2" t="s">
        <v>59</v>
      </c>
    </row>
    <row r="864" spans="1:14" ht="12" customHeight="1">
      <c r="A864" s="2" t="s">
        <v>961</v>
      </c>
      <c r="B864" s="3">
        <v>45967</v>
      </c>
      <c r="C864" s="2" t="s">
        <v>15</v>
      </c>
      <c r="D864" s="2" t="s">
        <v>43</v>
      </c>
      <c r="E864" s="2" t="s">
        <v>44</v>
      </c>
      <c r="F864" s="2" t="s">
        <v>53</v>
      </c>
      <c r="G864" s="2" t="s">
        <v>47</v>
      </c>
      <c r="H864" s="4">
        <v>3</v>
      </c>
      <c r="I864" s="5">
        <v>8250.25</v>
      </c>
      <c r="J864" s="6">
        <v>0.05</v>
      </c>
      <c r="K864" s="5">
        <v>23513.21</v>
      </c>
      <c r="L864" s="5">
        <v>14648.93</v>
      </c>
      <c r="M864" s="5">
        <v>8864.2800000000007</v>
      </c>
      <c r="N864" s="2" t="s">
        <v>33</v>
      </c>
    </row>
    <row r="865" spans="1:14" ht="12" customHeight="1">
      <c r="A865" s="2" t="s">
        <v>962</v>
      </c>
      <c r="B865" s="3">
        <v>45828</v>
      </c>
      <c r="C865" s="2" t="s">
        <v>28</v>
      </c>
      <c r="D865" s="2" t="s">
        <v>52</v>
      </c>
      <c r="E865" s="2" t="s">
        <v>17</v>
      </c>
      <c r="F865" s="2" t="s">
        <v>114</v>
      </c>
      <c r="G865" s="2" t="s">
        <v>58</v>
      </c>
      <c r="H865" s="4">
        <v>2</v>
      </c>
      <c r="I865" s="5">
        <v>50580.25</v>
      </c>
      <c r="J865" s="6">
        <v>0</v>
      </c>
      <c r="K865" s="5">
        <v>101160.5</v>
      </c>
      <c r="L865" s="5">
        <v>72664.009999999995</v>
      </c>
      <c r="M865" s="5">
        <v>28496.49</v>
      </c>
      <c r="N865" s="2" t="s">
        <v>26</v>
      </c>
    </row>
    <row r="866" spans="1:14" ht="12" customHeight="1">
      <c r="A866" s="2" t="s">
        <v>963</v>
      </c>
      <c r="B866" s="3">
        <v>45711</v>
      </c>
      <c r="C866" s="2" t="s">
        <v>22</v>
      </c>
      <c r="D866" s="2" t="s">
        <v>35</v>
      </c>
      <c r="E866" s="2" t="s">
        <v>17</v>
      </c>
      <c r="F866" s="2" t="s">
        <v>75</v>
      </c>
      <c r="G866" s="2" t="s">
        <v>19</v>
      </c>
      <c r="H866" s="4">
        <v>7</v>
      </c>
      <c r="I866" s="5">
        <v>199192.76</v>
      </c>
      <c r="J866" s="6">
        <v>0</v>
      </c>
      <c r="K866" s="5">
        <v>1394349.32</v>
      </c>
      <c r="L866" s="5">
        <v>990525.24</v>
      </c>
      <c r="M866" s="5">
        <v>403824.08</v>
      </c>
      <c r="N866" s="2" t="s">
        <v>26</v>
      </c>
    </row>
    <row r="867" spans="1:14" ht="12" customHeight="1">
      <c r="A867" s="2" t="s">
        <v>964</v>
      </c>
      <c r="B867" s="3">
        <v>45802</v>
      </c>
      <c r="C867" s="2" t="s">
        <v>15</v>
      </c>
      <c r="D867" s="2" t="s">
        <v>43</v>
      </c>
      <c r="E867" s="2" t="s">
        <v>30</v>
      </c>
      <c r="F867" s="2" t="s">
        <v>40</v>
      </c>
      <c r="G867" s="2" t="s">
        <v>58</v>
      </c>
      <c r="H867" s="4">
        <v>2</v>
      </c>
      <c r="I867" s="5">
        <v>24613.52</v>
      </c>
      <c r="J867" s="6">
        <v>0.15</v>
      </c>
      <c r="K867" s="5">
        <v>41842.980000000003</v>
      </c>
      <c r="L867" s="5">
        <v>31917.61</v>
      </c>
      <c r="M867" s="5">
        <v>9925.3700000000008</v>
      </c>
      <c r="N867" s="2" t="s">
        <v>33</v>
      </c>
    </row>
    <row r="868" spans="1:14" ht="12" customHeight="1">
      <c r="A868" s="2" t="s">
        <v>965</v>
      </c>
      <c r="B868" s="3">
        <v>45930</v>
      </c>
      <c r="C868" s="2" t="s">
        <v>22</v>
      </c>
      <c r="D868" s="2" t="s">
        <v>23</v>
      </c>
      <c r="E868" s="2" t="s">
        <v>30</v>
      </c>
      <c r="F868" s="2" t="s">
        <v>40</v>
      </c>
      <c r="G868" s="2" t="s">
        <v>25</v>
      </c>
      <c r="H868" s="4">
        <v>3</v>
      </c>
      <c r="I868" s="5">
        <v>23893.08</v>
      </c>
      <c r="J868" s="6">
        <v>0.15</v>
      </c>
      <c r="K868" s="5">
        <v>60927.35</v>
      </c>
      <c r="L868" s="5">
        <v>48226.98</v>
      </c>
      <c r="M868" s="5">
        <v>12700.37</v>
      </c>
      <c r="N868" s="2" t="s">
        <v>20</v>
      </c>
    </row>
    <row r="869" spans="1:14" ht="12" customHeight="1">
      <c r="A869" s="2" t="s">
        <v>966</v>
      </c>
      <c r="B869" s="3">
        <v>45794</v>
      </c>
      <c r="C869" s="2" t="s">
        <v>15</v>
      </c>
      <c r="D869" s="2" t="s">
        <v>16</v>
      </c>
      <c r="E869" s="2" t="s">
        <v>30</v>
      </c>
      <c r="F869" s="2" t="s">
        <v>31</v>
      </c>
      <c r="G869" s="2" t="s">
        <v>64</v>
      </c>
      <c r="H869" s="4">
        <v>3</v>
      </c>
      <c r="I869" s="5">
        <v>138403.35999999999</v>
      </c>
      <c r="J869" s="6">
        <v>0</v>
      </c>
      <c r="K869" s="5">
        <v>415210.08</v>
      </c>
      <c r="L869" s="5">
        <v>301944.36</v>
      </c>
      <c r="M869" s="5">
        <v>113265.72</v>
      </c>
      <c r="N869" s="2" t="s">
        <v>59</v>
      </c>
    </row>
    <row r="870" spans="1:14" ht="12" customHeight="1">
      <c r="A870" s="2" t="s">
        <v>967</v>
      </c>
      <c r="B870" s="3">
        <v>45915</v>
      </c>
      <c r="C870" s="2" t="s">
        <v>15</v>
      </c>
      <c r="D870" s="2" t="s">
        <v>16</v>
      </c>
      <c r="E870" s="2" t="s">
        <v>49</v>
      </c>
      <c r="F870" s="2" t="s">
        <v>107</v>
      </c>
      <c r="G870" s="2" t="s">
        <v>58</v>
      </c>
      <c r="H870" s="4">
        <v>3</v>
      </c>
      <c r="I870" s="5">
        <v>5149.21</v>
      </c>
      <c r="J870" s="6">
        <v>0.05</v>
      </c>
      <c r="K870" s="5">
        <v>14675.25</v>
      </c>
      <c r="L870" s="5">
        <v>8309.73</v>
      </c>
      <c r="M870" s="5">
        <v>6365.52</v>
      </c>
      <c r="N870" s="2" t="s">
        <v>59</v>
      </c>
    </row>
    <row r="871" spans="1:14" ht="12" customHeight="1">
      <c r="A871" s="2" t="s">
        <v>968</v>
      </c>
      <c r="B871" s="3">
        <v>45704</v>
      </c>
      <c r="C871" s="2" t="s">
        <v>28</v>
      </c>
      <c r="D871" s="2" t="s">
        <v>29</v>
      </c>
      <c r="E871" s="2" t="s">
        <v>44</v>
      </c>
      <c r="F871" s="2" t="s">
        <v>69</v>
      </c>
      <c r="G871" s="2" t="s">
        <v>19</v>
      </c>
      <c r="H871" s="4">
        <v>2</v>
      </c>
      <c r="I871" s="5">
        <v>40720.519999999997</v>
      </c>
      <c r="J871" s="6">
        <v>0.05</v>
      </c>
      <c r="K871" s="5">
        <v>77368.990000000005</v>
      </c>
      <c r="L871" s="5">
        <v>53244.91</v>
      </c>
      <c r="M871" s="5">
        <v>24124.080000000002</v>
      </c>
      <c r="N871" s="2" t="s">
        <v>33</v>
      </c>
    </row>
    <row r="872" spans="1:14" ht="12" customHeight="1">
      <c r="A872" s="2" t="s">
        <v>969</v>
      </c>
      <c r="B872" s="3">
        <v>45910</v>
      </c>
      <c r="C872" s="2" t="s">
        <v>15</v>
      </c>
      <c r="D872" s="2" t="s">
        <v>16</v>
      </c>
      <c r="E872" s="2" t="s">
        <v>17</v>
      </c>
      <c r="F872" s="2" t="s">
        <v>24</v>
      </c>
      <c r="G872" s="2" t="s">
        <v>64</v>
      </c>
      <c r="H872" s="4">
        <v>1</v>
      </c>
      <c r="I872" s="5">
        <v>85885.09</v>
      </c>
      <c r="J872" s="6">
        <v>0.05</v>
      </c>
      <c r="K872" s="5">
        <v>81590.84</v>
      </c>
      <c r="L872" s="5">
        <v>68597.8</v>
      </c>
      <c r="M872" s="5">
        <v>12993.04</v>
      </c>
      <c r="N872" s="2" t="s">
        <v>20</v>
      </c>
    </row>
    <row r="873" spans="1:14" ht="12" customHeight="1">
      <c r="A873" s="2" t="s">
        <v>970</v>
      </c>
      <c r="B873" s="3">
        <v>46015</v>
      </c>
      <c r="C873" s="2" t="s">
        <v>15</v>
      </c>
      <c r="D873" s="2" t="s">
        <v>43</v>
      </c>
      <c r="E873" s="2" t="s">
        <v>44</v>
      </c>
      <c r="F873" s="2" t="s">
        <v>53</v>
      </c>
      <c r="G873" s="2" t="s">
        <v>19</v>
      </c>
      <c r="H873" s="4">
        <v>8</v>
      </c>
      <c r="I873" s="5">
        <v>8520.42</v>
      </c>
      <c r="J873" s="6">
        <v>0.15</v>
      </c>
      <c r="K873" s="5">
        <v>57938.86</v>
      </c>
      <c r="L873" s="5">
        <v>40460.89</v>
      </c>
      <c r="M873" s="5">
        <v>17477.97</v>
      </c>
      <c r="N873" s="2" t="s">
        <v>20</v>
      </c>
    </row>
    <row r="874" spans="1:14" ht="12" customHeight="1">
      <c r="A874" s="2" t="s">
        <v>971</v>
      </c>
      <c r="B874" s="3">
        <v>45996</v>
      </c>
      <c r="C874" s="2" t="s">
        <v>22</v>
      </c>
      <c r="D874" s="2" t="s">
        <v>37</v>
      </c>
      <c r="E874" s="2" t="s">
        <v>44</v>
      </c>
      <c r="F874" s="2" t="s">
        <v>80</v>
      </c>
      <c r="G874" s="2" t="s">
        <v>64</v>
      </c>
      <c r="H874" s="4">
        <v>7</v>
      </c>
      <c r="I874" s="5">
        <v>44393.83</v>
      </c>
      <c r="J874" s="6">
        <v>0.15</v>
      </c>
      <c r="K874" s="5">
        <v>264143.28999999998</v>
      </c>
      <c r="L874" s="5">
        <v>215731.47</v>
      </c>
      <c r="M874" s="5">
        <v>48411.82</v>
      </c>
      <c r="N874" s="2" t="s">
        <v>20</v>
      </c>
    </row>
    <row r="875" spans="1:14" ht="12" customHeight="1">
      <c r="A875" s="2" t="s">
        <v>972</v>
      </c>
      <c r="B875" s="3">
        <v>45684</v>
      </c>
      <c r="C875" s="2" t="s">
        <v>22</v>
      </c>
      <c r="D875" s="2" t="s">
        <v>37</v>
      </c>
      <c r="E875" s="2" t="s">
        <v>44</v>
      </c>
      <c r="F875" s="2" t="s">
        <v>45</v>
      </c>
      <c r="G875" s="2" t="s">
        <v>25</v>
      </c>
      <c r="H875" s="4">
        <v>2</v>
      </c>
      <c r="I875" s="5">
        <v>27893.75</v>
      </c>
      <c r="J875" s="6">
        <v>0</v>
      </c>
      <c r="K875" s="5">
        <v>55787.5</v>
      </c>
      <c r="L875" s="5">
        <v>38226.400000000001</v>
      </c>
      <c r="M875" s="5">
        <v>17561.099999999999</v>
      </c>
      <c r="N875" s="2" t="s">
        <v>20</v>
      </c>
    </row>
    <row r="876" spans="1:14" ht="12" customHeight="1">
      <c r="A876" s="2" t="s">
        <v>973</v>
      </c>
      <c r="B876" s="3">
        <v>45718</v>
      </c>
      <c r="C876" s="2" t="s">
        <v>28</v>
      </c>
      <c r="D876" s="2" t="s">
        <v>52</v>
      </c>
      <c r="E876" s="2" t="s">
        <v>30</v>
      </c>
      <c r="F876" s="2" t="s">
        <v>31</v>
      </c>
      <c r="G876" s="2" t="s">
        <v>58</v>
      </c>
      <c r="H876" s="4">
        <v>6</v>
      </c>
      <c r="I876" s="5">
        <v>143943.38</v>
      </c>
      <c r="J876" s="6">
        <v>0</v>
      </c>
      <c r="K876" s="5">
        <v>863660.28</v>
      </c>
      <c r="L876" s="5">
        <v>623101.82999999996</v>
      </c>
      <c r="M876" s="5">
        <v>240558.45</v>
      </c>
      <c r="N876" s="2" t="s">
        <v>59</v>
      </c>
    </row>
    <row r="877" spans="1:14" ht="12" customHeight="1">
      <c r="A877" s="2" t="s">
        <v>974</v>
      </c>
      <c r="B877" s="3">
        <v>45814</v>
      </c>
      <c r="C877" s="2" t="s">
        <v>28</v>
      </c>
      <c r="D877" s="2" t="s">
        <v>56</v>
      </c>
      <c r="E877" s="2" t="s">
        <v>30</v>
      </c>
      <c r="F877" s="2" t="s">
        <v>86</v>
      </c>
      <c r="G877" s="2" t="s">
        <v>64</v>
      </c>
      <c r="H877" s="4">
        <v>1</v>
      </c>
      <c r="I877" s="5">
        <v>34256.78</v>
      </c>
      <c r="J877" s="6">
        <v>0.1</v>
      </c>
      <c r="K877" s="5">
        <v>30831.1</v>
      </c>
      <c r="L877" s="5">
        <v>22444.95</v>
      </c>
      <c r="M877" s="5">
        <v>8386.15</v>
      </c>
      <c r="N877" s="2" t="s">
        <v>20</v>
      </c>
    </row>
    <row r="878" spans="1:14" ht="12" customHeight="1">
      <c r="A878" s="2" t="s">
        <v>975</v>
      </c>
      <c r="B878" s="3">
        <v>45712</v>
      </c>
      <c r="C878" s="2" t="s">
        <v>15</v>
      </c>
      <c r="D878" s="2" t="s">
        <v>63</v>
      </c>
      <c r="E878" s="2" t="s">
        <v>17</v>
      </c>
      <c r="F878" s="2" t="s">
        <v>18</v>
      </c>
      <c r="G878" s="2" t="s">
        <v>64</v>
      </c>
      <c r="H878" s="4">
        <v>1</v>
      </c>
      <c r="I878" s="5">
        <v>14768.03</v>
      </c>
      <c r="J878" s="6">
        <v>0.05</v>
      </c>
      <c r="K878" s="5">
        <v>14029.63</v>
      </c>
      <c r="L878" s="5">
        <v>8125.25</v>
      </c>
      <c r="M878" s="5">
        <v>5904.38</v>
      </c>
      <c r="N878" s="2" t="s">
        <v>59</v>
      </c>
    </row>
    <row r="879" spans="1:14" ht="12" customHeight="1">
      <c r="A879" s="2" t="s">
        <v>976</v>
      </c>
      <c r="B879" s="3">
        <v>45928</v>
      </c>
      <c r="C879" s="2" t="s">
        <v>15</v>
      </c>
      <c r="D879" s="2" t="s">
        <v>16</v>
      </c>
      <c r="E879" s="2" t="s">
        <v>49</v>
      </c>
      <c r="F879" s="2" t="s">
        <v>57</v>
      </c>
      <c r="G879" s="2" t="s">
        <v>61</v>
      </c>
      <c r="H879" s="4">
        <v>1</v>
      </c>
      <c r="I879" s="5">
        <v>10766.46</v>
      </c>
      <c r="J879" s="6">
        <v>0.05</v>
      </c>
      <c r="K879" s="5">
        <v>10228.14</v>
      </c>
      <c r="L879" s="5">
        <v>6394.88</v>
      </c>
      <c r="M879" s="5">
        <v>3833.26</v>
      </c>
      <c r="N879" s="2" t="s">
        <v>20</v>
      </c>
    </row>
    <row r="880" spans="1:14" ht="12" customHeight="1">
      <c r="A880" s="2" t="s">
        <v>977</v>
      </c>
      <c r="B880" s="3">
        <v>45844</v>
      </c>
      <c r="C880" s="2" t="s">
        <v>22</v>
      </c>
      <c r="D880" s="2" t="s">
        <v>35</v>
      </c>
      <c r="E880" s="2" t="s">
        <v>17</v>
      </c>
      <c r="F880" s="2" t="s">
        <v>24</v>
      </c>
      <c r="G880" s="2" t="s">
        <v>25</v>
      </c>
      <c r="H880" s="4">
        <v>5</v>
      </c>
      <c r="I880" s="5">
        <v>87968.12</v>
      </c>
      <c r="J880" s="6">
        <v>0.05</v>
      </c>
      <c r="K880" s="5">
        <v>417848.57</v>
      </c>
      <c r="L880" s="5">
        <v>338708.57</v>
      </c>
      <c r="M880" s="5">
        <v>79140</v>
      </c>
      <c r="N880" s="2" t="s">
        <v>26</v>
      </c>
    </row>
    <row r="881" spans="1:14" ht="12" customHeight="1">
      <c r="A881" s="2" t="s">
        <v>978</v>
      </c>
      <c r="B881" s="3">
        <v>45660</v>
      </c>
      <c r="C881" s="2" t="s">
        <v>15</v>
      </c>
      <c r="D881" s="2" t="s">
        <v>63</v>
      </c>
      <c r="E881" s="2" t="s">
        <v>17</v>
      </c>
      <c r="F881" s="2" t="s">
        <v>114</v>
      </c>
      <c r="G881" s="2" t="s">
        <v>32</v>
      </c>
      <c r="H881" s="4">
        <v>8</v>
      </c>
      <c r="I881" s="5">
        <v>49186.46</v>
      </c>
      <c r="J881" s="6">
        <v>0.05</v>
      </c>
      <c r="K881" s="5">
        <v>373817.1</v>
      </c>
      <c r="L881" s="5">
        <v>298510.53999999998</v>
      </c>
      <c r="M881" s="5">
        <v>75306.559999999998</v>
      </c>
      <c r="N881" s="2" t="s">
        <v>26</v>
      </c>
    </row>
    <row r="882" spans="1:14" ht="12" customHeight="1">
      <c r="A882" s="2" t="s">
        <v>979</v>
      </c>
      <c r="B882" s="3">
        <v>45674</v>
      </c>
      <c r="C882" s="2" t="s">
        <v>22</v>
      </c>
      <c r="D882" s="2" t="s">
        <v>23</v>
      </c>
      <c r="E882" s="2" t="s">
        <v>30</v>
      </c>
      <c r="F882" s="2" t="s">
        <v>31</v>
      </c>
      <c r="G882" s="2" t="s">
        <v>61</v>
      </c>
      <c r="H882" s="4">
        <v>3</v>
      </c>
      <c r="I882" s="5">
        <v>132722.19</v>
      </c>
      <c r="J882" s="6">
        <v>0.15</v>
      </c>
      <c r="K882" s="5">
        <v>338441.58</v>
      </c>
      <c r="L882" s="5">
        <v>300935.03999999998</v>
      </c>
      <c r="M882" s="5">
        <v>37506.54</v>
      </c>
      <c r="N882" s="2" t="s">
        <v>26</v>
      </c>
    </row>
    <row r="883" spans="1:14" ht="12" customHeight="1">
      <c r="A883" s="2" t="s">
        <v>980</v>
      </c>
      <c r="B883" s="3">
        <v>45723</v>
      </c>
      <c r="C883" s="2" t="s">
        <v>28</v>
      </c>
      <c r="D883" s="2" t="s">
        <v>29</v>
      </c>
      <c r="E883" s="2" t="s">
        <v>30</v>
      </c>
      <c r="F883" s="2" t="s">
        <v>31</v>
      </c>
      <c r="G883" s="2" t="s">
        <v>32</v>
      </c>
      <c r="H883" s="4">
        <v>7</v>
      </c>
      <c r="I883" s="5">
        <v>134763.87</v>
      </c>
      <c r="J883" s="6">
        <v>0.05</v>
      </c>
      <c r="K883" s="5">
        <v>896179.74</v>
      </c>
      <c r="L883" s="5">
        <v>725373.1</v>
      </c>
      <c r="M883" s="5">
        <v>170806.64</v>
      </c>
      <c r="N883" s="2" t="s">
        <v>20</v>
      </c>
    </row>
    <row r="884" spans="1:14" ht="12" customHeight="1">
      <c r="A884" s="2" t="s">
        <v>981</v>
      </c>
      <c r="B884" s="3">
        <v>45834</v>
      </c>
      <c r="C884" s="2" t="s">
        <v>15</v>
      </c>
      <c r="D884" s="2" t="s">
        <v>43</v>
      </c>
      <c r="E884" s="2" t="s">
        <v>49</v>
      </c>
      <c r="F884" s="2" t="s">
        <v>50</v>
      </c>
      <c r="G884" s="2" t="s">
        <v>64</v>
      </c>
      <c r="H884" s="4">
        <v>2</v>
      </c>
      <c r="I884" s="5">
        <v>4507.5600000000004</v>
      </c>
      <c r="J884" s="6">
        <v>-0.05</v>
      </c>
      <c r="K884" s="5">
        <v>9015.1200000000008</v>
      </c>
      <c r="L884" s="5">
        <v>4111.08</v>
      </c>
      <c r="M884" s="5">
        <v>4904.04</v>
      </c>
      <c r="N884" s="2" t="s">
        <v>26</v>
      </c>
    </row>
    <row r="885" spans="1:14" ht="12" customHeight="1">
      <c r="A885" s="2" t="s">
        <v>982</v>
      </c>
      <c r="B885" s="3">
        <v>45700</v>
      </c>
      <c r="C885" s="2" t="s">
        <v>22</v>
      </c>
      <c r="D885" s="2" t="s">
        <v>37</v>
      </c>
      <c r="E885" s="2" t="s">
        <v>30</v>
      </c>
      <c r="F885" s="2" t="s">
        <v>40</v>
      </c>
      <c r="G885" s="2" t="s">
        <v>25</v>
      </c>
      <c r="H885" s="4">
        <v>1</v>
      </c>
      <c r="I885" s="5">
        <v>24242.57</v>
      </c>
      <c r="J885" s="6">
        <v>0.05</v>
      </c>
      <c r="K885" s="5">
        <v>23030.44</v>
      </c>
      <c r="L885" s="5">
        <v>15638.14</v>
      </c>
      <c r="M885" s="5">
        <v>7392.3</v>
      </c>
      <c r="N885" s="2" t="s">
        <v>26</v>
      </c>
    </row>
    <row r="886" spans="1:14" ht="12" customHeight="1">
      <c r="A886" s="2" t="s">
        <v>983</v>
      </c>
      <c r="B886" s="3">
        <v>45784</v>
      </c>
      <c r="C886" s="2" t="s">
        <v>428</v>
      </c>
      <c r="D886" s="2" t="s">
        <v>16</v>
      </c>
      <c r="E886" s="2" t="s">
        <v>44</v>
      </c>
      <c r="F886" s="2" t="s">
        <v>45</v>
      </c>
      <c r="G886" s="2" t="s">
        <v>25</v>
      </c>
      <c r="H886" s="4">
        <v>5</v>
      </c>
      <c r="I886" s="5">
        <v>29716.28</v>
      </c>
      <c r="J886" s="6">
        <v>0.05</v>
      </c>
      <c r="K886" s="5">
        <v>141152.32999999999</v>
      </c>
      <c r="L886" s="5">
        <v>98761.81</v>
      </c>
      <c r="M886" s="5">
        <v>42390.52</v>
      </c>
      <c r="N886" s="2" t="s">
        <v>26</v>
      </c>
    </row>
    <row r="887" spans="1:14" ht="12" customHeight="1">
      <c r="A887" s="2" t="s">
        <v>984</v>
      </c>
      <c r="B887" s="3">
        <v>45734</v>
      </c>
      <c r="C887" s="2" t="s">
        <v>28</v>
      </c>
      <c r="D887" s="2" t="s">
        <v>29</v>
      </c>
      <c r="E887" s="2" t="s">
        <v>17</v>
      </c>
      <c r="F887" s="2" t="s">
        <v>24</v>
      </c>
      <c r="G887" s="2" t="s">
        <v>47</v>
      </c>
      <c r="H887" s="4">
        <v>4</v>
      </c>
      <c r="I887" s="5">
        <v>99250.36</v>
      </c>
      <c r="J887" s="6">
        <v>0.1</v>
      </c>
      <c r="K887" s="5">
        <v>357301.3</v>
      </c>
      <c r="L887" s="5">
        <v>275814.40999999997</v>
      </c>
      <c r="M887" s="5">
        <v>81486.89</v>
      </c>
      <c r="N887" s="2" t="s">
        <v>33</v>
      </c>
    </row>
    <row r="888" spans="1:14" ht="12" customHeight="1">
      <c r="A888" s="2" t="s">
        <v>985</v>
      </c>
      <c r="B888" s="3">
        <v>45760</v>
      </c>
      <c r="C888" s="2" t="s">
        <v>22</v>
      </c>
      <c r="D888" s="2" t="s">
        <v>35</v>
      </c>
      <c r="E888" s="2" t="s">
        <v>17</v>
      </c>
      <c r="F888" s="2" t="s">
        <v>18</v>
      </c>
      <c r="G888" s="2" t="s">
        <v>19</v>
      </c>
      <c r="H888" s="4">
        <v>4</v>
      </c>
      <c r="I888" s="5">
        <v>15495.51</v>
      </c>
      <c r="J888" s="6">
        <v>0.05</v>
      </c>
      <c r="K888" s="5">
        <v>58882.94</v>
      </c>
      <c r="L888" s="5">
        <v>31856.55</v>
      </c>
      <c r="M888" s="5">
        <v>27026.39</v>
      </c>
      <c r="N888" s="2" t="s">
        <v>33</v>
      </c>
    </row>
    <row r="889" spans="1:14" ht="12" customHeight="1">
      <c r="A889" s="2" t="s">
        <v>986</v>
      </c>
      <c r="B889" s="3">
        <v>45876</v>
      </c>
      <c r="C889" s="2" t="s">
        <v>28</v>
      </c>
      <c r="D889" s="2" t="s">
        <v>56</v>
      </c>
      <c r="E889" s="2" t="s">
        <v>30</v>
      </c>
      <c r="F889" s="2" t="s">
        <v>86</v>
      </c>
      <c r="G889" s="2" t="s">
        <v>64</v>
      </c>
      <c r="H889" s="4">
        <v>4</v>
      </c>
      <c r="I889" s="5">
        <v>32135.02</v>
      </c>
      <c r="J889" s="6">
        <v>0.05</v>
      </c>
      <c r="K889" s="5">
        <v>122113.08</v>
      </c>
      <c r="L889" s="5">
        <v>87686.5</v>
      </c>
      <c r="M889" s="5">
        <v>34426.58</v>
      </c>
      <c r="N889" s="2" t="s">
        <v>59</v>
      </c>
    </row>
    <row r="890" spans="1:14" ht="12" customHeight="1">
      <c r="A890" s="2" t="s">
        <v>987</v>
      </c>
      <c r="B890" s="3">
        <v>45682</v>
      </c>
      <c r="C890" s="2" t="s">
        <v>22</v>
      </c>
      <c r="D890" s="2" t="s">
        <v>35</v>
      </c>
      <c r="E890" s="2" t="s">
        <v>30</v>
      </c>
      <c r="F890" s="2" t="s">
        <v>38</v>
      </c>
      <c r="G890" s="2" t="s">
        <v>61</v>
      </c>
      <c r="H890" s="4">
        <v>6</v>
      </c>
      <c r="I890" s="5">
        <v>27914.05</v>
      </c>
      <c r="J890" s="6">
        <v>0</v>
      </c>
      <c r="K890" s="5">
        <v>167484.29999999999</v>
      </c>
      <c r="L890" s="5">
        <v>107178</v>
      </c>
      <c r="M890" s="5">
        <v>60306.3</v>
      </c>
      <c r="N890" s="2" t="s">
        <v>33</v>
      </c>
    </row>
    <row r="891" spans="1:14" ht="12" customHeight="1">
      <c r="A891" s="2" t="s">
        <v>988</v>
      </c>
      <c r="B891" s="3">
        <v>45752</v>
      </c>
      <c r="C891" s="2" t="s">
        <v>22</v>
      </c>
      <c r="D891" s="2" t="s">
        <v>23</v>
      </c>
      <c r="E891" s="2" t="s">
        <v>30</v>
      </c>
      <c r="F891" s="2" t="s">
        <v>86</v>
      </c>
      <c r="G891" s="2" t="s">
        <v>58</v>
      </c>
      <c r="H891" s="4">
        <v>5</v>
      </c>
      <c r="I891" s="5">
        <v>32852.47</v>
      </c>
      <c r="J891" s="6">
        <v>0.1</v>
      </c>
      <c r="K891" s="5">
        <v>147836.12</v>
      </c>
      <c r="L891" s="5">
        <v>109918.5</v>
      </c>
      <c r="M891" s="5">
        <v>37917.620000000003</v>
      </c>
      <c r="N891" s="2" t="s">
        <v>20</v>
      </c>
    </row>
    <row r="892" spans="1:14" ht="12" customHeight="1">
      <c r="A892" s="2" t="s">
        <v>989</v>
      </c>
      <c r="B892" s="3">
        <v>45724</v>
      </c>
      <c r="C892" s="2" t="s">
        <v>402</v>
      </c>
      <c r="D892" s="2" t="s">
        <v>56</v>
      </c>
      <c r="E892" s="2" t="s">
        <v>30</v>
      </c>
      <c r="F892" s="2" t="s">
        <v>31</v>
      </c>
      <c r="G892" s="2" t="s">
        <v>32</v>
      </c>
      <c r="H892" s="4">
        <v>2</v>
      </c>
      <c r="I892" s="5">
        <v>138649.26999999999</v>
      </c>
      <c r="J892" s="6">
        <v>0.15</v>
      </c>
      <c r="K892" s="5">
        <v>235703.76</v>
      </c>
      <c r="L892" s="5">
        <v>203742</v>
      </c>
      <c r="M892" s="5">
        <v>31961.759999999998</v>
      </c>
      <c r="N892" s="2" t="s">
        <v>232</v>
      </c>
    </row>
    <row r="893" spans="1:14" ht="12" customHeight="1">
      <c r="A893" s="2" t="s">
        <v>990</v>
      </c>
      <c r="B893" s="3">
        <v>45712</v>
      </c>
      <c r="C893" s="2" t="s">
        <v>15</v>
      </c>
      <c r="D893" s="2" t="s">
        <v>63</v>
      </c>
      <c r="E893" s="2" t="s">
        <v>30</v>
      </c>
      <c r="F893" s="2" t="s">
        <v>86</v>
      </c>
      <c r="G893" s="2" t="s">
        <v>61</v>
      </c>
      <c r="H893" s="4">
        <v>5</v>
      </c>
      <c r="I893" s="5">
        <v>31468.98</v>
      </c>
      <c r="J893" s="6">
        <v>0.05</v>
      </c>
      <c r="K893" s="5">
        <v>149477.65</v>
      </c>
      <c r="L893" s="5">
        <v>109811.95</v>
      </c>
      <c r="M893" s="5">
        <v>39665.699999999997</v>
      </c>
      <c r="N893" s="2" t="s">
        <v>33</v>
      </c>
    </row>
    <row r="894" spans="1:14" ht="12" customHeight="1">
      <c r="A894" s="2" t="s">
        <v>991</v>
      </c>
      <c r="B894" s="3">
        <v>45974</v>
      </c>
      <c r="C894" s="2" t="s">
        <v>22</v>
      </c>
      <c r="D894" s="2" t="s">
        <v>37</v>
      </c>
      <c r="E894" s="2" t="s">
        <v>44</v>
      </c>
      <c r="F894" s="2" t="s">
        <v>45</v>
      </c>
      <c r="G894" s="2" t="s">
        <v>32</v>
      </c>
      <c r="H894" s="4">
        <v>8</v>
      </c>
      <c r="I894" s="5">
        <v>30440.28</v>
      </c>
      <c r="J894" s="6">
        <v>0</v>
      </c>
      <c r="K894" s="5">
        <v>243522.24</v>
      </c>
      <c r="L894" s="5">
        <v>157460.94</v>
      </c>
      <c r="M894" s="5">
        <v>86061.3</v>
      </c>
      <c r="N894" s="2" t="s">
        <v>59</v>
      </c>
    </row>
    <row r="895" spans="1:14" ht="12" customHeight="1">
      <c r="A895" s="2" t="s">
        <v>992</v>
      </c>
      <c r="B895" s="3">
        <v>45787</v>
      </c>
      <c r="C895" s="2" t="s">
        <v>15</v>
      </c>
      <c r="D895" s="2" t="s">
        <v>63</v>
      </c>
      <c r="E895" s="2" t="s">
        <v>44</v>
      </c>
      <c r="F895" s="2" t="s">
        <v>45</v>
      </c>
      <c r="G895" s="2" t="s">
        <v>32</v>
      </c>
      <c r="H895" s="4">
        <v>1</v>
      </c>
      <c r="I895" s="5">
        <v>26802.91</v>
      </c>
      <c r="J895" s="6">
        <v>0.05</v>
      </c>
      <c r="K895" s="5">
        <v>25462.76</v>
      </c>
      <c r="L895" s="5">
        <v>19162.16</v>
      </c>
      <c r="M895" s="5">
        <v>6300.6</v>
      </c>
      <c r="N895" s="2" t="s">
        <v>59</v>
      </c>
    </row>
    <row r="896" spans="1:14" ht="12" customHeight="1">
      <c r="A896" s="2" t="s">
        <v>993</v>
      </c>
      <c r="B896" s="3">
        <v>45915</v>
      </c>
      <c r="C896" s="2" t="s">
        <v>28</v>
      </c>
      <c r="D896" s="2" t="s">
        <v>29</v>
      </c>
      <c r="E896" s="2" t="s">
        <v>17</v>
      </c>
      <c r="F896" s="2" t="s">
        <v>114</v>
      </c>
      <c r="G896" s="2" t="s">
        <v>64</v>
      </c>
      <c r="H896" s="4">
        <v>2</v>
      </c>
      <c r="I896" s="5">
        <v>51857.07</v>
      </c>
      <c r="J896" s="6">
        <v>0.1</v>
      </c>
      <c r="K896" s="5">
        <v>93342.73</v>
      </c>
      <c r="L896" s="5">
        <v>75569.11</v>
      </c>
      <c r="M896" s="5">
        <v>17773.62</v>
      </c>
      <c r="N896" s="2" t="s">
        <v>26</v>
      </c>
    </row>
    <row r="897" spans="1:14" ht="12" customHeight="1">
      <c r="A897" s="2" t="s">
        <v>994</v>
      </c>
      <c r="B897" s="3">
        <v>46013</v>
      </c>
      <c r="C897" s="2" t="s">
        <v>15</v>
      </c>
      <c r="D897" s="2" t="s">
        <v>63</v>
      </c>
      <c r="E897" s="2" t="s">
        <v>44</v>
      </c>
      <c r="F897" s="2" t="s">
        <v>69</v>
      </c>
      <c r="G897" s="2" t="s">
        <v>47</v>
      </c>
      <c r="H897" s="4">
        <v>1</v>
      </c>
      <c r="I897" s="5">
        <v>40771.279999999999</v>
      </c>
      <c r="J897" s="6">
        <v>0</v>
      </c>
      <c r="K897" s="5">
        <v>40771.279999999999</v>
      </c>
      <c r="L897" s="5">
        <v>26665.79</v>
      </c>
      <c r="M897" s="5">
        <v>14105.49</v>
      </c>
      <c r="N897" s="2" t="s">
        <v>20</v>
      </c>
    </row>
    <row r="898" spans="1:14" ht="12" customHeight="1">
      <c r="A898" s="2" t="s">
        <v>995</v>
      </c>
      <c r="B898" s="3">
        <v>45857</v>
      </c>
      <c r="C898" s="2" t="s">
        <v>28</v>
      </c>
      <c r="D898" s="2" t="s">
        <v>29</v>
      </c>
      <c r="E898" s="2" t="s">
        <v>17</v>
      </c>
      <c r="F898" s="2" t="s">
        <v>24</v>
      </c>
      <c r="G898" s="2" t="s">
        <v>25</v>
      </c>
      <c r="H898" s="4">
        <v>8</v>
      </c>
      <c r="I898" s="5">
        <v>95690.71</v>
      </c>
      <c r="J898" s="6">
        <v>0.05</v>
      </c>
      <c r="K898" s="5">
        <v>727249.4</v>
      </c>
      <c r="L898" s="5">
        <v>549099.94999999995</v>
      </c>
      <c r="M898" s="5">
        <v>178149.45</v>
      </c>
      <c r="N898" s="2" t="s">
        <v>59</v>
      </c>
    </row>
    <row r="899" spans="1:14" ht="12" customHeight="1">
      <c r="A899" s="2" t="s">
        <v>996</v>
      </c>
      <c r="B899" s="3">
        <v>45920</v>
      </c>
      <c r="C899" s="2" t="s">
        <v>22</v>
      </c>
      <c r="D899" s="2" t="s">
        <v>23</v>
      </c>
      <c r="E899" s="2" t="s">
        <v>17</v>
      </c>
      <c r="F899" s="2" t="s">
        <v>24</v>
      </c>
      <c r="G899" s="2" t="s">
        <v>70</v>
      </c>
      <c r="H899" s="4">
        <v>4</v>
      </c>
      <c r="I899" s="5">
        <v>93355.9</v>
      </c>
      <c r="J899" s="6">
        <v>0</v>
      </c>
      <c r="K899" s="5">
        <v>373423.6</v>
      </c>
      <c r="L899" s="5">
        <v>280579.11</v>
      </c>
      <c r="M899" s="5">
        <v>92844.49</v>
      </c>
      <c r="N899" s="2" t="s">
        <v>59</v>
      </c>
    </row>
    <row r="900" spans="1:14" ht="12" customHeight="1">
      <c r="A900" s="2" t="s">
        <v>997</v>
      </c>
      <c r="B900" s="3">
        <v>45807</v>
      </c>
      <c r="C900" s="2" t="s">
        <v>28</v>
      </c>
      <c r="D900" s="2" t="s">
        <v>52</v>
      </c>
      <c r="E900" s="2" t="s">
        <v>30</v>
      </c>
      <c r="F900" s="2" t="s">
        <v>38</v>
      </c>
      <c r="G900" s="2" t="s">
        <v>64</v>
      </c>
      <c r="H900" s="4">
        <v>2</v>
      </c>
      <c r="I900" s="5">
        <v>25579.19</v>
      </c>
      <c r="J900" s="6">
        <v>0</v>
      </c>
      <c r="K900" s="5">
        <v>51158.38</v>
      </c>
      <c r="L900" s="5">
        <v>36264.589999999997</v>
      </c>
      <c r="M900" s="5">
        <v>14893.79</v>
      </c>
      <c r="N900" s="2" t="s">
        <v>26</v>
      </c>
    </row>
    <row r="901" spans="1:14" ht="12" customHeight="1">
      <c r="A901" s="2" t="s">
        <v>998</v>
      </c>
      <c r="B901" s="3">
        <v>45658</v>
      </c>
      <c r="C901" s="2" t="s">
        <v>28</v>
      </c>
      <c r="D901" s="2" t="s">
        <v>52</v>
      </c>
      <c r="E901" s="2" t="s">
        <v>30</v>
      </c>
      <c r="F901" s="2" t="s">
        <v>31</v>
      </c>
      <c r="G901" s="2" t="s">
        <v>32</v>
      </c>
      <c r="H901" s="4">
        <v>4</v>
      </c>
      <c r="I901" s="5">
        <v>145573.98000000001</v>
      </c>
      <c r="J901" s="6">
        <v>0</v>
      </c>
      <c r="K901" s="5">
        <v>582295.92000000004</v>
      </c>
      <c r="L901" s="5">
        <v>406998.34</v>
      </c>
      <c r="M901" s="5">
        <v>175297.58</v>
      </c>
      <c r="N901" s="2" t="s">
        <v>59</v>
      </c>
    </row>
    <row r="902" spans="1:14" ht="12" customHeight="1">
      <c r="A902" s="2" t="s">
        <v>999</v>
      </c>
      <c r="B902" s="3">
        <v>45687</v>
      </c>
      <c r="C902" s="2" t="s">
        <v>28</v>
      </c>
      <c r="D902" s="2" t="s">
        <v>52</v>
      </c>
      <c r="E902" s="2" t="s">
        <v>30</v>
      </c>
      <c r="F902" s="2" t="s">
        <v>86</v>
      </c>
      <c r="G902" s="2" t="s">
        <v>64</v>
      </c>
      <c r="H902" s="4">
        <v>7</v>
      </c>
      <c r="I902" s="5">
        <v>35103.21</v>
      </c>
      <c r="J902" s="6">
        <v>0.05</v>
      </c>
      <c r="K902" s="5">
        <v>233436.35</v>
      </c>
      <c r="L902" s="5">
        <v>156354.1</v>
      </c>
      <c r="M902" s="5">
        <v>77082.25</v>
      </c>
      <c r="N902" s="2" t="s">
        <v>59</v>
      </c>
    </row>
    <row r="903" spans="1:14" ht="12" customHeight="1">
      <c r="A903" s="2" t="s">
        <v>1000</v>
      </c>
      <c r="B903" s="3">
        <v>45956</v>
      </c>
      <c r="C903" s="2" t="s">
        <v>22</v>
      </c>
      <c r="D903" s="2" t="s">
        <v>37</v>
      </c>
      <c r="E903" s="2" t="s">
        <v>30</v>
      </c>
      <c r="F903" s="2" t="s">
        <v>86</v>
      </c>
      <c r="G903" s="2" t="s">
        <v>19</v>
      </c>
      <c r="H903" s="4">
        <v>5</v>
      </c>
      <c r="I903" s="5">
        <v>35490.07</v>
      </c>
      <c r="J903" s="6">
        <v>0.1</v>
      </c>
      <c r="K903" s="5">
        <v>159705.32</v>
      </c>
      <c r="L903" s="5">
        <v>114301.38</v>
      </c>
      <c r="M903" s="5">
        <v>45403.94</v>
      </c>
      <c r="N903" s="2" t="s">
        <v>20</v>
      </c>
    </row>
    <row r="904" spans="1:14" ht="12" customHeight="1">
      <c r="A904" s="2" t="s">
        <v>1001</v>
      </c>
      <c r="B904" s="3">
        <v>45860</v>
      </c>
      <c r="C904" s="2" t="s">
        <v>15</v>
      </c>
      <c r="D904" s="2" t="s">
        <v>63</v>
      </c>
      <c r="E904" s="2" t="s">
        <v>44</v>
      </c>
      <c r="F904" s="2" t="s">
        <v>53</v>
      </c>
      <c r="G904" s="2" t="s">
        <v>61</v>
      </c>
      <c r="H904" s="4">
        <v>4</v>
      </c>
      <c r="I904" s="5">
        <v>8261</v>
      </c>
      <c r="J904" s="6">
        <v>0</v>
      </c>
      <c r="K904" s="5">
        <v>33044</v>
      </c>
      <c r="L904" s="5">
        <v>19810.04</v>
      </c>
      <c r="M904" s="5">
        <v>13233.96</v>
      </c>
      <c r="N904" s="2" t="s">
        <v>20</v>
      </c>
    </row>
    <row r="905" spans="1:14" ht="12" customHeight="1">
      <c r="A905" s="2" t="s">
        <v>1002</v>
      </c>
      <c r="B905" s="3">
        <v>45893</v>
      </c>
      <c r="C905" s="2" t="s">
        <v>22</v>
      </c>
      <c r="D905" s="2" t="s">
        <v>37</v>
      </c>
      <c r="E905" s="2" t="s">
        <v>49</v>
      </c>
      <c r="F905" s="2" t="s">
        <v>57</v>
      </c>
      <c r="G905" s="2" t="s">
        <v>61</v>
      </c>
      <c r="H905" s="4">
        <v>3</v>
      </c>
      <c r="I905" s="5">
        <v>12239.99</v>
      </c>
      <c r="J905" s="6">
        <v>0</v>
      </c>
      <c r="K905" s="5">
        <v>36719.97</v>
      </c>
      <c r="L905" s="5">
        <v>19591.990000000002</v>
      </c>
      <c r="M905" s="5">
        <v>17127.98</v>
      </c>
      <c r="N905" s="2" t="s">
        <v>26</v>
      </c>
    </row>
    <row r="906" spans="1:14" ht="12" customHeight="1">
      <c r="A906" s="2" t="s">
        <v>1003</v>
      </c>
      <c r="B906" s="3">
        <v>45859</v>
      </c>
      <c r="C906" s="2" t="s">
        <v>22</v>
      </c>
      <c r="D906" s="2" t="s">
        <v>37</v>
      </c>
      <c r="E906" s="2" t="s">
        <v>49</v>
      </c>
      <c r="F906" s="2" t="s">
        <v>50</v>
      </c>
      <c r="G906" s="2" t="s">
        <v>47</v>
      </c>
      <c r="H906" s="4">
        <v>5</v>
      </c>
      <c r="I906" s="5">
        <v>3878.14</v>
      </c>
      <c r="J906" s="6">
        <v>0</v>
      </c>
      <c r="K906" s="5">
        <v>19390.7</v>
      </c>
      <c r="L906" s="5">
        <v>10835.66</v>
      </c>
      <c r="M906" s="5">
        <v>8555.0400000000009</v>
      </c>
      <c r="N906" s="2" t="s">
        <v>33</v>
      </c>
    </row>
    <row r="907" spans="1:14" ht="12" customHeight="1">
      <c r="A907" s="2" t="s">
        <v>1004</v>
      </c>
      <c r="B907" s="3">
        <v>45927</v>
      </c>
      <c r="C907" s="2" t="s">
        <v>22</v>
      </c>
      <c r="D907" s="2" t="s">
        <v>23</v>
      </c>
      <c r="E907" s="2" t="s">
        <v>49</v>
      </c>
      <c r="F907" s="2" t="s">
        <v>50</v>
      </c>
      <c r="G907" s="2" t="s">
        <v>61</v>
      </c>
      <c r="H907" s="4">
        <v>8</v>
      </c>
      <c r="I907" s="5">
        <v>4474.9399999999996</v>
      </c>
      <c r="J907" s="6">
        <v>0.05</v>
      </c>
      <c r="K907" s="5">
        <v>34009.54</v>
      </c>
      <c r="L907" s="5">
        <v>16413.87</v>
      </c>
      <c r="M907" s="5">
        <v>17595.669999999998</v>
      </c>
      <c r="N907" s="2" t="s">
        <v>33</v>
      </c>
    </row>
    <row r="908" spans="1:14" ht="12" customHeight="1">
      <c r="A908" s="2" t="s">
        <v>1005</v>
      </c>
      <c r="B908" s="3">
        <v>45987</v>
      </c>
      <c r="C908" s="2" t="s">
        <v>15</v>
      </c>
      <c r="D908" s="2" t="s">
        <v>16</v>
      </c>
      <c r="E908" s="2" t="s">
        <v>49</v>
      </c>
      <c r="F908" s="2" t="s">
        <v>107</v>
      </c>
      <c r="G908" s="2" t="s">
        <v>64</v>
      </c>
      <c r="H908" s="4">
        <v>1</v>
      </c>
      <c r="I908" s="5">
        <v>4875.55</v>
      </c>
      <c r="J908" s="6">
        <v>0</v>
      </c>
      <c r="K908" s="5">
        <v>4875.55</v>
      </c>
      <c r="L908" s="5">
        <v>2763.29</v>
      </c>
      <c r="M908" s="5">
        <v>2112.2600000000002</v>
      </c>
      <c r="N908" s="2" t="s">
        <v>26</v>
      </c>
    </row>
    <row r="909" spans="1:14" ht="12" customHeight="1">
      <c r="A909" s="2" t="s">
        <v>1006</v>
      </c>
      <c r="B909" s="3">
        <v>45712</v>
      </c>
      <c r="C909" s="2" t="s">
        <v>22</v>
      </c>
      <c r="D909" s="2" t="s">
        <v>23</v>
      </c>
      <c r="E909" s="2" t="s">
        <v>30</v>
      </c>
      <c r="F909" s="2" t="s">
        <v>86</v>
      </c>
      <c r="G909" s="2" t="s">
        <v>32</v>
      </c>
      <c r="H909" s="4">
        <v>1</v>
      </c>
      <c r="I909" s="5">
        <v>34543.870000000003</v>
      </c>
      <c r="J909" s="6">
        <v>0</v>
      </c>
      <c r="K909" s="5">
        <v>34543.870000000003</v>
      </c>
      <c r="L909" s="5">
        <v>23333.25</v>
      </c>
      <c r="M909" s="5">
        <v>11210.62</v>
      </c>
      <c r="N909" s="2" t="s">
        <v>33</v>
      </c>
    </row>
    <row r="910" spans="1:14" ht="12" customHeight="1">
      <c r="A910" s="2" t="s">
        <v>1007</v>
      </c>
      <c r="B910" s="3">
        <v>45686</v>
      </c>
      <c r="C910" s="2" t="s">
        <v>22</v>
      </c>
      <c r="D910" s="2" t="s">
        <v>23</v>
      </c>
      <c r="E910" s="2" t="s">
        <v>49</v>
      </c>
      <c r="F910" s="2" t="s">
        <v>107</v>
      </c>
      <c r="G910" s="2" t="s">
        <v>58</v>
      </c>
      <c r="H910" s="4">
        <v>3</v>
      </c>
      <c r="I910" s="5">
        <v>5039.74</v>
      </c>
      <c r="J910" s="6">
        <v>0.05</v>
      </c>
      <c r="K910" s="5">
        <v>14363.26</v>
      </c>
      <c r="L910" s="5">
        <v>7944.61</v>
      </c>
      <c r="M910" s="5">
        <v>6418.65</v>
      </c>
      <c r="N910" s="2" t="s">
        <v>33</v>
      </c>
    </row>
    <row r="911" spans="1:14" ht="12" customHeight="1">
      <c r="A911" s="2" t="s">
        <v>1008</v>
      </c>
      <c r="B911" s="3">
        <v>45772</v>
      </c>
      <c r="C911" s="2" t="s">
        <v>22</v>
      </c>
      <c r="D911" s="2" t="s">
        <v>23</v>
      </c>
      <c r="E911" s="2" t="s">
        <v>17</v>
      </c>
      <c r="F911" s="2" t="s">
        <v>18</v>
      </c>
      <c r="G911" s="2" t="s">
        <v>64</v>
      </c>
      <c r="H911" s="4">
        <v>2</v>
      </c>
      <c r="I911" s="5">
        <v>14526.78</v>
      </c>
      <c r="J911" s="6">
        <v>0.05</v>
      </c>
      <c r="K911" s="5">
        <v>27600.880000000001</v>
      </c>
      <c r="L911" s="5">
        <v>16070.83</v>
      </c>
      <c r="M911" s="5">
        <v>11530.05</v>
      </c>
      <c r="N911" s="2" t="s">
        <v>26</v>
      </c>
    </row>
    <row r="912" spans="1:14" ht="12" customHeight="1">
      <c r="A912" s="2" t="s">
        <v>1009</v>
      </c>
      <c r="B912" s="3">
        <v>45715</v>
      </c>
      <c r="C912" s="2" t="s">
        <v>28</v>
      </c>
      <c r="D912" s="2" t="s">
        <v>56</v>
      </c>
      <c r="E912" s="2" t="s">
        <v>44</v>
      </c>
      <c r="F912" s="2" t="s">
        <v>69</v>
      </c>
      <c r="G912" s="2" t="s">
        <v>70</v>
      </c>
      <c r="H912" s="4">
        <v>5</v>
      </c>
      <c r="I912" s="5">
        <v>36333.379999999997</v>
      </c>
      <c r="J912" s="6">
        <v>0.15</v>
      </c>
      <c r="K912" s="5">
        <v>154416.85999999999</v>
      </c>
      <c r="L912" s="5">
        <v>129601.17</v>
      </c>
      <c r="M912" s="5">
        <v>24815.69</v>
      </c>
      <c r="N912" s="2" t="s">
        <v>26</v>
      </c>
    </row>
    <row r="913" spans="1:14" ht="12" customHeight="1">
      <c r="A913" s="2" t="s">
        <v>1010</v>
      </c>
      <c r="B913" s="3">
        <v>45701</v>
      </c>
      <c r="C913" s="2" t="s">
        <v>22</v>
      </c>
      <c r="D913" s="2" t="s">
        <v>23</v>
      </c>
      <c r="E913" s="2" t="s">
        <v>17</v>
      </c>
      <c r="F913" s="2" t="s">
        <v>18</v>
      </c>
      <c r="G913" s="2" t="s">
        <v>64</v>
      </c>
      <c r="H913" s="4">
        <v>6</v>
      </c>
      <c r="I913" s="5">
        <v>13516.99</v>
      </c>
      <c r="J913" s="6">
        <v>0.05</v>
      </c>
      <c r="K913" s="5">
        <v>77046.84</v>
      </c>
      <c r="L913" s="5">
        <v>48131.6</v>
      </c>
      <c r="M913" s="5">
        <v>28915.24</v>
      </c>
      <c r="N913" s="2" t="s">
        <v>26</v>
      </c>
    </row>
    <row r="914" spans="1:14" ht="12" customHeight="1">
      <c r="A914" s="2" t="s">
        <v>1011</v>
      </c>
      <c r="B914" s="3">
        <v>45977</v>
      </c>
      <c r="C914" s="2" t="s">
        <v>22</v>
      </c>
      <c r="D914" s="2" t="s">
        <v>35</v>
      </c>
      <c r="E914" s="2" t="s">
        <v>30</v>
      </c>
      <c r="F914" s="2" t="s">
        <v>86</v>
      </c>
      <c r="G914" s="2" t="s">
        <v>58</v>
      </c>
      <c r="H914" s="4">
        <v>7</v>
      </c>
      <c r="I914" s="5">
        <v>31153.16</v>
      </c>
      <c r="J914" s="6">
        <v>0.15</v>
      </c>
      <c r="K914" s="5">
        <v>185361.3</v>
      </c>
      <c r="L914" s="5">
        <v>160350.95000000001</v>
      </c>
      <c r="M914" s="5">
        <v>25010.35</v>
      </c>
      <c r="N914" s="2" t="s">
        <v>59</v>
      </c>
    </row>
    <row r="915" spans="1:14" ht="12" customHeight="1">
      <c r="A915" s="2" t="s">
        <v>1012</v>
      </c>
      <c r="B915" s="3">
        <v>45659</v>
      </c>
      <c r="C915" s="2" t="s">
        <v>22</v>
      </c>
      <c r="D915" s="2" t="s">
        <v>35</v>
      </c>
      <c r="E915" s="2" t="s">
        <v>49</v>
      </c>
      <c r="F915" s="2" t="s">
        <v>57</v>
      </c>
      <c r="G915" s="2" t="s">
        <v>61</v>
      </c>
      <c r="H915" s="4">
        <v>5</v>
      </c>
      <c r="I915" s="5">
        <v>12071.72</v>
      </c>
      <c r="J915" s="6">
        <v>0.15</v>
      </c>
      <c r="K915" s="5">
        <v>51304.81</v>
      </c>
      <c r="L915" s="5">
        <v>33342.01</v>
      </c>
      <c r="M915" s="5">
        <v>17962.8</v>
      </c>
      <c r="N915" s="2" t="s">
        <v>26</v>
      </c>
    </row>
    <row r="916" spans="1:14" ht="12" customHeight="1">
      <c r="A916" s="2" t="s">
        <v>1013</v>
      </c>
      <c r="B916" s="3">
        <v>45800</v>
      </c>
      <c r="C916" s="2" t="s">
        <v>28</v>
      </c>
      <c r="D916" s="2" t="s">
        <v>52</v>
      </c>
      <c r="E916" s="2" t="s">
        <v>49</v>
      </c>
      <c r="F916" s="2" t="s">
        <v>107</v>
      </c>
      <c r="G916" s="2" t="s">
        <v>61</v>
      </c>
      <c r="H916" s="4">
        <v>8</v>
      </c>
      <c r="I916" s="5">
        <v>5461.79</v>
      </c>
      <c r="J916" s="6">
        <v>0</v>
      </c>
      <c r="K916" s="5">
        <v>43694.32</v>
      </c>
      <c r="L916" s="5">
        <v>21825.7</v>
      </c>
      <c r="M916" s="5">
        <v>21868.62</v>
      </c>
      <c r="N916" s="2" t="s">
        <v>33</v>
      </c>
    </row>
    <row r="917" spans="1:14" ht="12" customHeight="1">
      <c r="A917" s="2" t="s">
        <v>1014</v>
      </c>
      <c r="B917" s="3">
        <v>45869</v>
      </c>
      <c r="C917" s="2" t="s">
        <v>28</v>
      </c>
      <c r="D917" s="2" t="s">
        <v>52</v>
      </c>
      <c r="E917" s="2" t="s">
        <v>44</v>
      </c>
      <c r="F917" s="2" t="s">
        <v>53</v>
      </c>
      <c r="G917" s="2" t="s">
        <v>32</v>
      </c>
      <c r="H917" s="4">
        <v>6</v>
      </c>
      <c r="I917" s="5">
        <v>8254.27</v>
      </c>
      <c r="J917" s="6">
        <v>0.05</v>
      </c>
      <c r="K917" s="5">
        <v>47049.34</v>
      </c>
      <c r="L917" s="5">
        <v>29508.49</v>
      </c>
      <c r="M917" s="5">
        <v>17540.849999999999</v>
      </c>
      <c r="N917" s="2" t="s">
        <v>26</v>
      </c>
    </row>
    <row r="918" spans="1:14" ht="12" customHeight="1">
      <c r="A918" s="2" t="s">
        <v>1015</v>
      </c>
      <c r="B918" s="3">
        <v>45775</v>
      </c>
      <c r="C918" s="2" t="s">
        <v>15</v>
      </c>
      <c r="D918" s="2" t="s">
        <v>16</v>
      </c>
      <c r="E918" s="2" t="s">
        <v>49</v>
      </c>
      <c r="F918" s="2" t="s">
        <v>107</v>
      </c>
      <c r="G918" s="2" t="s">
        <v>25</v>
      </c>
      <c r="H918" s="4">
        <v>8</v>
      </c>
      <c r="I918" s="5">
        <v>5232.24</v>
      </c>
      <c r="J918" s="6">
        <v>0.05</v>
      </c>
      <c r="K918" s="5">
        <v>39765.019999999997</v>
      </c>
      <c r="L918" s="5">
        <v>21757.1</v>
      </c>
      <c r="M918" s="5">
        <v>18007.919999999998</v>
      </c>
      <c r="N918" s="2" t="s">
        <v>33</v>
      </c>
    </row>
    <row r="919" spans="1:14" ht="12" customHeight="1">
      <c r="A919" s="2" t="s">
        <v>1016</v>
      </c>
      <c r="B919" s="3">
        <v>45666</v>
      </c>
      <c r="C919" s="2" t="s">
        <v>15</v>
      </c>
      <c r="D919" s="2" t="s">
        <v>43</v>
      </c>
      <c r="E919" s="2" t="s">
        <v>49</v>
      </c>
      <c r="F919" s="2" t="s">
        <v>50</v>
      </c>
      <c r="G919" s="2" t="s">
        <v>32</v>
      </c>
      <c r="H919" s="4">
        <v>2</v>
      </c>
      <c r="I919" s="5">
        <v>4022.05</v>
      </c>
      <c r="J919" s="6">
        <v>0</v>
      </c>
      <c r="K919" s="5">
        <v>8044.1</v>
      </c>
      <c r="L919" s="5">
        <v>4133.76</v>
      </c>
      <c r="M919" s="5">
        <v>3910.34</v>
      </c>
      <c r="N919" s="2" t="s">
        <v>20</v>
      </c>
    </row>
    <row r="920" spans="1:14" ht="12" customHeight="1">
      <c r="A920" s="2" t="s">
        <v>1017</v>
      </c>
      <c r="B920" s="3">
        <v>45731</v>
      </c>
      <c r="C920" s="2" t="s">
        <v>22</v>
      </c>
      <c r="D920" s="2" t="s">
        <v>23</v>
      </c>
      <c r="E920" s="2" t="s">
        <v>17</v>
      </c>
      <c r="F920" s="2" t="s">
        <v>18</v>
      </c>
      <c r="G920" s="2" t="s">
        <v>25</v>
      </c>
      <c r="H920" s="4">
        <v>6</v>
      </c>
      <c r="I920" s="5">
        <v>15309.1</v>
      </c>
      <c r="J920" s="6">
        <v>0</v>
      </c>
      <c r="K920" s="5">
        <v>91854.6</v>
      </c>
      <c r="L920" s="5">
        <v>48738.94</v>
      </c>
      <c r="M920" s="5">
        <v>43115.66</v>
      </c>
      <c r="N920" s="2" t="s">
        <v>26</v>
      </c>
    </row>
    <row r="921" spans="1:14" ht="12" customHeight="1">
      <c r="A921" s="2" t="s">
        <v>1018</v>
      </c>
      <c r="B921" s="3">
        <v>45671</v>
      </c>
      <c r="C921" s="2" t="s">
        <v>22</v>
      </c>
      <c r="D921" s="2" t="s">
        <v>23</v>
      </c>
      <c r="E921" s="2" t="s">
        <v>17</v>
      </c>
      <c r="F921" s="2" t="s">
        <v>24</v>
      </c>
      <c r="G921" s="2" t="s">
        <v>25</v>
      </c>
      <c r="H921" s="4">
        <v>2</v>
      </c>
      <c r="I921" s="5">
        <v>98801.41</v>
      </c>
      <c r="J921" s="6">
        <v>0.15</v>
      </c>
      <c r="K921" s="5">
        <v>167962.4</v>
      </c>
      <c r="L921" s="5">
        <v>133282.09</v>
      </c>
      <c r="M921" s="5">
        <v>34680.31</v>
      </c>
      <c r="N921" s="2" t="s">
        <v>59</v>
      </c>
    </row>
    <row r="922" spans="1:14" ht="12" customHeight="1">
      <c r="A922" s="2" t="s">
        <v>1019</v>
      </c>
      <c r="B922" s="3">
        <v>45845</v>
      </c>
      <c r="C922" s="2" t="s">
        <v>22</v>
      </c>
      <c r="D922" s="2" t="s">
        <v>37</v>
      </c>
      <c r="E922" s="2" t="s">
        <v>17</v>
      </c>
      <c r="F922" s="2" t="s">
        <v>75</v>
      </c>
      <c r="G922" s="2" t="s">
        <v>61</v>
      </c>
      <c r="H922" s="4">
        <v>8</v>
      </c>
      <c r="I922" s="5">
        <v>194988.14</v>
      </c>
      <c r="J922" s="6">
        <v>0</v>
      </c>
      <c r="K922" s="5">
        <v>1559905.12</v>
      </c>
      <c r="L922" s="5">
        <v>1104320.3700000001</v>
      </c>
      <c r="M922" s="5">
        <v>455584.75</v>
      </c>
      <c r="N922" s="2" t="s">
        <v>33</v>
      </c>
    </row>
    <row r="923" spans="1:14" ht="12" customHeight="1">
      <c r="A923" s="2" t="s">
        <v>1020</v>
      </c>
      <c r="B923" s="3">
        <v>45928</v>
      </c>
      <c r="C923" s="2" t="s">
        <v>22</v>
      </c>
      <c r="D923" s="2" t="s">
        <v>23</v>
      </c>
      <c r="E923" s="2" t="s">
        <v>17</v>
      </c>
      <c r="F923" s="2" t="s">
        <v>114</v>
      </c>
      <c r="G923" s="2" t="s">
        <v>58</v>
      </c>
      <c r="H923" s="4">
        <v>3</v>
      </c>
      <c r="I923" s="5">
        <v>54208.28</v>
      </c>
      <c r="J923" s="6">
        <v>0.05</v>
      </c>
      <c r="K923" s="5">
        <v>154493.6</v>
      </c>
      <c r="L923" s="5">
        <v>111914.37</v>
      </c>
      <c r="M923" s="5">
        <v>42579.23</v>
      </c>
      <c r="N923" s="2" t="s">
        <v>20</v>
      </c>
    </row>
    <row r="924" spans="1:14" ht="12" customHeight="1">
      <c r="A924" s="2" t="s">
        <v>1021</v>
      </c>
      <c r="B924" s="3">
        <v>45986</v>
      </c>
      <c r="C924" s="2" t="s">
        <v>28</v>
      </c>
      <c r="D924" s="2" t="s">
        <v>29</v>
      </c>
      <c r="E924" s="2" t="s">
        <v>30</v>
      </c>
      <c r="F924" s="2" t="s">
        <v>40</v>
      </c>
      <c r="G924" s="2" t="s">
        <v>64</v>
      </c>
      <c r="H924" s="4">
        <v>1</v>
      </c>
      <c r="I924" s="5">
        <v>23664.13</v>
      </c>
      <c r="J924" s="6">
        <v>0</v>
      </c>
      <c r="K924" s="5">
        <v>23664.13</v>
      </c>
      <c r="L924" s="5">
        <v>15392.36</v>
      </c>
      <c r="M924" s="5">
        <v>8271.77</v>
      </c>
      <c r="N924" s="2" t="s">
        <v>26</v>
      </c>
    </row>
    <row r="925" spans="1:14" ht="12" customHeight="1">
      <c r="A925" s="2" t="s">
        <v>1022</v>
      </c>
      <c r="B925" s="3">
        <v>45790</v>
      </c>
      <c r="C925" s="2" t="s">
        <v>15</v>
      </c>
      <c r="D925" s="2" t="s">
        <v>16</v>
      </c>
      <c r="E925" s="2" t="s">
        <v>17</v>
      </c>
      <c r="F925" s="2" t="s">
        <v>114</v>
      </c>
      <c r="G925" s="2" t="s">
        <v>58</v>
      </c>
      <c r="H925" s="4">
        <v>7</v>
      </c>
      <c r="I925" s="5">
        <v>53496.800000000003</v>
      </c>
      <c r="J925" s="6">
        <v>0.05</v>
      </c>
      <c r="K925" s="5">
        <v>355753.72</v>
      </c>
      <c r="L925" s="5">
        <v>257746.08</v>
      </c>
      <c r="M925" s="5">
        <v>98007.64</v>
      </c>
      <c r="N925" s="2" t="s">
        <v>26</v>
      </c>
    </row>
    <row r="926" spans="1:14" ht="12" customHeight="1">
      <c r="A926" s="2" t="s">
        <v>1023</v>
      </c>
      <c r="B926" s="3">
        <v>45863</v>
      </c>
      <c r="C926" s="2" t="s">
        <v>28</v>
      </c>
      <c r="D926" s="2" t="s">
        <v>52</v>
      </c>
      <c r="E926" s="2" t="s">
        <v>30</v>
      </c>
      <c r="F926" s="2" t="s">
        <v>31</v>
      </c>
      <c r="G926" s="2" t="s">
        <v>64</v>
      </c>
      <c r="H926" s="4">
        <v>7</v>
      </c>
      <c r="I926" s="5">
        <v>145323.21</v>
      </c>
      <c r="J926" s="6">
        <v>0</v>
      </c>
      <c r="K926" s="5">
        <v>1017262.47</v>
      </c>
      <c r="L926" s="5">
        <v>722567.74</v>
      </c>
      <c r="M926" s="5">
        <v>294694.73</v>
      </c>
      <c r="N926" s="2" t="s">
        <v>26</v>
      </c>
    </row>
    <row r="927" spans="1:14" ht="12" customHeight="1">
      <c r="A927" s="2" t="s">
        <v>1024</v>
      </c>
      <c r="B927" s="3">
        <v>45852</v>
      </c>
      <c r="C927" s="2" t="s">
        <v>28</v>
      </c>
      <c r="D927" s="2" t="s">
        <v>52</v>
      </c>
      <c r="E927" s="2" t="s">
        <v>17</v>
      </c>
      <c r="F927" s="2" t="s">
        <v>114</v>
      </c>
      <c r="G927" s="2" t="s">
        <v>61</v>
      </c>
      <c r="H927" s="4">
        <v>8</v>
      </c>
      <c r="I927" s="5">
        <v>50445.74</v>
      </c>
      <c r="J927" s="6">
        <v>0.15</v>
      </c>
      <c r="K927" s="5">
        <v>343031.03</v>
      </c>
      <c r="L927" s="5">
        <v>291520.24</v>
      </c>
      <c r="M927" s="5">
        <v>51510.79</v>
      </c>
      <c r="N927" s="2" t="s">
        <v>33</v>
      </c>
    </row>
    <row r="928" spans="1:14" ht="12" customHeight="1">
      <c r="A928" s="2" t="s">
        <v>1025</v>
      </c>
      <c r="B928" s="3">
        <v>45829</v>
      </c>
      <c r="C928" s="2" t="s">
        <v>28</v>
      </c>
      <c r="D928" s="2" t="s">
        <v>29</v>
      </c>
      <c r="E928" s="2" t="s">
        <v>49</v>
      </c>
      <c r="F928" s="2" t="s">
        <v>50</v>
      </c>
      <c r="G928" s="2" t="s">
        <v>64</v>
      </c>
      <c r="H928" s="4">
        <v>5</v>
      </c>
      <c r="I928" s="5">
        <v>3936.85</v>
      </c>
      <c r="J928" s="6">
        <v>0</v>
      </c>
      <c r="K928" s="5">
        <v>19684.25</v>
      </c>
      <c r="L928" s="5">
        <v>10451.59</v>
      </c>
      <c r="M928" s="5">
        <v>9232.66</v>
      </c>
      <c r="N928" s="2" t="s">
        <v>26</v>
      </c>
    </row>
    <row r="929" spans="1:14" ht="12" customHeight="1">
      <c r="A929" s="2" t="s">
        <v>1026</v>
      </c>
      <c r="B929" s="3">
        <v>45761</v>
      </c>
      <c r="C929" s="2" t="s">
        <v>28</v>
      </c>
      <c r="D929" s="2" t="s">
        <v>52</v>
      </c>
      <c r="E929" s="2" t="s">
        <v>17</v>
      </c>
      <c r="F929" s="2" t="s">
        <v>75</v>
      </c>
      <c r="G929" s="2" t="s">
        <v>64</v>
      </c>
      <c r="H929" s="4">
        <v>4</v>
      </c>
      <c r="I929" s="5">
        <v>187874.48</v>
      </c>
      <c r="J929" s="6">
        <v>0.05</v>
      </c>
      <c r="K929" s="5">
        <v>713923.02</v>
      </c>
      <c r="L929" s="5">
        <v>558424.68999999994</v>
      </c>
      <c r="M929" s="5">
        <v>155498.32999999999</v>
      </c>
      <c r="N929" s="2" t="s">
        <v>26</v>
      </c>
    </row>
    <row r="930" spans="1:14" ht="12" customHeight="1">
      <c r="A930" s="2" t="s">
        <v>1027</v>
      </c>
      <c r="B930" s="3">
        <v>45662</v>
      </c>
      <c r="C930" s="2" t="s">
        <v>28</v>
      </c>
      <c r="D930" s="2" t="s">
        <v>52</v>
      </c>
      <c r="E930" s="2" t="s">
        <v>17</v>
      </c>
      <c r="F930" s="2" t="s">
        <v>114</v>
      </c>
      <c r="G930" s="2" t="s">
        <v>32</v>
      </c>
      <c r="H930" s="4">
        <v>1</v>
      </c>
      <c r="I930" s="5">
        <v>48239.77</v>
      </c>
      <c r="J930" s="6">
        <v>0</v>
      </c>
      <c r="K930" s="5">
        <v>48239.77</v>
      </c>
      <c r="L930" s="5">
        <v>37815.67</v>
      </c>
      <c r="M930" s="5">
        <v>10424.1</v>
      </c>
      <c r="N930" s="2" t="s">
        <v>59</v>
      </c>
    </row>
    <row r="931" spans="1:14" ht="12" customHeight="1">
      <c r="A931" s="2" t="s">
        <v>1028</v>
      </c>
      <c r="B931" s="3">
        <v>45707</v>
      </c>
      <c r="C931" s="2" t="s">
        <v>28</v>
      </c>
      <c r="D931" s="2" t="s">
        <v>29</v>
      </c>
      <c r="E931" s="2" t="s">
        <v>44</v>
      </c>
      <c r="F931" s="2" t="s">
        <v>69</v>
      </c>
      <c r="G931" s="2" t="s">
        <v>32</v>
      </c>
      <c r="H931" s="4">
        <v>7</v>
      </c>
      <c r="I931" s="5">
        <v>39372.18</v>
      </c>
      <c r="J931" s="6">
        <v>0</v>
      </c>
      <c r="K931" s="5">
        <v>275605.26</v>
      </c>
      <c r="L931" s="5">
        <v>185491.85</v>
      </c>
      <c r="M931" s="5">
        <v>90113.41</v>
      </c>
      <c r="N931" s="2" t="s">
        <v>20</v>
      </c>
    </row>
    <row r="932" spans="1:14" ht="12" customHeight="1">
      <c r="A932" s="2" t="s">
        <v>1029</v>
      </c>
      <c r="B932" s="3">
        <v>45677</v>
      </c>
      <c r="C932" s="2" t="s">
        <v>15</v>
      </c>
      <c r="D932" s="2" t="s">
        <v>43</v>
      </c>
      <c r="E932" s="2" t="s">
        <v>17</v>
      </c>
      <c r="F932" s="2" t="s">
        <v>24</v>
      </c>
      <c r="G932" s="2" t="s">
        <v>58</v>
      </c>
      <c r="H932" s="4">
        <v>1</v>
      </c>
      <c r="I932" s="5">
        <v>93283.22</v>
      </c>
      <c r="J932" s="6">
        <v>0.05</v>
      </c>
      <c r="K932" s="5">
        <v>88619.06</v>
      </c>
      <c r="L932" s="5">
        <v>68230.3</v>
      </c>
      <c r="M932" s="5">
        <v>20388.759999999998</v>
      </c>
      <c r="N932" s="2" t="s">
        <v>26</v>
      </c>
    </row>
    <row r="933" spans="1:14" ht="12" customHeight="1">
      <c r="A933" s="2" t="s">
        <v>1030</v>
      </c>
      <c r="B933" s="3">
        <v>46006</v>
      </c>
      <c r="C933" s="2" t="s">
        <v>22</v>
      </c>
      <c r="D933" s="2" t="s">
        <v>37</v>
      </c>
      <c r="E933" s="2" t="s">
        <v>49</v>
      </c>
      <c r="F933" s="2" t="s">
        <v>91</v>
      </c>
      <c r="G933" s="2" t="s">
        <v>61</v>
      </c>
      <c r="H933" s="4">
        <v>2</v>
      </c>
      <c r="I933" s="5">
        <v>6970.93</v>
      </c>
      <c r="J933" s="6">
        <v>0</v>
      </c>
      <c r="K933" s="5">
        <v>13941.86</v>
      </c>
      <c r="L933" s="5">
        <v>7429.74</v>
      </c>
      <c r="M933" s="5">
        <v>6512.12</v>
      </c>
      <c r="N933" s="2" t="s">
        <v>26</v>
      </c>
    </row>
    <row r="934" spans="1:14" ht="12" customHeight="1">
      <c r="A934" s="2" t="s">
        <v>1031</v>
      </c>
      <c r="B934" s="3">
        <v>45878</v>
      </c>
      <c r="C934" s="2" t="s">
        <v>15</v>
      </c>
      <c r="D934" s="2" t="s">
        <v>43</v>
      </c>
      <c r="E934" s="2" t="s">
        <v>30</v>
      </c>
      <c r="F934" s="2" t="s">
        <v>40</v>
      </c>
      <c r="G934" s="2" t="s">
        <v>64</v>
      </c>
      <c r="H934" s="4">
        <v>3</v>
      </c>
      <c r="I934" s="5">
        <v>23868.959999999999</v>
      </c>
      <c r="J934" s="6">
        <v>0.05</v>
      </c>
      <c r="K934" s="5">
        <v>68026.539999999994</v>
      </c>
      <c r="L934" s="5">
        <v>48046.68</v>
      </c>
      <c r="M934" s="5">
        <v>19979.86</v>
      </c>
      <c r="N934" s="2" t="s">
        <v>20</v>
      </c>
    </row>
    <row r="935" spans="1:14" ht="12" customHeight="1">
      <c r="A935" s="2" t="s">
        <v>1032</v>
      </c>
      <c r="B935" s="3">
        <v>45816</v>
      </c>
      <c r="C935" s="2" t="s">
        <v>22</v>
      </c>
      <c r="D935" s="2" t="s">
        <v>23</v>
      </c>
      <c r="E935" s="2" t="s">
        <v>17</v>
      </c>
      <c r="F935" s="2" t="s">
        <v>24</v>
      </c>
      <c r="G935" s="2" t="s">
        <v>19</v>
      </c>
      <c r="H935" s="4">
        <v>8</v>
      </c>
      <c r="I935" s="5">
        <v>86073.82</v>
      </c>
      <c r="J935" s="6">
        <v>0</v>
      </c>
      <c r="K935" s="5">
        <v>688590.56</v>
      </c>
      <c r="L935" s="5">
        <v>533111.06999999995</v>
      </c>
      <c r="M935" s="5">
        <v>155479.49</v>
      </c>
      <c r="N935" s="2" t="s">
        <v>20</v>
      </c>
    </row>
    <row r="936" spans="1:14" ht="12" customHeight="1">
      <c r="A936" s="2" t="s">
        <v>1033</v>
      </c>
      <c r="B936" s="3">
        <v>45838</v>
      </c>
      <c r="C936" s="2" t="s">
        <v>22</v>
      </c>
      <c r="D936" s="2" t="s">
        <v>35</v>
      </c>
      <c r="E936" s="2" t="s">
        <v>30</v>
      </c>
      <c r="F936" s="2" t="s">
        <v>86</v>
      </c>
      <c r="G936" s="2" t="s">
        <v>19</v>
      </c>
      <c r="H936" s="4">
        <v>5</v>
      </c>
      <c r="I936" s="5">
        <v>31212.57</v>
      </c>
      <c r="J936" s="6">
        <v>0.05</v>
      </c>
      <c r="K936" s="5">
        <v>148259.71</v>
      </c>
      <c r="L936" s="5">
        <v>113665.03</v>
      </c>
      <c r="M936" s="5">
        <v>34594.68</v>
      </c>
      <c r="N936" s="2" t="s">
        <v>33</v>
      </c>
    </row>
    <row r="937" spans="1:14" ht="12" customHeight="1">
      <c r="A937" s="2" t="s">
        <v>1034</v>
      </c>
      <c r="B937" s="3">
        <v>45729</v>
      </c>
      <c r="C937" s="2" t="s">
        <v>22</v>
      </c>
      <c r="D937" s="2" t="s">
        <v>37</v>
      </c>
      <c r="E937" s="2" t="s">
        <v>49</v>
      </c>
      <c r="F937" s="2" t="s">
        <v>57</v>
      </c>
      <c r="G937" s="2" t="s">
        <v>19</v>
      </c>
      <c r="H937" s="4">
        <v>8</v>
      </c>
      <c r="I937" s="5">
        <v>12380.41</v>
      </c>
      <c r="J937" s="6">
        <v>0.05</v>
      </c>
      <c r="K937" s="5">
        <v>94091.12</v>
      </c>
      <c r="L937" s="5">
        <v>52807.06</v>
      </c>
      <c r="M937" s="5">
        <v>41284.06</v>
      </c>
      <c r="N937" s="2" t="s">
        <v>20</v>
      </c>
    </row>
    <row r="938" spans="1:14" ht="12" customHeight="1">
      <c r="A938" s="2" t="s">
        <v>1035</v>
      </c>
      <c r="B938" s="3">
        <v>45845</v>
      </c>
      <c r="C938" s="2" t="s">
        <v>22</v>
      </c>
      <c r="D938" s="2" t="s">
        <v>35</v>
      </c>
      <c r="E938" s="2" t="s">
        <v>30</v>
      </c>
      <c r="F938" s="2" t="s">
        <v>40</v>
      </c>
      <c r="G938" s="2" t="s">
        <v>32</v>
      </c>
      <c r="H938" s="4">
        <v>7</v>
      </c>
      <c r="I938" s="5">
        <v>25899.439999999999</v>
      </c>
      <c r="J938" s="6">
        <v>0.15</v>
      </c>
      <c r="K938" s="5">
        <v>154101.67000000001</v>
      </c>
      <c r="L938" s="5">
        <v>108280.6</v>
      </c>
      <c r="M938" s="5">
        <v>45821.07</v>
      </c>
      <c r="N938" s="2" t="s">
        <v>59</v>
      </c>
    </row>
    <row r="939" spans="1:14" ht="12" customHeight="1">
      <c r="A939" s="2" t="s">
        <v>1036</v>
      </c>
      <c r="B939" s="3">
        <v>45987</v>
      </c>
      <c r="C939" s="2" t="s">
        <v>22</v>
      </c>
      <c r="D939" s="2" t="s">
        <v>37</v>
      </c>
      <c r="E939" s="2" t="s">
        <v>49</v>
      </c>
      <c r="F939" s="2" t="s">
        <v>107</v>
      </c>
      <c r="G939" s="2" t="s">
        <v>64</v>
      </c>
      <c r="H939" s="4">
        <v>5</v>
      </c>
      <c r="I939" s="5">
        <v>5514</v>
      </c>
      <c r="J939" s="6">
        <v>0.15</v>
      </c>
      <c r="K939" s="5">
        <v>23434.5</v>
      </c>
      <c r="L939" s="5">
        <v>13135.33</v>
      </c>
      <c r="M939" s="5">
        <v>10299.17</v>
      </c>
      <c r="N939" s="2" t="s">
        <v>26</v>
      </c>
    </row>
    <row r="940" spans="1:14" ht="12" customHeight="1">
      <c r="A940" s="2" t="s">
        <v>1037</v>
      </c>
      <c r="B940" s="3">
        <v>45695</v>
      </c>
      <c r="C940" s="2" t="s">
        <v>15</v>
      </c>
      <c r="D940" s="2" t="s">
        <v>43</v>
      </c>
      <c r="E940" s="2" t="s">
        <v>17</v>
      </c>
      <c r="F940" s="2" t="s">
        <v>24</v>
      </c>
      <c r="G940" s="2" t="s">
        <v>47</v>
      </c>
      <c r="H940" s="4">
        <v>2</v>
      </c>
      <c r="I940" s="5">
        <v>88918.52</v>
      </c>
      <c r="J940" s="6">
        <v>0</v>
      </c>
      <c r="K940" s="5">
        <v>177837.04</v>
      </c>
      <c r="L940" s="5">
        <v>137347.67000000001</v>
      </c>
      <c r="M940" s="5">
        <v>40489.370000000003</v>
      </c>
      <c r="N940" s="2" t="s">
        <v>20</v>
      </c>
    </row>
    <row r="941" spans="1:14" ht="12" customHeight="1">
      <c r="A941" s="2" t="s">
        <v>1038</v>
      </c>
      <c r="B941" s="3">
        <v>45896</v>
      </c>
      <c r="C941" s="2" t="s">
        <v>28</v>
      </c>
      <c r="D941" s="2" t="s">
        <v>29</v>
      </c>
      <c r="E941" s="2" t="s">
        <v>17</v>
      </c>
      <c r="F941" s="2" t="s">
        <v>18</v>
      </c>
      <c r="G941" s="2" t="s">
        <v>19</v>
      </c>
      <c r="H941" s="4">
        <v>8</v>
      </c>
      <c r="I941" s="5">
        <v>14426.89</v>
      </c>
      <c r="J941" s="6">
        <v>0.1</v>
      </c>
      <c r="K941" s="5">
        <v>103873.61</v>
      </c>
      <c r="L941" s="5">
        <v>67765.38</v>
      </c>
      <c r="M941" s="5">
        <v>36108.230000000003</v>
      </c>
      <c r="N941" s="2" t="s">
        <v>33</v>
      </c>
    </row>
    <row r="942" spans="1:14" ht="12" customHeight="1">
      <c r="A942" s="2" t="s">
        <v>1039</v>
      </c>
      <c r="B942" s="3">
        <v>45833</v>
      </c>
      <c r="C942" s="2" t="s">
        <v>22</v>
      </c>
      <c r="D942" s="2" t="s">
        <v>37</v>
      </c>
      <c r="E942" s="2" t="s">
        <v>17</v>
      </c>
      <c r="F942" s="2" t="s">
        <v>114</v>
      </c>
      <c r="G942" s="2" t="s">
        <v>70</v>
      </c>
      <c r="H942" s="4">
        <v>7</v>
      </c>
      <c r="I942" s="5">
        <v>49499.6</v>
      </c>
      <c r="J942" s="6">
        <v>0.05</v>
      </c>
      <c r="K942" s="5">
        <v>329172.34000000003</v>
      </c>
      <c r="L942" s="5">
        <v>248988.07</v>
      </c>
      <c r="M942" s="5">
        <v>80184.27</v>
      </c>
      <c r="N942" s="2" t="s">
        <v>26</v>
      </c>
    </row>
    <row r="943" spans="1:14" ht="12" customHeight="1">
      <c r="A943" s="2" t="s">
        <v>1040</v>
      </c>
      <c r="B943" s="3">
        <v>45898</v>
      </c>
      <c r="C943" s="2" t="s">
        <v>15</v>
      </c>
      <c r="D943" s="2" t="s">
        <v>43</v>
      </c>
      <c r="E943" s="2" t="s">
        <v>49</v>
      </c>
      <c r="F943" s="2" t="s">
        <v>91</v>
      </c>
      <c r="G943" s="2" t="s">
        <v>61</v>
      </c>
      <c r="H943" s="4">
        <v>5</v>
      </c>
      <c r="I943" s="5">
        <v>6452.76</v>
      </c>
      <c r="J943" s="6">
        <v>0.1</v>
      </c>
      <c r="K943" s="5">
        <v>29037.42</v>
      </c>
      <c r="L943" s="5">
        <v>17656.23</v>
      </c>
      <c r="M943" s="5">
        <v>11381.19</v>
      </c>
      <c r="N943" s="2" t="s">
        <v>26</v>
      </c>
    </row>
    <row r="944" spans="1:14" ht="12" customHeight="1">
      <c r="A944" s="2" t="s">
        <v>1041</v>
      </c>
      <c r="B944" s="3">
        <v>45900</v>
      </c>
      <c r="C944" s="2" t="s">
        <v>28</v>
      </c>
      <c r="D944" s="2" t="s">
        <v>29</v>
      </c>
      <c r="E944" s="2" t="s">
        <v>17</v>
      </c>
      <c r="F944" s="2" t="s">
        <v>114</v>
      </c>
      <c r="G944" s="2" t="s">
        <v>47</v>
      </c>
      <c r="H944" s="4">
        <v>1</v>
      </c>
      <c r="I944" s="5">
        <v>55631.34</v>
      </c>
      <c r="J944" s="6">
        <v>0.05</v>
      </c>
      <c r="K944" s="5">
        <v>52849.77</v>
      </c>
      <c r="L944" s="5">
        <v>37422.32</v>
      </c>
      <c r="M944" s="5">
        <v>15427.45</v>
      </c>
      <c r="N944" s="2"/>
    </row>
    <row r="945" spans="1:14" ht="12" customHeight="1">
      <c r="A945" s="2" t="s">
        <v>1042</v>
      </c>
      <c r="B945" s="3">
        <v>45798</v>
      </c>
      <c r="C945" s="2" t="s">
        <v>22</v>
      </c>
      <c r="D945" s="2" t="s">
        <v>23</v>
      </c>
      <c r="E945" s="2" t="s">
        <v>49</v>
      </c>
      <c r="F945" s="2" t="s">
        <v>57</v>
      </c>
      <c r="G945" s="2" t="s">
        <v>111</v>
      </c>
      <c r="H945" s="4">
        <v>5</v>
      </c>
      <c r="I945" s="5">
        <v>11749.66</v>
      </c>
      <c r="J945" s="6">
        <v>0</v>
      </c>
      <c r="K945" s="5">
        <v>58748.3</v>
      </c>
      <c r="L945" s="5">
        <v>31847.45</v>
      </c>
      <c r="M945" s="5">
        <v>26900.85</v>
      </c>
      <c r="N945" s="2" t="s">
        <v>33</v>
      </c>
    </row>
    <row r="946" spans="1:14" ht="12" customHeight="1">
      <c r="A946" s="2" t="s">
        <v>1043</v>
      </c>
      <c r="B946" s="3">
        <v>45685</v>
      </c>
      <c r="C946" s="2" t="s">
        <v>28</v>
      </c>
      <c r="D946" s="2" t="s">
        <v>29</v>
      </c>
      <c r="E946" s="2" t="s">
        <v>49</v>
      </c>
      <c r="F946" s="2" t="s">
        <v>107</v>
      </c>
      <c r="G946" s="2" t="s">
        <v>19</v>
      </c>
      <c r="H946" s="4">
        <v>4</v>
      </c>
      <c r="I946" s="5">
        <v>5341.14</v>
      </c>
      <c r="J946" s="6">
        <v>0.05</v>
      </c>
      <c r="K946" s="5">
        <v>20296.330000000002</v>
      </c>
      <c r="L946" s="5">
        <v>10615.16</v>
      </c>
      <c r="M946" s="5">
        <v>9681.17</v>
      </c>
      <c r="N946" s="2" t="s">
        <v>20</v>
      </c>
    </row>
    <row r="947" spans="1:14" ht="12" customHeight="1">
      <c r="A947" s="2" t="s">
        <v>1044</v>
      </c>
      <c r="B947" s="3">
        <v>46010</v>
      </c>
      <c r="C947" s="2" t="s">
        <v>28</v>
      </c>
      <c r="D947" s="2" t="s">
        <v>56</v>
      </c>
      <c r="E947" s="2" t="s">
        <v>44</v>
      </c>
      <c r="F947" s="2" t="s">
        <v>45</v>
      </c>
      <c r="G947" s="2" t="s">
        <v>61</v>
      </c>
      <c r="H947" s="4">
        <v>6</v>
      </c>
      <c r="I947" s="5">
        <v>30515.25</v>
      </c>
      <c r="J947" s="6">
        <v>0.05</v>
      </c>
      <c r="K947" s="5">
        <v>173936.92</v>
      </c>
      <c r="L947" s="5">
        <v>114374.49</v>
      </c>
      <c r="M947" s="5">
        <v>59562.43</v>
      </c>
      <c r="N947" s="2" t="s">
        <v>20</v>
      </c>
    </row>
    <row r="948" spans="1:14" ht="12" customHeight="1">
      <c r="A948" s="2" t="s">
        <v>1045</v>
      </c>
      <c r="B948" s="3">
        <v>45732</v>
      </c>
      <c r="C948" s="2" t="s">
        <v>28</v>
      </c>
      <c r="D948" s="2" t="s">
        <v>29</v>
      </c>
      <c r="E948" s="2" t="s">
        <v>49</v>
      </c>
      <c r="F948" s="2" t="s">
        <v>91</v>
      </c>
      <c r="G948" s="2" t="s">
        <v>32</v>
      </c>
      <c r="H948" s="4">
        <v>4</v>
      </c>
      <c r="I948" s="5">
        <v>6060.92</v>
      </c>
      <c r="J948" s="6">
        <v>0.15</v>
      </c>
      <c r="K948" s="5">
        <v>20607.13</v>
      </c>
      <c r="L948" s="5">
        <v>14551.12</v>
      </c>
      <c r="M948" s="5">
        <v>6056.01</v>
      </c>
      <c r="N948" s="2" t="s">
        <v>59</v>
      </c>
    </row>
    <row r="949" spans="1:14" ht="12" customHeight="1">
      <c r="A949" s="2" t="s">
        <v>1046</v>
      </c>
      <c r="B949" s="3">
        <v>46003</v>
      </c>
      <c r="C949" s="2" t="s">
        <v>22</v>
      </c>
      <c r="D949" s="2" t="s">
        <v>23</v>
      </c>
      <c r="E949" s="2" t="s">
        <v>49</v>
      </c>
      <c r="F949" s="2" t="s">
        <v>50</v>
      </c>
      <c r="G949" s="2" t="s">
        <v>25</v>
      </c>
      <c r="H949" s="4">
        <v>8</v>
      </c>
      <c r="I949" s="5">
        <v>4444.8100000000004</v>
      </c>
      <c r="J949" s="6">
        <v>0</v>
      </c>
      <c r="K949" s="5">
        <v>35558.480000000003</v>
      </c>
      <c r="L949" s="5">
        <v>17227.41</v>
      </c>
      <c r="M949" s="5">
        <v>18331.07</v>
      </c>
      <c r="N949" s="2" t="s">
        <v>59</v>
      </c>
    </row>
    <row r="950" spans="1:14" ht="12" customHeight="1">
      <c r="A950" s="2" t="s">
        <v>1047</v>
      </c>
      <c r="B950" s="3">
        <v>45707</v>
      </c>
      <c r="C950" s="2" t="s">
        <v>15</v>
      </c>
      <c r="D950" s="2" t="s">
        <v>43</v>
      </c>
      <c r="E950" s="2" t="s">
        <v>17</v>
      </c>
      <c r="F950" s="2" t="s">
        <v>114</v>
      </c>
      <c r="G950" s="2" t="s">
        <v>64</v>
      </c>
      <c r="H950" s="4">
        <v>3</v>
      </c>
      <c r="I950" s="5">
        <v>53117.32</v>
      </c>
      <c r="J950" s="6">
        <v>0.15</v>
      </c>
      <c r="K950" s="5">
        <v>135449.17000000001</v>
      </c>
      <c r="L950" s="5">
        <v>113645.89</v>
      </c>
      <c r="M950" s="5">
        <v>21803.279999999999</v>
      </c>
      <c r="N950" s="2" t="s">
        <v>26</v>
      </c>
    </row>
    <row r="951" spans="1:14" ht="12" customHeight="1">
      <c r="A951" s="2" t="s">
        <v>1048</v>
      </c>
      <c r="B951" s="3">
        <v>46005</v>
      </c>
      <c r="C951" s="2" t="s">
        <v>15</v>
      </c>
      <c r="D951" s="2" t="s">
        <v>16</v>
      </c>
      <c r="E951" s="2" t="s">
        <v>49</v>
      </c>
      <c r="F951" s="2" t="s">
        <v>50</v>
      </c>
      <c r="G951" s="2" t="s">
        <v>64</v>
      </c>
      <c r="H951" s="4">
        <v>7</v>
      </c>
      <c r="I951" s="5">
        <v>4009.24</v>
      </c>
      <c r="J951" s="6">
        <v>0</v>
      </c>
      <c r="K951" s="5">
        <v>28064.68</v>
      </c>
      <c r="L951" s="5">
        <v>15239</v>
      </c>
      <c r="M951" s="5">
        <v>12825.68</v>
      </c>
      <c r="N951" s="2" t="s">
        <v>59</v>
      </c>
    </row>
    <row r="952" spans="1:14" ht="12" customHeight="1">
      <c r="A952" s="2" t="s">
        <v>1049</v>
      </c>
      <c r="B952" s="3">
        <v>45869</v>
      </c>
      <c r="C952" s="2" t="s">
        <v>28</v>
      </c>
      <c r="D952" s="2" t="s">
        <v>52</v>
      </c>
      <c r="E952" s="2" t="s">
        <v>30</v>
      </c>
      <c r="F952" s="2" t="s">
        <v>38</v>
      </c>
      <c r="G952" s="2" t="s">
        <v>25</v>
      </c>
      <c r="H952" s="4">
        <v>2</v>
      </c>
      <c r="I952" s="5">
        <v>27861.05</v>
      </c>
      <c r="J952" s="6">
        <v>0.15</v>
      </c>
      <c r="K952" s="5">
        <v>47363.78</v>
      </c>
      <c r="L952" s="5">
        <v>37437.599999999999</v>
      </c>
      <c r="M952" s="5">
        <v>9926.18</v>
      </c>
      <c r="N952" s="2" t="s">
        <v>59</v>
      </c>
    </row>
    <row r="953" spans="1:14" ht="12" customHeight="1">
      <c r="A953" s="2" t="s">
        <v>1050</v>
      </c>
      <c r="B953" s="3">
        <v>45748</v>
      </c>
      <c r="C953" s="2" t="s">
        <v>28</v>
      </c>
      <c r="D953" s="2" t="s">
        <v>29</v>
      </c>
      <c r="E953" s="2" t="s">
        <v>49</v>
      </c>
      <c r="F953" s="2" t="s">
        <v>57</v>
      </c>
      <c r="G953" s="2" t="s">
        <v>61</v>
      </c>
      <c r="H953" s="4">
        <v>2</v>
      </c>
      <c r="I953" s="5">
        <v>12284.48</v>
      </c>
      <c r="J953" s="6">
        <v>0.05</v>
      </c>
      <c r="K953" s="5">
        <v>23340.51</v>
      </c>
      <c r="L953" s="5">
        <v>12999.83</v>
      </c>
      <c r="M953" s="5">
        <v>10340.68</v>
      </c>
      <c r="N953" s="2" t="s">
        <v>20</v>
      </c>
    </row>
    <row r="954" spans="1:14" ht="12" customHeight="1">
      <c r="A954" s="2" t="s">
        <v>1051</v>
      </c>
      <c r="B954" s="3">
        <v>45666</v>
      </c>
      <c r="C954" s="2" t="s">
        <v>28</v>
      </c>
      <c r="D954" s="2" t="s">
        <v>56</v>
      </c>
      <c r="E954" s="2" t="s">
        <v>49</v>
      </c>
      <c r="F954" s="2" t="s">
        <v>57</v>
      </c>
      <c r="G954" s="2" t="s">
        <v>25</v>
      </c>
      <c r="H954" s="4">
        <v>2</v>
      </c>
      <c r="I954" s="5">
        <v>12411.47</v>
      </c>
      <c r="J954" s="6">
        <v>0</v>
      </c>
      <c r="K954" s="5">
        <v>24822.94</v>
      </c>
      <c r="L954" s="5">
        <v>12691.57</v>
      </c>
      <c r="M954" s="5">
        <v>12131.37</v>
      </c>
      <c r="N954" s="2" t="s">
        <v>33</v>
      </c>
    </row>
    <row r="955" spans="1:14" ht="12" customHeight="1">
      <c r="A955" s="2" t="s">
        <v>1052</v>
      </c>
      <c r="B955" s="3">
        <v>45890</v>
      </c>
      <c r="C955" s="2" t="s">
        <v>28</v>
      </c>
      <c r="D955" s="2" t="s">
        <v>29</v>
      </c>
      <c r="E955" s="2" t="s">
        <v>17</v>
      </c>
      <c r="F955" s="2" t="s">
        <v>114</v>
      </c>
      <c r="G955" s="2" t="s">
        <v>25</v>
      </c>
      <c r="H955" s="4">
        <v>1</v>
      </c>
      <c r="I955" s="5">
        <v>53395.35</v>
      </c>
      <c r="J955" s="6">
        <v>0.05</v>
      </c>
      <c r="K955" s="5">
        <v>50725.58</v>
      </c>
      <c r="L955" s="5">
        <v>35946.33</v>
      </c>
      <c r="M955" s="5">
        <v>14779.25</v>
      </c>
      <c r="N955" s="2" t="s">
        <v>33</v>
      </c>
    </row>
    <row r="956" spans="1:14" ht="12" customHeight="1">
      <c r="A956" s="2" t="s">
        <v>1053</v>
      </c>
      <c r="B956" s="3">
        <v>45860</v>
      </c>
      <c r="C956" s="2" t="s">
        <v>22</v>
      </c>
      <c r="D956" s="2" t="s">
        <v>35</v>
      </c>
      <c r="E956" s="2" t="s">
        <v>17</v>
      </c>
      <c r="F956" s="2" t="s">
        <v>18</v>
      </c>
      <c r="G956" s="2" t="s">
        <v>64</v>
      </c>
      <c r="H956" s="4">
        <v>8</v>
      </c>
      <c r="I956" s="5">
        <v>14298.01</v>
      </c>
      <c r="J956" s="6">
        <v>0.15</v>
      </c>
      <c r="K956" s="5">
        <v>97226.47</v>
      </c>
      <c r="L956" s="5">
        <v>66864.009999999995</v>
      </c>
      <c r="M956" s="5">
        <v>30362.46</v>
      </c>
      <c r="N956" s="2" t="s">
        <v>59</v>
      </c>
    </row>
    <row r="957" spans="1:14" ht="12" customHeight="1">
      <c r="A957" s="2" t="s">
        <v>1054</v>
      </c>
      <c r="B957" s="3">
        <v>45660</v>
      </c>
      <c r="C957" s="2" t="s">
        <v>22</v>
      </c>
      <c r="D957" s="2" t="s">
        <v>37</v>
      </c>
      <c r="E957" s="2" t="s">
        <v>30</v>
      </c>
      <c r="F957" s="2" t="s">
        <v>38</v>
      </c>
      <c r="G957" s="2" t="s">
        <v>25</v>
      </c>
      <c r="H957" s="4">
        <v>5</v>
      </c>
      <c r="I957" s="5">
        <v>26167.95</v>
      </c>
      <c r="J957" s="6">
        <v>0.05</v>
      </c>
      <c r="K957" s="5">
        <v>124297.76</v>
      </c>
      <c r="L957" s="5">
        <v>91541.8</v>
      </c>
      <c r="M957" s="5">
        <v>32755.96</v>
      </c>
      <c r="N957" s="2" t="s">
        <v>33</v>
      </c>
    </row>
    <row r="958" spans="1:14" ht="12" customHeight="1">
      <c r="A958" s="2" t="s">
        <v>1055</v>
      </c>
      <c r="B958" s="3">
        <v>45781</v>
      </c>
      <c r="C958" s="2" t="s">
        <v>22</v>
      </c>
      <c r="D958" s="2" t="s">
        <v>23</v>
      </c>
      <c r="E958" s="2" t="s">
        <v>44</v>
      </c>
      <c r="F958" s="2" t="s">
        <v>69</v>
      </c>
      <c r="G958" s="2" t="s">
        <v>25</v>
      </c>
      <c r="H958" s="4">
        <v>6</v>
      </c>
      <c r="I958" s="5">
        <v>36997.35</v>
      </c>
      <c r="J958" s="6">
        <v>0.1</v>
      </c>
      <c r="K958" s="5">
        <v>199785.69</v>
      </c>
      <c r="L958" s="5">
        <v>162161.69</v>
      </c>
      <c r="M958" s="5">
        <v>37624</v>
      </c>
      <c r="N958" s="2" t="s">
        <v>26</v>
      </c>
    </row>
    <row r="959" spans="1:14" ht="12" customHeight="1">
      <c r="A959" s="2" t="s">
        <v>1056</v>
      </c>
      <c r="B959" s="3">
        <v>45746</v>
      </c>
      <c r="C959" s="2" t="s">
        <v>15</v>
      </c>
      <c r="D959" s="2" t="s">
        <v>43</v>
      </c>
      <c r="E959" s="2" t="s">
        <v>49</v>
      </c>
      <c r="F959" s="2" t="s">
        <v>91</v>
      </c>
      <c r="G959" s="2" t="s">
        <v>25</v>
      </c>
      <c r="H959" s="4">
        <v>7</v>
      </c>
      <c r="I959" s="5">
        <v>6114.03</v>
      </c>
      <c r="J959" s="6">
        <v>0.15</v>
      </c>
      <c r="K959" s="5">
        <v>36378.480000000003</v>
      </c>
      <c r="L959" s="5">
        <v>25132.69</v>
      </c>
      <c r="M959" s="5">
        <v>11245.79</v>
      </c>
      <c r="N959" s="2" t="s">
        <v>155</v>
      </c>
    </row>
    <row r="960" spans="1:14" ht="12" customHeight="1">
      <c r="A960" s="2" t="s">
        <v>1057</v>
      </c>
      <c r="B960" s="3">
        <v>45981</v>
      </c>
      <c r="C960" s="2" t="s">
        <v>15</v>
      </c>
      <c r="D960" s="2" t="s">
        <v>16</v>
      </c>
      <c r="E960" s="2" t="s">
        <v>49</v>
      </c>
      <c r="F960" s="2" t="s">
        <v>50</v>
      </c>
      <c r="G960" s="2" t="s">
        <v>25</v>
      </c>
      <c r="H960" s="4">
        <v>2</v>
      </c>
      <c r="I960" s="5">
        <v>4341.1400000000003</v>
      </c>
      <c r="J960" s="6">
        <v>0</v>
      </c>
      <c r="K960" s="5">
        <v>8682.2800000000007</v>
      </c>
      <c r="L960" s="5">
        <v>4222.25</v>
      </c>
      <c r="M960" s="5">
        <v>4460.03</v>
      </c>
      <c r="N960" s="2" t="s">
        <v>59</v>
      </c>
    </row>
    <row r="961" spans="1:14" ht="12" customHeight="1">
      <c r="A961" s="2" t="s">
        <v>1058</v>
      </c>
      <c r="B961" s="3">
        <v>45961</v>
      </c>
      <c r="C961" s="2" t="s">
        <v>15</v>
      </c>
      <c r="D961" s="2" t="s">
        <v>16</v>
      </c>
      <c r="E961" s="2" t="s">
        <v>30</v>
      </c>
      <c r="F961" s="2" t="s">
        <v>86</v>
      </c>
      <c r="G961" s="2" t="s">
        <v>61</v>
      </c>
      <c r="H961" s="4">
        <v>2</v>
      </c>
      <c r="I961" s="5">
        <v>30852.44</v>
      </c>
      <c r="J961" s="6">
        <v>0.05</v>
      </c>
      <c r="K961" s="5">
        <v>58619.64</v>
      </c>
      <c r="L961" s="5">
        <v>43686.35</v>
      </c>
      <c r="M961" s="5">
        <v>14933.29</v>
      </c>
      <c r="N961" s="2" t="s">
        <v>33</v>
      </c>
    </row>
    <row r="962" spans="1:14" ht="12" customHeight="1">
      <c r="A962" s="2" t="s">
        <v>1059</v>
      </c>
      <c r="B962" s="3">
        <v>45982</v>
      </c>
      <c r="C962" s="2" t="s">
        <v>15</v>
      </c>
      <c r="D962" s="2" t="s">
        <v>43</v>
      </c>
      <c r="E962" s="2" t="s">
        <v>17</v>
      </c>
      <c r="F962" s="2" t="s">
        <v>114</v>
      </c>
      <c r="G962" s="2" t="s">
        <v>32</v>
      </c>
      <c r="H962" s="4">
        <v>1</v>
      </c>
      <c r="I962" s="5">
        <v>54016.27</v>
      </c>
      <c r="J962" s="6">
        <v>0</v>
      </c>
      <c r="K962" s="5">
        <v>54016.27</v>
      </c>
      <c r="L962" s="5">
        <v>37917.620000000003</v>
      </c>
      <c r="M962" s="5">
        <v>16098.65</v>
      </c>
      <c r="N962" s="2" t="s">
        <v>155</v>
      </c>
    </row>
    <row r="963" spans="1:14" ht="12" customHeight="1">
      <c r="A963" s="2" t="s">
        <v>1060</v>
      </c>
      <c r="B963" s="3">
        <v>45851</v>
      </c>
      <c r="C963" s="2" t="s">
        <v>22</v>
      </c>
      <c r="D963" s="2" t="s">
        <v>37</v>
      </c>
      <c r="E963" s="2" t="s">
        <v>44</v>
      </c>
      <c r="F963" s="2" t="s">
        <v>69</v>
      </c>
      <c r="G963" s="2" t="s">
        <v>58</v>
      </c>
      <c r="H963" s="4">
        <v>4</v>
      </c>
      <c r="I963" s="5">
        <v>38215.339999999997</v>
      </c>
      <c r="J963" s="6">
        <v>0</v>
      </c>
      <c r="K963" s="5">
        <v>152861.35999999999</v>
      </c>
      <c r="L963" s="5">
        <v>106167.56</v>
      </c>
      <c r="M963" s="5">
        <v>46693.8</v>
      </c>
      <c r="N963" s="2" t="s">
        <v>33</v>
      </c>
    </row>
    <row r="964" spans="1:14" ht="12" customHeight="1">
      <c r="A964" s="2" t="s">
        <v>1061</v>
      </c>
      <c r="B964" s="3">
        <v>45730</v>
      </c>
      <c r="C964" s="2" t="s">
        <v>28</v>
      </c>
      <c r="D964" s="2"/>
      <c r="E964" s="2" t="s">
        <v>44</v>
      </c>
      <c r="F964" s="2" t="s">
        <v>80</v>
      </c>
      <c r="G964" s="2" t="s">
        <v>58</v>
      </c>
      <c r="H964" s="4">
        <v>2</v>
      </c>
      <c r="I964" s="5">
        <v>40323.21</v>
      </c>
      <c r="J964" s="6">
        <v>0.1</v>
      </c>
      <c r="K964" s="5">
        <v>72581.78</v>
      </c>
      <c r="L964" s="5">
        <v>60672.45</v>
      </c>
      <c r="M964" s="5">
        <v>11909.33</v>
      </c>
      <c r="N964" s="2" t="s">
        <v>59</v>
      </c>
    </row>
    <row r="965" spans="1:14" ht="12" customHeight="1">
      <c r="A965" s="2" t="s">
        <v>1062</v>
      </c>
      <c r="B965" s="3">
        <v>45909</v>
      </c>
      <c r="C965" s="2" t="s">
        <v>22</v>
      </c>
      <c r="D965" s="2" t="s">
        <v>23</v>
      </c>
      <c r="E965" s="2" t="s">
        <v>17</v>
      </c>
      <c r="F965" s="2" t="s">
        <v>114</v>
      </c>
      <c r="G965" s="2" t="s">
        <v>64</v>
      </c>
      <c r="H965" s="4">
        <v>6</v>
      </c>
      <c r="I965" s="5">
        <v>55433.82</v>
      </c>
      <c r="J965" s="6">
        <v>0</v>
      </c>
      <c r="K965" s="5">
        <v>332602.92</v>
      </c>
      <c r="L965" s="5">
        <v>218420.97</v>
      </c>
      <c r="M965" s="5">
        <v>114181.95</v>
      </c>
      <c r="N965" s="2" t="s">
        <v>20</v>
      </c>
    </row>
    <row r="966" spans="1:14" ht="12" customHeight="1">
      <c r="A966" s="2" t="s">
        <v>1063</v>
      </c>
      <c r="B966" s="3">
        <v>45888</v>
      </c>
      <c r="C966" s="2" t="s">
        <v>22</v>
      </c>
      <c r="D966" s="2" t="s">
        <v>35</v>
      </c>
      <c r="E966" s="2" t="s">
        <v>17</v>
      </c>
      <c r="F966" s="2" t="s">
        <v>24</v>
      </c>
      <c r="G966" s="2" t="s">
        <v>61</v>
      </c>
      <c r="H966" s="4">
        <v>7</v>
      </c>
      <c r="I966" s="5">
        <v>90163.74</v>
      </c>
      <c r="J966" s="6">
        <v>0.05</v>
      </c>
      <c r="K966" s="5">
        <v>599588.87</v>
      </c>
      <c r="L966" s="5">
        <v>482829.95</v>
      </c>
      <c r="M966" s="5">
        <v>116758.92</v>
      </c>
      <c r="N966" s="2" t="s">
        <v>26</v>
      </c>
    </row>
    <row r="967" spans="1:14" ht="12" customHeight="1">
      <c r="A967" s="2" t="s">
        <v>1064</v>
      </c>
      <c r="B967" s="3">
        <v>45972</v>
      </c>
      <c r="C967" s="2" t="s">
        <v>28</v>
      </c>
      <c r="D967" s="2" t="s">
        <v>52</v>
      </c>
      <c r="E967" s="2" t="s">
        <v>44</v>
      </c>
      <c r="F967" s="2" t="s">
        <v>80</v>
      </c>
      <c r="G967" s="2" t="s">
        <v>64</v>
      </c>
      <c r="H967" s="4">
        <v>2</v>
      </c>
      <c r="I967" s="5">
        <v>46274.3</v>
      </c>
      <c r="J967" s="6">
        <v>0.05</v>
      </c>
      <c r="K967" s="5">
        <v>87921.17</v>
      </c>
      <c r="L967" s="5">
        <v>62240.17</v>
      </c>
      <c r="M967" s="5">
        <v>25681</v>
      </c>
      <c r="N967" s="2" t="s">
        <v>26</v>
      </c>
    </row>
    <row r="968" spans="1:14" ht="12" customHeight="1">
      <c r="A968" s="2" t="s">
        <v>1065</v>
      </c>
      <c r="B968" s="3">
        <v>45920</v>
      </c>
      <c r="C968" s="2" t="s">
        <v>15</v>
      </c>
      <c r="D968" s="2" t="s">
        <v>43</v>
      </c>
      <c r="E968" s="2" t="s">
        <v>30</v>
      </c>
      <c r="F968" s="2" t="s">
        <v>31</v>
      </c>
      <c r="G968" s="2" t="s">
        <v>61</v>
      </c>
      <c r="H968" s="4">
        <v>4</v>
      </c>
      <c r="I968" s="5">
        <v>137291.99</v>
      </c>
      <c r="J968" s="6">
        <v>0.1</v>
      </c>
      <c r="K968" s="5">
        <v>494251.16</v>
      </c>
      <c r="L968" s="5">
        <v>392531.52</v>
      </c>
      <c r="M968" s="5">
        <v>101719.64</v>
      </c>
      <c r="N968" s="2" t="s">
        <v>26</v>
      </c>
    </row>
    <row r="969" spans="1:14" ht="12" customHeight="1">
      <c r="A969" s="2" t="s">
        <v>1066</v>
      </c>
      <c r="B969" s="3">
        <v>45722</v>
      </c>
      <c r="C969" s="2" t="s">
        <v>28</v>
      </c>
      <c r="D969" s="2" t="s">
        <v>52</v>
      </c>
      <c r="E969" s="2" t="s">
        <v>44</v>
      </c>
      <c r="F969" s="2" t="s">
        <v>80</v>
      </c>
      <c r="G969" s="2" t="s">
        <v>58</v>
      </c>
      <c r="H969" s="4">
        <v>6</v>
      </c>
      <c r="I969" s="5">
        <v>40513.33</v>
      </c>
      <c r="J969" s="6">
        <v>0</v>
      </c>
      <c r="K969" s="5">
        <v>243079.98</v>
      </c>
      <c r="L969" s="5">
        <v>189895.23</v>
      </c>
      <c r="M969" s="5">
        <v>53184.75</v>
      </c>
      <c r="N969" s="2" t="s">
        <v>59</v>
      </c>
    </row>
    <row r="970" spans="1:14" ht="12" customHeight="1">
      <c r="A970" s="2" t="s">
        <v>1067</v>
      </c>
      <c r="B970" s="3">
        <v>45862</v>
      </c>
      <c r="C970" s="2" t="s">
        <v>28</v>
      </c>
      <c r="D970" s="2" t="s">
        <v>52</v>
      </c>
      <c r="E970" s="2" t="s">
        <v>17</v>
      </c>
      <c r="F970" s="2" t="s">
        <v>18</v>
      </c>
      <c r="G970" s="2" t="s">
        <v>47</v>
      </c>
      <c r="H970" s="4">
        <v>5</v>
      </c>
      <c r="I970" s="5">
        <v>14423.54</v>
      </c>
      <c r="J970" s="6">
        <v>0.05</v>
      </c>
      <c r="K970" s="5">
        <v>68511.820000000007</v>
      </c>
      <c r="L970" s="5">
        <v>41021.5</v>
      </c>
      <c r="M970" s="5">
        <v>27490.32</v>
      </c>
      <c r="N970" s="2" t="s">
        <v>59</v>
      </c>
    </row>
    <row r="971" spans="1:14" ht="12" customHeight="1">
      <c r="A971" s="2" t="s">
        <v>1068</v>
      </c>
      <c r="B971" s="3">
        <v>45763</v>
      </c>
      <c r="C971" s="2" t="s">
        <v>22</v>
      </c>
      <c r="D971" s="2" t="s">
        <v>23</v>
      </c>
      <c r="E971" s="2" t="s">
        <v>30</v>
      </c>
      <c r="F971" s="2" t="s">
        <v>40</v>
      </c>
      <c r="G971" s="2" t="s">
        <v>70</v>
      </c>
      <c r="H971" s="4">
        <v>2</v>
      </c>
      <c r="I971" s="5">
        <v>24827.9</v>
      </c>
      <c r="J971" s="6">
        <v>0.1</v>
      </c>
      <c r="K971" s="5">
        <v>44690.22</v>
      </c>
      <c r="L971" s="5">
        <v>31341.23</v>
      </c>
      <c r="M971" s="5">
        <v>13348.99</v>
      </c>
      <c r="N971" s="2" t="s">
        <v>20</v>
      </c>
    </row>
    <row r="972" spans="1:14" ht="12" customHeight="1">
      <c r="A972" s="2" t="s">
        <v>1069</v>
      </c>
      <c r="B972" s="3" t="s">
        <v>1070</v>
      </c>
      <c r="C972" s="2" t="s">
        <v>28</v>
      </c>
      <c r="D972" s="2" t="s">
        <v>56</v>
      </c>
      <c r="E972" s="2" t="s">
        <v>30</v>
      </c>
      <c r="F972" s="2" t="s">
        <v>38</v>
      </c>
      <c r="G972" s="2" t="s">
        <v>32</v>
      </c>
      <c r="H972" s="4">
        <v>2</v>
      </c>
      <c r="I972" s="5">
        <v>27463.52</v>
      </c>
      <c r="J972" s="6">
        <v>0.05</v>
      </c>
      <c r="K972" s="5">
        <v>52180.69</v>
      </c>
      <c r="L972" s="5">
        <v>35423.300000000003</v>
      </c>
      <c r="M972" s="5">
        <v>16757.39</v>
      </c>
      <c r="N972" s="2" t="s">
        <v>33</v>
      </c>
    </row>
    <row r="973" spans="1:14" ht="12" customHeight="1">
      <c r="A973" s="2" t="s">
        <v>1071</v>
      </c>
      <c r="B973" s="3">
        <v>45929</v>
      </c>
      <c r="C973" s="2" t="s">
        <v>28</v>
      </c>
      <c r="D973" s="2" t="s">
        <v>52</v>
      </c>
      <c r="E973" s="2" t="s">
        <v>17</v>
      </c>
      <c r="F973" s="2" t="s">
        <v>18</v>
      </c>
      <c r="G973" s="2" t="s">
        <v>32</v>
      </c>
      <c r="H973" s="4">
        <v>7</v>
      </c>
      <c r="I973" s="5">
        <v>14020.86</v>
      </c>
      <c r="J973" s="6">
        <v>0.15</v>
      </c>
      <c r="K973" s="5">
        <v>83424.12</v>
      </c>
      <c r="L973" s="5">
        <v>59496.62</v>
      </c>
      <c r="M973" s="5">
        <v>23927.5</v>
      </c>
      <c r="N973" s="2" t="s">
        <v>20</v>
      </c>
    </row>
    <row r="974" spans="1:14" ht="12" customHeight="1">
      <c r="A974" s="2" t="s">
        <v>1072</v>
      </c>
      <c r="B974" s="3">
        <v>45768</v>
      </c>
      <c r="C974" s="2" t="s">
        <v>22</v>
      </c>
      <c r="D974" s="2" t="s">
        <v>23</v>
      </c>
      <c r="E974" s="2" t="s">
        <v>44</v>
      </c>
      <c r="F974" s="2" t="s">
        <v>69</v>
      </c>
      <c r="G974" s="2" t="s">
        <v>32</v>
      </c>
      <c r="H974" s="4">
        <v>7</v>
      </c>
      <c r="I974" s="5">
        <v>39768.65</v>
      </c>
      <c r="J974" s="6">
        <v>0.05</v>
      </c>
      <c r="K974" s="5">
        <v>264461.52</v>
      </c>
      <c r="L974" s="5">
        <v>179665.35</v>
      </c>
      <c r="M974" s="5">
        <v>84796.17</v>
      </c>
      <c r="N974" s="2" t="s">
        <v>59</v>
      </c>
    </row>
    <row r="975" spans="1:14" ht="12" customHeight="1">
      <c r="A975" s="2" t="s">
        <v>1073</v>
      </c>
      <c r="B975" s="3">
        <v>45896</v>
      </c>
      <c r="C975" s="2" t="s">
        <v>22</v>
      </c>
      <c r="D975" s="2" t="s">
        <v>35</v>
      </c>
      <c r="E975" s="2" t="s">
        <v>17</v>
      </c>
      <c r="F975" s="2" t="s">
        <v>75</v>
      </c>
      <c r="G975" s="2" t="s">
        <v>32</v>
      </c>
      <c r="H975" s="4">
        <v>6</v>
      </c>
      <c r="I975" s="5">
        <v>190573.46</v>
      </c>
      <c r="J975" s="6">
        <v>0.15</v>
      </c>
      <c r="K975" s="5">
        <v>971924.65</v>
      </c>
      <c r="L975" s="5">
        <v>846053.77</v>
      </c>
      <c r="M975" s="5">
        <v>125870.88</v>
      </c>
      <c r="N975" s="2" t="s">
        <v>26</v>
      </c>
    </row>
    <row r="976" spans="1:14" ht="12" customHeight="1">
      <c r="A976" s="2" t="s">
        <v>1074</v>
      </c>
      <c r="B976" s="3">
        <v>45969</v>
      </c>
      <c r="C976" s="2" t="s">
        <v>15</v>
      </c>
      <c r="D976" s="2" t="s">
        <v>16</v>
      </c>
      <c r="E976" s="2" t="s">
        <v>49</v>
      </c>
      <c r="F976" s="2" t="s">
        <v>57</v>
      </c>
      <c r="G976" s="2" t="s">
        <v>19</v>
      </c>
      <c r="H976" s="4">
        <v>4</v>
      </c>
      <c r="I976" s="5">
        <v>11550.16</v>
      </c>
      <c r="J976" s="6">
        <v>0</v>
      </c>
      <c r="K976" s="5">
        <v>46200.639999999999</v>
      </c>
      <c r="L976" s="5">
        <v>26240.94</v>
      </c>
      <c r="M976" s="5">
        <v>19959.7</v>
      </c>
      <c r="N976" s="2" t="s">
        <v>20</v>
      </c>
    </row>
    <row r="977" spans="1:14" ht="12" customHeight="1">
      <c r="A977" s="2" t="s">
        <v>1075</v>
      </c>
      <c r="B977" s="3">
        <v>45798</v>
      </c>
      <c r="C977" s="2" t="s">
        <v>15</v>
      </c>
      <c r="D977" s="2" t="s">
        <v>63</v>
      </c>
      <c r="E977" s="2" t="s">
        <v>30</v>
      </c>
      <c r="F977" s="2" t="s">
        <v>38</v>
      </c>
      <c r="G977" s="2" t="s">
        <v>25</v>
      </c>
      <c r="H977" s="4">
        <v>4</v>
      </c>
      <c r="I977" s="5">
        <v>25691.57</v>
      </c>
      <c r="J977" s="6">
        <v>0.05</v>
      </c>
      <c r="K977" s="5">
        <v>97627.97</v>
      </c>
      <c r="L977" s="5">
        <v>72353.2</v>
      </c>
      <c r="M977" s="5">
        <v>25274.77</v>
      </c>
      <c r="N977" s="2" t="s">
        <v>33</v>
      </c>
    </row>
    <row r="978" spans="1:14" ht="12" customHeight="1">
      <c r="A978" s="2" t="s">
        <v>1076</v>
      </c>
      <c r="B978" s="3">
        <v>45987</v>
      </c>
      <c r="C978" s="2" t="s">
        <v>22</v>
      </c>
      <c r="D978" s="2" t="s">
        <v>35</v>
      </c>
      <c r="E978" s="2" t="s">
        <v>44</v>
      </c>
      <c r="F978" s="2" t="s">
        <v>69</v>
      </c>
      <c r="G978" s="2" t="s">
        <v>64</v>
      </c>
      <c r="H978" s="4">
        <v>7</v>
      </c>
      <c r="I978" s="5">
        <v>36397.449999999997</v>
      </c>
      <c r="J978" s="6">
        <v>0</v>
      </c>
      <c r="K978" s="5">
        <v>254782.15</v>
      </c>
      <c r="L978" s="5">
        <v>180171.37</v>
      </c>
      <c r="M978" s="5">
        <v>74610.78</v>
      </c>
      <c r="N978" s="2" t="s">
        <v>20</v>
      </c>
    </row>
    <row r="979" spans="1:14" ht="12" customHeight="1">
      <c r="A979" s="2" t="s">
        <v>1077</v>
      </c>
      <c r="B979" s="3">
        <v>45706</v>
      </c>
      <c r="C979" s="2" t="s">
        <v>28</v>
      </c>
      <c r="D979" s="2" t="s">
        <v>52</v>
      </c>
      <c r="E979" s="2" t="s">
        <v>49</v>
      </c>
      <c r="F979" s="2" t="s">
        <v>91</v>
      </c>
      <c r="G979" s="2" t="s">
        <v>25</v>
      </c>
      <c r="H979" s="4">
        <v>1</v>
      </c>
      <c r="I979" s="5">
        <v>6330.89</v>
      </c>
      <c r="J979" s="6">
        <v>0</v>
      </c>
      <c r="K979" s="5">
        <v>6330.89</v>
      </c>
      <c r="L979" s="5">
        <v>3509.5</v>
      </c>
      <c r="M979" s="5">
        <v>2821.39</v>
      </c>
      <c r="N979" s="2" t="s">
        <v>59</v>
      </c>
    </row>
    <row r="980" spans="1:14" ht="12" customHeight="1">
      <c r="A980" s="2" t="s">
        <v>1078</v>
      </c>
      <c r="B980" s="3">
        <v>45682</v>
      </c>
      <c r="C980" s="2" t="s">
        <v>28</v>
      </c>
      <c r="D980" s="2" t="s">
        <v>56</v>
      </c>
      <c r="E980" s="2" t="s">
        <v>30</v>
      </c>
      <c r="F980" s="2" t="s">
        <v>40</v>
      </c>
      <c r="G980" s="2" t="s">
        <v>25</v>
      </c>
      <c r="H980" s="4">
        <v>2</v>
      </c>
      <c r="I980" s="5">
        <v>24721.279999999999</v>
      </c>
      <c r="J980" s="6">
        <v>0.05</v>
      </c>
      <c r="K980" s="5">
        <v>46970.43</v>
      </c>
      <c r="L980" s="5">
        <v>31744.33</v>
      </c>
      <c r="M980" s="5">
        <v>15226.1</v>
      </c>
      <c r="N980" s="2" t="s">
        <v>59</v>
      </c>
    </row>
    <row r="981" spans="1:14" ht="12" customHeight="1">
      <c r="A981" s="2" t="s">
        <v>1079</v>
      </c>
      <c r="B981" s="3">
        <v>45682</v>
      </c>
      <c r="C981" s="2" t="s">
        <v>15</v>
      </c>
      <c r="D981" s="2" t="s">
        <v>63</v>
      </c>
      <c r="E981" s="2" t="s">
        <v>49</v>
      </c>
      <c r="F981" s="2" t="s">
        <v>91</v>
      </c>
      <c r="G981" s="2" t="s">
        <v>64</v>
      </c>
      <c r="H981" s="4">
        <v>6</v>
      </c>
      <c r="I981" s="5">
        <v>6955.21</v>
      </c>
      <c r="J981" s="6">
        <v>0</v>
      </c>
      <c r="K981" s="5">
        <v>41731.26</v>
      </c>
      <c r="L981" s="5">
        <v>20996.28</v>
      </c>
      <c r="M981" s="5">
        <v>20734.98</v>
      </c>
      <c r="N981" s="2" t="s">
        <v>26</v>
      </c>
    </row>
    <row r="982" spans="1:14" ht="12" customHeight="1">
      <c r="A982" s="2" t="s">
        <v>1080</v>
      </c>
      <c r="B982" s="3">
        <v>45846</v>
      </c>
      <c r="C982" s="2" t="s">
        <v>22</v>
      </c>
      <c r="D982" s="2" t="s">
        <v>35</v>
      </c>
      <c r="E982" s="2" t="s">
        <v>49</v>
      </c>
      <c r="F982" s="2" t="s">
        <v>50</v>
      </c>
      <c r="G982" s="2" t="s">
        <v>64</v>
      </c>
      <c r="H982" s="4">
        <v>3</v>
      </c>
      <c r="I982" s="5">
        <v>3923.15</v>
      </c>
      <c r="J982" s="6">
        <v>0.15</v>
      </c>
      <c r="K982" s="5">
        <v>10004.030000000001</v>
      </c>
      <c r="L982" s="5">
        <v>6508.9</v>
      </c>
      <c r="M982" s="5">
        <v>3495.13</v>
      </c>
      <c r="N982" s="2" t="s">
        <v>33</v>
      </c>
    </row>
    <row r="983" spans="1:14" ht="12" customHeight="1">
      <c r="A983" s="2" t="s">
        <v>1081</v>
      </c>
      <c r="B983" s="3">
        <v>45852</v>
      </c>
      <c r="C983" s="2" t="s">
        <v>28</v>
      </c>
      <c r="D983" s="2" t="s">
        <v>52</v>
      </c>
      <c r="E983" s="2" t="s">
        <v>361</v>
      </c>
      <c r="F983" s="2" t="s">
        <v>75</v>
      </c>
      <c r="G983" s="2" t="s">
        <v>58</v>
      </c>
      <c r="H983" s="4">
        <v>5</v>
      </c>
      <c r="I983" s="5">
        <v>172421.25</v>
      </c>
      <c r="J983" s="6">
        <v>0.05</v>
      </c>
      <c r="K983" s="5">
        <v>819000.94</v>
      </c>
      <c r="L983" s="5">
        <v>722889.7</v>
      </c>
      <c r="M983" s="5">
        <v>96111.24</v>
      </c>
      <c r="N983" s="2" t="s">
        <v>26</v>
      </c>
    </row>
    <row r="984" spans="1:14" ht="12" customHeight="1">
      <c r="A984" s="2" t="s">
        <v>1082</v>
      </c>
      <c r="B984" s="3">
        <v>45869</v>
      </c>
      <c r="C984" s="2" t="s">
        <v>22</v>
      </c>
      <c r="D984" s="2" t="s">
        <v>37</v>
      </c>
      <c r="E984" s="2" t="s">
        <v>49</v>
      </c>
      <c r="F984" s="2" t="s">
        <v>91</v>
      </c>
      <c r="G984" s="2" t="s">
        <v>70</v>
      </c>
      <c r="H984" s="4">
        <v>3</v>
      </c>
      <c r="I984" s="5">
        <v>6312.11</v>
      </c>
      <c r="J984" s="6">
        <v>0</v>
      </c>
      <c r="K984" s="5">
        <v>18936.330000000002</v>
      </c>
      <c r="L984" s="5">
        <v>11045.29</v>
      </c>
      <c r="M984" s="5">
        <v>7891.04</v>
      </c>
      <c r="N984" s="2" t="s">
        <v>33</v>
      </c>
    </row>
    <row r="985" spans="1:14" ht="12" customHeight="1">
      <c r="A985" s="2" t="s">
        <v>1083</v>
      </c>
      <c r="B985" s="3">
        <v>45905</v>
      </c>
      <c r="C985" s="2" t="s">
        <v>15</v>
      </c>
      <c r="D985" s="2" t="s">
        <v>43</v>
      </c>
      <c r="E985" s="2" t="s">
        <v>44</v>
      </c>
      <c r="F985" s="2" t="s">
        <v>53</v>
      </c>
      <c r="G985" s="2" t="s">
        <v>47</v>
      </c>
      <c r="H985" s="4">
        <v>8</v>
      </c>
      <c r="I985" s="5">
        <v>9147.84</v>
      </c>
      <c r="J985" s="6">
        <v>0.05</v>
      </c>
      <c r="K985" s="5">
        <v>69523.58</v>
      </c>
      <c r="L985" s="5">
        <v>40144.14</v>
      </c>
      <c r="M985" s="5">
        <v>29379.439999999999</v>
      </c>
      <c r="N985" s="2" t="s">
        <v>33</v>
      </c>
    </row>
    <row r="986" spans="1:14" ht="12" customHeight="1">
      <c r="A986" s="2" t="s">
        <v>1084</v>
      </c>
      <c r="B986" s="3">
        <v>46013</v>
      </c>
      <c r="C986" s="2" t="s">
        <v>28</v>
      </c>
      <c r="D986" s="2" t="s">
        <v>56</v>
      </c>
      <c r="E986" s="2" t="s">
        <v>17</v>
      </c>
      <c r="F986" s="2" t="s">
        <v>18</v>
      </c>
      <c r="G986" s="2" t="s">
        <v>19</v>
      </c>
      <c r="H986" s="4">
        <v>4</v>
      </c>
      <c r="I986" s="5">
        <v>14870</v>
      </c>
      <c r="J986" s="6">
        <v>0.15</v>
      </c>
      <c r="K986" s="5">
        <v>50558</v>
      </c>
      <c r="L986" s="5">
        <v>33781.06</v>
      </c>
      <c r="M986" s="5">
        <v>16776.939999999999</v>
      </c>
      <c r="N986" s="2" t="s">
        <v>33</v>
      </c>
    </row>
    <row r="987" spans="1:14" ht="12" customHeight="1">
      <c r="A987" s="2" t="s">
        <v>1085</v>
      </c>
      <c r="B987" s="3">
        <v>45711</v>
      </c>
      <c r="C987" s="2" t="s">
        <v>28</v>
      </c>
      <c r="D987" s="2" t="s">
        <v>52</v>
      </c>
      <c r="E987" s="2" t="s">
        <v>44</v>
      </c>
      <c r="F987" s="2" t="s">
        <v>80</v>
      </c>
      <c r="G987" s="2" t="s">
        <v>32</v>
      </c>
      <c r="H987" s="4">
        <v>4</v>
      </c>
      <c r="I987" s="5">
        <v>42780.87</v>
      </c>
      <c r="J987" s="6">
        <v>0.05</v>
      </c>
      <c r="K987" s="5">
        <v>162567.31</v>
      </c>
      <c r="L987" s="5">
        <v>121911.12</v>
      </c>
      <c r="M987" s="5">
        <v>40656.19</v>
      </c>
      <c r="N987" s="2" t="s">
        <v>26</v>
      </c>
    </row>
    <row r="988" spans="1:14" ht="12" customHeight="1">
      <c r="A988" s="2" t="s">
        <v>1086</v>
      </c>
      <c r="B988" s="3">
        <v>45724</v>
      </c>
      <c r="C988" s="2" t="s">
        <v>15</v>
      </c>
      <c r="D988" s="2" t="s">
        <v>43</v>
      </c>
      <c r="E988" s="2" t="s">
        <v>30</v>
      </c>
      <c r="F988" s="2" t="s">
        <v>38</v>
      </c>
      <c r="G988" s="2" t="s">
        <v>47</v>
      </c>
      <c r="H988" s="4">
        <v>8</v>
      </c>
      <c r="I988" s="5">
        <v>27670.85</v>
      </c>
      <c r="J988" s="6">
        <v>0.1</v>
      </c>
      <c r="K988" s="5">
        <v>199230.12</v>
      </c>
      <c r="L988" s="5">
        <v>140745.06</v>
      </c>
      <c r="M988" s="5">
        <v>58485.06</v>
      </c>
      <c r="N988" s="2" t="s">
        <v>59</v>
      </c>
    </row>
    <row r="989" spans="1:14" ht="12" customHeight="1">
      <c r="A989" s="2" t="s">
        <v>1087</v>
      </c>
      <c r="B989" s="3">
        <v>45815</v>
      </c>
      <c r="C989" s="2" t="s">
        <v>28</v>
      </c>
      <c r="D989" s="2" t="s">
        <v>56</v>
      </c>
      <c r="E989" s="2" t="s">
        <v>44</v>
      </c>
      <c r="F989" s="2" t="s">
        <v>53</v>
      </c>
      <c r="G989" s="2" t="s">
        <v>19</v>
      </c>
      <c r="H989" s="4">
        <v>4</v>
      </c>
      <c r="I989" s="5">
        <v>7913.35</v>
      </c>
      <c r="J989" s="6">
        <v>0.05</v>
      </c>
      <c r="K989" s="5">
        <v>30070.73</v>
      </c>
      <c r="L989" s="5">
        <v>19237.28</v>
      </c>
      <c r="M989" s="5">
        <v>10833.45</v>
      </c>
      <c r="N989" s="2" t="s">
        <v>26</v>
      </c>
    </row>
    <row r="990" spans="1:14" ht="12" customHeight="1">
      <c r="A990" s="2" t="s">
        <v>1088</v>
      </c>
      <c r="B990" s="3">
        <v>45901</v>
      </c>
      <c r="C990" s="2" t="s">
        <v>28</v>
      </c>
      <c r="D990" s="2" t="s">
        <v>52</v>
      </c>
      <c r="E990" s="2" t="s">
        <v>17</v>
      </c>
      <c r="F990" s="2" t="s">
        <v>24</v>
      </c>
      <c r="G990" s="2" t="s">
        <v>70</v>
      </c>
      <c r="H990" s="4">
        <v>1</v>
      </c>
      <c r="I990" s="5">
        <v>97801.12</v>
      </c>
      <c r="J990" s="6">
        <v>0</v>
      </c>
      <c r="K990" s="5">
        <v>97801.12</v>
      </c>
      <c r="L990" s="5">
        <v>67229.759999999995</v>
      </c>
      <c r="M990" s="5">
        <v>30571.360000000001</v>
      </c>
      <c r="N990" s="2" t="s">
        <v>59</v>
      </c>
    </row>
    <row r="991" spans="1:14" ht="12" customHeight="1">
      <c r="A991" s="2" t="s">
        <v>1089</v>
      </c>
      <c r="B991" s="3">
        <v>45918</v>
      </c>
      <c r="C991" s="2" t="s">
        <v>28</v>
      </c>
      <c r="D991" s="2" t="s">
        <v>52</v>
      </c>
      <c r="E991" s="2" t="s">
        <v>17</v>
      </c>
      <c r="F991" s="2" t="s">
        <v>18</v>
      </c>
      <c r="G991" s="2" t="s">
        <v>32</v>
      </c>
      <c r="H991" s="4">
        <v>7</v>
      </c>
      <c r="I991" s="5">
        <v>13831.99</v>
      </c>
      <c r="J991" s="6">
        <v>0.05</v>
      </c>
      <c r="K991" s="5">
        <v>91982.73</v>
      </c>
      <c r="L991" s="5">
        <v>57695.8</v>
      </c>
      <c r="M991" s="5">
        <v>34286.93</v>
      </c>
      <c r="N991" s="2" t="s">
        <v>33</v>
      </c>
    </row>
    <row r="992" spans="1:14" ht="12" customHeight="1">
      <c r="A992" s="2" t="s">
        <v>1090</v>
      </c>
      <c r="B992" s="3">
        <v>45757</v>
      </c>
      <c r="C992" s="2" t="s">
        <v>28</v>
      </c>
      <c r="D992" s="2" t="s">
        <v>56</v>
      </c>
      <c r="E992" s="2" t="s">
        <v>30</v>
      </c>
      <c r="F992" s="2" t="s">
        <v>31</v>
      </c>
      <c r="G992" s="2" t="s">
        <v>58</v>
      </c>
      <c r="H992" s="4">
        <v>1</v>
      </c>
      <c r="I992" s="5">
        <v>138210.23000000001</v>
      </c>
      <c r="J992" s="6">
        <v>0.15</v>
      </c>
      <c r="K992" s="5">
        <v>117478.7</v>
      </c>
      <c r="L992" s="5">
        <v>104531.1</v>
      </c>
      <c r="M992" s="5">
        <v>12947.6</v>
      </c>
      <c r="N992" s="2" t="s">
        <v>26</v>
      </c>
    </row>
    <row r="993" spans="1:14" ht="12" customHeight="1">
      <c r="A993" s="2" t="s">
        <v>1091</v>
      </c>
      <c r="B993" s="3">
        <v>45714</v>
      </c>
      <c r="C993" s="2" t="s">
        <v>28</v>
      </c>
      <c r="D993" s="2" t="s">
        <v>52</v>
      </c>
      <c r="E993" s="2" t="s">
        <v>30</v>
      </c>
      <c r="F993" s="2" t="s">
        <v>40</v>
      </c>
      <c r="G993" s="2" t="s">
        <v>47</v>
      </c>
      <c r="H993" s="4">
        <v>7</v>
      </c>
      <c r="I993" s="5">
        <v>22968</v>
      </c>
      <c r="J993" s="6">
        <v>0</v>
      </c>
      <c r="K993" s="5">
        <v>160776</v>
      </c>
      <c r="L993" s="5">
        <v>112286</v>
      </c>
      <c r="M993" s="5">
        <v>48490</v>
      </c>
      <c r="N993" s="2" t="s">
        <v>33</v>
      </c>
    </row>
    <row r="994" spans="1:14" ht="12" customHeight="1">
      <c r="A994" s="2" t="s">
        <v>1092</v>
      </c>
      <c r="B994" s="3">
        <v>45975</v>
      </c>
      <c r="C994" s="2" t="s">
        <v>22</v>
      </c>
      <c r="D994" s="2" t="s">
        <v>23</v>
      </c>
      <c r="E994" s="2" t="s">
        <v>30</v>
      </c>
      <c r="F994" s="2" t="s">
        <v>86</v>
      </c>
      <c r="G994" s="2" t="s">
        <v>25</v>
      </c>
      <c r="H994" s="4">
        <v>2</v>
      </c>
      <c r="I994" s="5">
        <v>33169.660000000003</v>
      </c>
      <c r="J994" s="6">
        <v>0.05</v>
      </c>
      <c r="K994" s="5">
        <v>63022.35</v>
      </c>
      <c r="L994" s="5">
        <v>44363.360000000001</v>
      </c>
      <c r="M994" s="5">
        <v>18658.990000000002</v>
      </c>
      <c r="N994" s="2" t="s">
        <v>20</v>
      </c>
    </row>
    <row r="995" spans="1:14" ht="12" customHeight="1">
      <c r="A995" s="2" t="s">
        <v>1093</v>
      </c>
      <c r="B995" s="3">
        <v>45805</v>
      </c>
      <c r="C995" s="2" t="s">
        <v>28</v>
      </c>
      <c r="D995" s="2" t="s">
        <v>52</v>
      </c>
      <c r="E995" s="2" t="s">
        <v>44</v>
      </c>
      <c r="F995" s="2" t="s">
        <v>69</v>
      </c>
      <c r="G995" s="2" t="s">
        <v>58</v>
      </c>
      <c r="H995" s="4">
        <v>8</v>
      </c>
      <c r="I995" s="5">
        <v>36210.69</v>
      </c>
      <c r="J995" s="6">
        <v>0</v>
      </c>
      <c r="K995" s="5">
        <v>289685.52</v>
      </c>
      <c r="L995" s="5">
        <v>206821.54</v>
      </c>
      <c r="M995" s="5">
        <v>82863.98</v>
      </c>
      <c r="N995" s="2" t="s">
        <v>33</v>
      </c>
    </row>
    <row r="996" spans="1:14" ht="12" customHeight="1">
      <c r="A996" s="2" t="s">
        <v>1094</v>
      </c>
      <c r="B996" s="3">
        <v>45753</v>
      </c>
      <c r="C996" s="2" t="s">
        <v>22</v>
      </c>
      <c r="D996" s="2" t="s">
        <v>23</v>
      </c>
      <c r="E996" s="2" t="s">
        <v>49</v>
      </c>
      <c r="F996" s="2" t="s">
        <v>57</v>
      </c>
      <c r="G996" s="2" t="s">
        <v>32</v>
      </c>
      <c r="H996" s="4">
        <v>4</v>
      </c>
      <c r="I996" s="5">
        <v>10893.23</v>
      </c>
      <c r="J996" s="6">
        <v>0.15</v>
      </c>
      <c r="K996" s="5">
        <v>37036.980000000003</v>
      </c>
      <c r="L996" s="5">
        <v>25346.41</v>
      </c>
      <c r="M996" s="5">
        <v>11690.57</v>
      </c>
      <c r="N996" s="2" t="s">
        <v>20</v>
      </c>
    </row>
    <row r="997" spans="1:14" ht="12" customHeight="1">
      <c r="A997" s="2" t="s">
        <v>1095</v>
      </c>
      <c r="B997" s="3">
        <v>45745</v>
      </c>
      <c r="C997" s="2" t="s">
        <v>22</v>
      </c>
      <c r="D997" s="2" t="s">
        <v>23</v>
      </c>
      <c r="E997" s="2" t="s">
        <v>49</v>
      </c>
      <c r="F997" s="2" t="s">
        <v>107</v>
      </c>
      <c r="G997" s="2" t="s">
        <v>64</v>
      </c>
      <c r="H997" s="4">
        <v>6</v>
      </c>
      <c r="I997" s="5">
        <v>4801.33</v>
      </c>
      <c r="J997" s="6">
        <v>0.05</v>
      </c>
      <c r="K997" s="5">
        <v>27367.58</v>
      </c>
      <c r="L997" s="5">
        <v>16713.349999999999</v>
      </c>
      <c r="M997" s="5">
        <v>10654.23</v>
      </c>
      <c r="N997" s="2" t="s">
        <v>59</v>
      </c>
    </row>
    <row r="998" spans="1:14" ht="12" customHeight="1">
      <c r="A998" s="2" t="s">
        <v>1096</v>
      </c>
      <c r="B998" s="3">
        <v>45948</v>
      </c>
      <c r="C998" s="2" t="s">
        <v>28</v>
      </c>
      <c r="D998" s="2" t="s">
        <v>29</v>
      </c>
      <c r="E998" s="2" t="s">
        <v>17</v>
      </c>
      <c r="F998" s="2" t="s">
        <v>114</v>
      </c>
      <c r="G998" s="2" t="s">
        <v>58</v>
      </c>
      <c r="H998" s="4">
        <v>4</v>
      </c>
      <c r="I998" s="5">
        <v>51771.77</v>
      </c>
      <c r="J998" s="6">
        <v>0</v>
      </c>
      <c r="K998" s="5">
        <v>207087.08</v>
      </c>
      <c r="L998" s="5">
        <v>149989.43</v>
      </c>
      <c r="M998" s="5">
        <v>57097.65</v>
      </c>
      <c r="N998" s="2" t="s">
        <v>26</v>
      </c>
    </row>
    <row r="999" spans="1:14" ht="12" customHeight="1">
      <c r="A999" s="2" t="s">
        <v>1097</v>
      </c>
      <c r="B999" s="3">
        <v>45909</v>
      </c>
      <c r="C999" s="2" t="s">
        <v>15</v>
      </c>
      <c r="D999" s="2" t="s">
        <v>43</v>
      </c>
      <c r="E999" s="2" t="s">
        <v>44</v>
      </c>
      <c r="F999" s="2" t="s">
        <v>45</v>
      </c>
      <c r="G999" s="2" t="s">
        <v>32</v>
      </c>
      <c r="H999" s="4">
        <v>2</v>
      </c>
      <c r="I999" s="5">
        <v>26675.97</v>
      </c>
      <c r="J999" s="6">
        <v>0.15</v>
      </c>
      <c r="K999" s="5">
        <v>45349.15</v>
      </c>
      <c r="L999" s="5">
        <v>37752.9</v>
      </c>
      <c r="M999" s="5">
        <v>7596.25</v>
      </c>
      <c r="N999" s="2" t="s">
        <v>59</v>
      </c>
    </row>
    <row r="1000" spans="1:14" ht="12" customHeight="1">
      <c r="A1000" s="2" t="s">
        <v>1098</v>
      </c>
      <c r="B1000" s="3">
        <v>45828</v>
      </c>
      <c r="C1000" s="2" t="s">
        <v>15</v>
      </c>
      <c r="D1000" s="2" t="s">
        <v>63</v>
      </c>
      <c r="E1000" s="2" t="s">
        <v>30</v>
      </c>
      <c r="F1000" s="2" t="s">
        <v>38</v>
      </c>
      <c r="G1000" s="2" t="s">
        <v>70</v>
      </c>
      <c r="H1000" s="4">
        <v>8</v>
      </c>
      <c r="I1000" s="5">
        <v>24898.58</v>
      </c>
      <c r="J1000" s="6">
        <v>0.05</v>
      </c>
      <c r="K1000" s="5">
        <v>189229.21</v>
      </c>
      <c r="L1000" s="5">
        <v>142715.43</v>
      </c>
      <c r="M1000" s="5">
        <v>46513.78</v>
      </c>
      <c r="N1000" s="2" t="s">
        <v>33</v>
      </c>
    </row>
    <row r="1001" spans="1:14" ht="12" customHeight="1">
      <c r="A1001" s="2" t="s">
        <v>1099</v>
      </c>
      <c r="B1001" s="3">
        <v>45840</v>
      </c>
      <c r="C1001" s="2" t="s">
        <v>28</v>
      </c>
      <c r="D1001" s="2" t="s">
        <v>29</v>
      </c>
      <c r="E1001" s="2" t="s">
        <v>17</v>
      </c>
      <c r="F1001" s="2" t="s">
        <v>24</v>
      </c>
      <c r="G1001" s="2" t="s">
        <v>70</v>
      </c>
      <c r="H1001" s="4">
        <v>7</v>
      </c>
      <c r="I1001" s="5">
        <v>97244.23</v>
      </c>
      <c r="J1001" s="6">
        <v>0.15</v>
      </c>
      <c r="K1001" s="5">
        <v>578603.17000000004</v>
      </c>
      <c r="L1001" s="5">
        <v>494842.98</v>
      </c>
      <c r="M1001" s="5">
        <v>83760.19</v>
      </c>
      <c r="N1001" s="2" t="s">
        <v>33</v>
      </c>
    </row>
    <row r="1002" spans="1:14" ht="12" customHeight="1">
      <c r="A1002" s="2" t="s">
        <v>1100</v>
      </c>
      <c r="B1002" s="3">
        <v>45851</v>
      </c>
      <c r="C1002" s="2" t="s">
        <v>22</v>
      </c>
      <c r="D1002" s="2" t="s">
        <v>37</v>
      </c>
      <c r="E1002" s="2" t="s">
        <v>49</v>
      </c>
      <c r="F1002" s="2" t="s">
        <v>57</v>
      </c>
      <c r="G1002" s="2" t="s">
        <v>19</v>
      </c>
      <c r="H1002" s="4">
        <v>4</v>
      </c>
      <c r="I1002" s="5">
        <v>11949.63</v>
      </c>
      <c r="J1002" s="6">
        <v>0</v>
      </c>
      <c r="K1002" s="5">
        <v>47798.52</v>
      </c>
      <c r="L1002" s="5">
        <v>26895.58</v>
      </c>
      <c r="M1002" s="5">
        <v>20902.939999999999</v>
      </c>
      <c r="N1002" s="2" t="s">
        <v>59</v>
      </c>
    </row>
    <row r="1003" spans="1:14" ht="12" customHeight="1">
      <c r="A1003" s="2" t="s">
        <v>1101</v>
      </c>
      <c r="B1003" s="3">
        <v>45858</v>
      </c>
      <c r="C1003" s="2" t="s">
        <v>15</v>
      </c>
      <c r="D1003" s="2" t="s">
        <v>43</v>
      </c>
      <c r="E1003" s="2" t="s">
        <v>49</v>
      </c>
      <c r="F1003" s="2" t="s">
        <v>50</v>
      </c>
      <c r="G1003" s="2" t="s">
        <v>25</v>
      </c>
      <c r="H1003" s="4">
        <v>5</v>
      </c>
      <c r="I1003" s="5">
        <v>4475.74</v>
      </c>
      <c r="J1003" s="6">
        <v>0.05</v>
      </c>
      <c r="K1003" s="5">
        <v>21259.759999999998</v>
      </c>
      <c r="L1003" s="5">
        <v>10837.68</v>
      </c>
      <c r="M1003" s="5">
        <v>10422.08</v>
      </c>
      <c r="N1003" s="2" t="s">
        <v>59</v>
      </c>
    </row>
    <row r="1004" spans="1:14" ht="12" customHeight="1">
      <c r="A1004" s="2" t="s">
        <v>1102</v>
      </c>
      <c r="B1004" s="3">
        <v>45835</v>
      </c>
      <c r="C1004" s="2" t="s">
        <v>28</v>
      </c>
      <c r="D1004" s="2" t="s">
        <v>52</v>
      </c>
      <c r="E1004" s="2" t="s">
        <v>17</v>
      </c>
      <c r="F1004" s="2" t="s">
        <v>18</v>
      </c>
      <c r="G1004" s="2" t="s">
        <v>58</v>
      </c>
      <c r="H1004" s="4">
        <v>2</v>
      </c>
      <c r="I1004" s="5">
        <v>14345.63</v>
      </c>
      <c r="J1004" s="6">
        <v>0.05</v>
      </c>
      <c r="K1004" s="5">
        <v>27256.7</v>
      </c>
      <c r="L1004" s="5">
        <v>16558.53</v>
      </c>
      <c r="M1004" s="5">
        <v>10698.17</v>
      </c>
      <c r="N1004" s="2" t="s">
        <v>33</v>
      </c>
    </row>
    <row r="1005" spans="1:14" ht="12" customHeight="1">
      <c r="A1005" s="2" t="s">
        <v>1103</v>
      </c>
      <c r="B1005" s="3">
        <v>45998</v>
      </c>
      <c r="C1005" s="2" t="s">
        <v>22</v>
      </c>
      <c r="D1005" s="2" t="s">
        <v>35</v>
      </c>
      <c r="E1005" s="2" t="s">
        <v>44</v>
      </c>
      <c r="F1005" s="2" t="s">
        <v>53</v>
      </c>
      <c r="G1005" s="2" t="s">
        <v>61</v>
      </c>
      <c r="H1005" s="4">
        <v>3</v>
      </c>
      <c r="I1005" s="5">
        <v>8531.5300000000007</v>
      </c>
      <c r="J1005" s="6">
        <v>0.05</v>
      </c>
      <c r="K1005" s="5">
        <v>24314.86</v>
      </c>
      <c r="L1005" s="5">
        <v>14900.89</v>
      </c>
      <c r="M1005" s="5">
        <v>9413.9699999999993</v>
      </c>
      <c r="N1005" s="2" t="s">
        <v>59</v>
      </c>
    </row>
    <row r="1006" spans="1:14" ht="12" customHeight="1">
      <c r="A1006" s="2" t="s">
        <v>1104</v>
      </c>
      <c r="B1006" s="3">
        <v>45961</v>
      </c>
      <c r="C1006" s="2" t="s">
        <v>28</v>
      </c>
      <c r="D1006" s="2" t="s">
        <v>56</v>
      </c>
      <c r="E1006" s="2" t="s">
        <v>17</v>
      </c>
      <c r="F1006" s="2" t="s">
        <v>18</v>
      </c>
      <c r="G1006" s="2" t="s">
        <v>19</v>
      </c>
      <c r="H1006" s="4">
        <v>1</v>
      </c>
      <c r="I1006" s="5">
        <v>14392.95</v>
      </c>
      <c r="J1006" s="6">
        <v>0</v>
      </c>
      <c r="K1006" s="5">
        <v>14392.95</v>
      </c>
      <c r="L1006" s="5">
        <v>8116.45</v>
      </c>
      <c r="M1006" s="5">
        <v>6276.5</v>
      </c>
      <c r="N1006" s="2" t="s">
        <v>33</v>
      </c>
    </row>
    <row r="1007" spans="1:14" ht="12" customHeight="1">
      <c r="A1007" s="2" t="s">
        <v>1105</v>
      </c>
      <c r="B1007" s="3">
        <v>45728</v>
      </c>
      <c r="C1007" s="2" t="s">
        <v>28</v>
      </c>
      <c r="D1007" s="2" t="s">
        <v>56</v>
      </c>
      <c r="E1007" s="2" t="s">
        <v>17</v>
      </c>
      <c r="F1007" s="2" t="s">
        <v>114</v>
      </c>
      <c r="G1007" s="2" t="s">
        <v>32</v>
      </c>
      <c r="H1007" s="4">
        <v>6</v>
      </c>
      <c r="I1007" s="5">
        <v>53333.31</v>
      </c>
      <c r="J1007" s="6">
        <v>0</v>
      </c>
      <c r="K1007" s="5">
        <v>319999.86</v>
      </c>
      <c r="L1007" s="5">
        <v>213195</v>
      </c>
      <c r="M1007" s="5">
        <v>106804.86</v>
      </c>
      <c r="N1007" s="2" t="s">
        <v>232</v>
      </c>
    </row>
    <row r="1008" spans="1:14" ht="12" customHeight="1">
      <c r="A1008" s="2" t="s">
        <v>1106</v>
      </c>
      <c r="B1008" s="3">
        <v>45957</v>
      </c>
      <c r="C1008" s="2" t="s">
        <v>15</v>
      </c>
      <c r="D1008" s="2" t="s">
        <v>43</v>
      </c>
      <c r="E1008" s="2" t="s">
        <v>44</v>
      </c>
      <c r="F1008" s="2" t="s">
        <v>80</v>
      </c>
      <c r="G1008" s="2" t="s">
        <v>19</v>
      </c>
      <c r="H1008" s="4">
        <v>5</v>
      </c>
      <c r="I1008" s="5">
        <v>40541.39</v>
      </c>
      <c r="J1008" s="6">
        <v>0.15</v>
      </c>
      <c r="K1008" s="5">
        <v>172300.91</v>
      </c>
      <c r="L1008" s="5">
        <v>152484.49</v>
      </c>
      <c r="M1008" s="5">
        <v>19816.419999999998</v>
      </c>
      <c r="N1008" s="2" t="s">
        <v>59</v>
      </c>
    </row>
    <row r="1009" spans="1:14" ht="12" customHeight="1">
      <c r="A1009" s="2" t="s">
        <v>1107</v>
      </c>
      <c r="B1009" s="3">
        <v>45862</v>
      </c>
      <c r="C1009" s="2" t="s">
        <v>22</v>
      </c>
      <c r="D1009" s="2" t="s">
        <v>23</v>
      </c>
      <c r="E1009" s="2" t="s">
        <v>49</v>
      </c>
      <c r="F1009" s="2" t="s">
        <v>57</v>
      </c>
      <c r="G1009" s="2" t="s">
        <v>19</v>
      </c>
      <c r="H1009" s="4">
        <v>4</v>
      </c>
      <c r="I1009" s="5">
        <v>12073.54</v>
      </c>
      <c r="J1009" s="6">
        <v>0.15</v>
      </c>
      <c r="K1009" s="5">
        <v>41050.04</v>
      </c>
      <c r="L1009" s="5">
        <v>25922.959999999999</v>
      </c>
      <c r="M1009" s="5">
        <v>15127.08</v>
      </c>
      <c r="N1009" s="2" t="s">
        <v>59</v>
      </c>
    </row>
    <row r="1010" spans="1:14" ht="12" customHeight="1">
      <c r="A1010" s="2" t="s">
        <v>1108</v>
      </c>
      <c r="B1010" s="3">
        <v>45729</v>
      </c>
      <c r="C1010" s="2" t="s">
        <v>28</v>
      </c>
      <c r="D1010" s="2" t="s">
        <v>29</v>
      </c>
      <c r="E1010" s="2" t="s">
        <v>30</v>
      </c>
      <c r="F1010" s="2" t="s">
        <v>86</v>
      </c>
      <c r="G1010" s="2" t="s">
        <v>47</v>
      </c>
      <c r="H1010" s="4">
        <v>7</v>
      </c>
      <c r="I1010" s="5">
        <v>33944.71</v>
      </c>
      <c r="J1010" s="6">
        <v>0.05</v>
      </c>
      <c r="K1010" s="5">
        <v>225732.32</v>
      </c>
      <c r="L1010" s="5">
        <v>161643.29</v>
      </c>
      <c r="M1010" s="5">
        <v>64089.03</v>
      </c>
      <c r="N1010" s="2" t="s">
        <v>59</v>
      </c>
    </row>
    <row r="1011" spans="1:14" ht="12" customHeight="1">
      <c r="A1011" s="2" t="s">
        <v>1109</v>
      </c>
      <c r="B1011" s="3">
        <v>45894</v>
      </c>
      <c r="C1011" s="2" t="s">
        <v>22</v>
      </c>
      <c r="D1011" s="2" t="s">
        <v>35</v>
      </c>
      <c r="E1011" s="2" t="s">
        <v>44</v>
      </c>
      <c r="F1011" s="2" t="s">
        <v>69</v>
      </c>
      <c r="G1011" s="2" t="s">
        <v>61</v>
      </c>
      <c r="H1011" s="4">
        <v>5</v>
      </c>
      <c r="I1011" s="5">
        <v>35480.44</v>
      </c>
      <c r="J1011" s="6">
        <v>0.1</v>
      </c>
      <c r="K1011" s="5">
        <v>159661.98000000001</v>
      </c>
      <c r="L1011" s="5">
        <v>134536.78</v>
      </c>
      <c r="M1011" s="5">
        <v>25125.200000000001</v>
      </c>
      <c r="N1011" s="2" t="s">
        <v>20</v>
      </c>
    </row>
    <row r="1012" spans="1:14" ht="12" customHeight="1">
      <c r="A1012" s="2" t="s">
        <v>1110</v>
      </c>
      <c r="B1012" s="3">
        <v>45897</v>
      </c>
      <c r="C1012" s="2" t="s">
        <v>28</v>
      </c>
      <c r="D1012" s="2" t="s">
        <v>52</v>
      </c>
      <c r="E1012" s="2" t="s">
        <v>44</v>
      </c>
      <c r="F1012" s="2" t="s">
        <v>53</v>
      </c>
      <c r="G1012" s="2" t="s">
        <v>32</v>
      </c>
      <c r="H1012" s="4">
        <v>6</v>
      </c>
      <c r="I1012" s="5">
        <v>8505.19</v>
      </c>
      <c r="J1012" s="6">
        <v>0.15</v>
      </c>
      <c r="K1012" s="5">
        <v>43376.47</v>
      </c>
      <c r="L1012" s="5">
        <v>29984.53</v>
      </c>
      <c r="M1012" s="5">
        <v>13391.94</v>
      </c>
      <c r="N1012" s="2" t="s">
        <v>20</v>
      </c>
    </row>
    <row r="1013" spans="1:14" ht="12" customHeight="1">
      <c r="A1013" s="2" t="s">
        <v>1111</v>
      </c>
      <c r="B1013" s="3">
        <v>45873</v>
      </c>
      <c r="C1013" s="2" t="s">
        <v>28</v>
      </c>
      <c r="D1013" s="2" t="s">
        <v>56</v>
      </c>
      <c r="E1013" s="2" t="s">
        <v>49</v>
      </c>
      <c r="F1013" s="2" t="s">
        <v>107</v>
      </c>
      <c r="G1013" s="2" t="s">
        <v>19</v>
      </c>
      <c r="H1013" s="4">
        <v>1</v>
      </c>
      <c r="I1013" s="5">
        <v>5543.25</v>
      </c>
      <c r="J1013" s="6">
        <v>0</v>
      </c>
      <c r="K1013" s="5">
        <v>5543.25</v>
      </c>
      <c r="L1013" s="5">
        <v>2799.97</v>
      </c>
      <c r="M1013" s="5">
        <v>2743.28</v>
      </c>
      <c r="N1013" s="2" t="s">
        <v>26</v>
      </c>
    </row>
    <row r="1014" spans="1:14" ht="12" customHeight="1">
      <c r="A1014" s="2" t="s">
        <v>1112</v>
      </c>
      <c r="B1014" s="3">
        <v>45685</v>
      </c>
      <c r="C1014" s="2" t="s">
        <v>15</v>
      </c>
      <c r="D1014" s="2" t="s">
        <v>63</v>
      </c>
      <c r="E1014" s="2" t="s">
        <v>44</v>
      </c>
      <c r="F1014" s="2" t="s">
        <v>69</v>
      </c>
      <c r="G1014" s="2" t="s">
        <v>25</v>
      </c>
      <c r="H1014" s="4">
        <v>3</v>
      </c>
      <c r="I1014" s="5">
        <v>38735.01</v>
      </c>
      <c r="J1014" s="6">
        <v>0.1</v>
      </c>
      <c r="K1014" s="5">
        <v>104584.53</v>
      </c>
      <c r="L1014" s="5">
        <v>80452.820000000007</v>
      </c>
      <c r="M1014" s="5">
        <v>24131.71</v>
      </c>
      <c r="N1014" s="2" t="s">
        <v>26</v>
      </c>
    </row>
    <row r="1015" spans="1:14" ht="12" customHeight="1">
      <c r="A1015" s="2" t="s">
        <v>1113</v>
      </c>
      <c r="B1015" s="3">
        <v>45990</v>
      </c>
      <c r="C1015" s="2" t="s">
        <v>28</v>
      </c>
      <c r="D1015" s="2" t="s">
        <v>29</v>
      </c>
      <c r="E1015" s="2" t="s">
        <v>17</v>
      </c>
      <c r="F1015" s="2" t="s">
        <v>114</v>
      </c>
      <c r="G1015" s="2" t="s">
        <v>19</v>
      </c>
      <c r="H1015" s="4">
        <v>8</v>
      </c>
      <c r="I1015" s="5">
        <v>54822.13</v>
      </c>
      <c r="J1015" s="6">
        <v>0</v>
      </c>
      <c r="K1015" s="5">
        <v>438577.04</v>
      </c>
      <c r="L1015" s="5">
        <v>284357.92</v>
      </c>
      <c r="M1015" s="5">
        <v>154219.12</v>
      </c>
      <c r="N1015" s="2" t="s">
        <v>59</v>
      </c>
    </row>
    <row r="1016" spans="1:14" ht="12" customHeight="1">
      <c r="A1016" s="2" t="s">
        <v>1114</v>
      </c>
      <c r="B1016" s="3">
        <v>46003</v>
      </c>
      <c r="C1016" s="2" t="s">
        <v>15</v>
      </c>
      <c r="D1016" s="2" t="s">
        <v>16</v>
      </c>
      <c r="E1016" s="2" t="s">
        <v>30</v>
      </c>
      <c r="F1016" s="2" t="s">
        <v>40</v>
      </c>
      <c r="G1016" s="2" t="s">
        <v>64</v>
      </c>
      <c r="H1016" s="4">
        <v>6</v>
      </c>
      <c r="I1016" s="5">
        <v>25928.11</v>
      </c>
      <c r="J1016" s="6">
        <v>0</v>
      </c>
      <c r="K1016" s="5">
        <v>155568.66</v>
      </c>
      <c r="L1016" s="5">
        <v>96869.78</v>
      </c>
      <c r="M1016" s="5">
        <v>58698.879999999997</v>
      </c>
      <c r="N1016" s="2" t="s">
        <v>26</v>
      </c>
    </row>
    <row r="1017" spans="1:14" ht="12" customHeight="1">
      <c r="A1017" s="2" t="s">
        <v>1115</v>
      </c>
      <c r="B1017" s="3">
        <v>45812</v>
      </c>
      <c r="C1017" s="2" t="s">
        <v>15</v>
      </c>
      <c r="D1017" s="2" t="s">
        <v>16</v>
      </c>
      <c r="E1017" s="2" t="s">
        <v>49</v>
      </c>
      <c r="F1017" s="2" t="s">
        <v>50</v>
      </c>
      <c r="G1017" s="2" t="s">
        <v>58</v>
      </c>
      <c r="H1017" s="4">
        <v>4</v>
      </c>
      <c r="I1017" s="5">
        <v>4465.4799999999996</v>
      </c>
      <c r="J1017" s="6">
        <v>0.15</v>
      </c>
      <c r="K1017" s="5">
        <v>15182.63</v>
      </c>
      <c r="L1017" s="5">
        <v>8649.1299999999992</v>
      </c>
      <c r="M1017" s="5">
        <v>6533.5</v>
      </c>
      <c r="N1017" s="2" t="s">
        <v>33</v>
      </c>
    </row>
    <row r="1018" spans="1:14" ht="12" customHeight="1">
      <c r="A1018" s="2" t="s">
        <v>1116</v>
      </c>
      <c r="B1018" s="3">
        <v>45924</v>
      </c>
      <c r="C1018" s="2" t="s">
        <v>28</v>
      </c>
      <c r="D1018" s="2" t="s">
        <v>29</v>
      </c>
      <c r="E1018" s="2" t="s">
        <v>44</v>
      </c>
      <c r="F1018" s="2" t="s">
        <v>80</v>
      </c>
      <c r="G1018" s="2" t="s">
        <v>19</v>
      </c>
      <c r="H1018" s="4">
        <v>2</v>
      </c>
      <c r="I1018" s="5">
        <v>39560.25</v>
      </c>
      <c r="J1018" s="6">
        <v>0.1</v>
      </c>
      <c r="K1018" s="5">
        <v>71208.45</v>
      </c>
      <c r="L1018" s="5">
        <v>63958.76</v>
      </c>
      <c r="M1018" s="5">
        <v>7249.69</v>
      </c>
      <c r="N1018" s="2" t="s">
        <v>26</v>
      </c>
    </row>
    <row r="1019" spans="1:14" ht="12" customHeight="1">
      <c r="A1019" s="2" t="s">
        <v>1117</v>
      </c>
      <c r="B1019" s="3">
        <v>45905</v>
      </c>
      <c r="C1019" s="2" t="s">
        <v>22</v>
      </c>
      <c r="D1019" s="2" t="s">
        <v>23</v>
      </c>
      <c r="E1019" s="2" t="s">
        <v>49</v>
      </c>
      <c r="F1019" s="2" t="s">
        <v>91</v>
      </c>
      <c r="G1019" s="2" t="s">
        <v>61</v>
      </c>
      <c r="H1019" s="4">
        <v>8</v>
      </c>
      <c r="I1019" s="5">
        <v>6386.34</v>
      </c>
      <c r="J1019" s="6">
        <v>0</v>
      </c>
      <c r="K1019" s="5">
        <v>51090.720000000001</v>
      </c>
      <c r="L1019" s="5">
        <v>28540.65</v>
      </c>
      <c r="M1019" s="5">
        <v>22550.07</v>
      </c>
      <c r="N1019" s="2" t="s">
        <v>26</v>
      </c>
    </row>
    <row r="1020" spans="1:14" ht="12" customHeight="1">
      <c r="A1020" s="2" t="s">
        <v>1118</v>
      </c>
      <c r="B1020" s="3">
        <v>45994</v>
      </c>
      <c r="C1020" s="2" t="s">
        <v>15</v>
      </c>
      <c r="D1020" s="2" t="s">
        <v>63</v>
      </c>
      <c r="E1020" s="2" t="s">
        <v>49</v>
      </c>
      <c r="F1020" s="2" t="s">
        <v>91</v>
      </c>
      <c r="G1020" s="2" t="s">
        <v>47</v>
      </c>
      <c r="H1020" s="4">
        <v>7</v>
      </c>
      <c r="I1020" s="5">
        <v>6132.1</v>
      </c>
      <c r="J1020" s="6">
        <v>0</v>
      </c>
      <c r="K1020" s="5">
        <v>42924.7</v>
      </c>
      <c r="L1020" s="5">
        <v>24770</v>
      </c>
      <c r="M1020" s="5">
        <v>18154.7</v>
      </c>
      <c r="N1020" s="2" t="s">
        <v>26</v>
      </c>
    </row>
    <row r="1021" spans="1:14" ht="12" customHeight="1">
      <c r="A1021" s="2" t="s">
        <v>1119</v>
      </c>
      <c r="B1021" s="3">
        <v>45959</v>
      </c>
      <c r="C1021" s="2" t="s">
        <v>15</v>
      </c>
      <c r="D1021" s="2" t="s">
        <v>43</v>
      </c>
      <c r="E1021" s="2" t="s">
        <v>44</v>
      </c>
      <c r="F1021" s="2" t="s">
        <v>53</v>
      </c>
      <c r="G1021" s="2" t="s">
        <v>70</v>
      </c>
      <c r="H1021" s="4">
        <v>8</v>
      </c>
      <c r="I1021" s="5">
        <v>8214.4500000000007</v>
      </c>
      <c r="J1021" s="6">
        <v>0.15</v>
      </c>
      <c r="K1021" s="5">
        <v>55858.26</v>
      </c>
      <c r="L1021" s="5">
        <v>38298.449999999997</v>
      </c>
      <c r="M1021" s="5">
        <v>17559.810000000001</v>
      </c>
      <c r="N1021" s="2" t="s">
        <v>59</v>
      </c>
    </row>
    <row r="1022" spans="1:14" ht="12" customHeight="1">
      <c r="A1022" s="2" t="s">
        <v>1120</v>
      </c>
      <c r="B1022" s="3" t="s">
        <v>1121</v>
      </c>
      <c r="C1022" s="2" t="s">
        <v>15</v>
      </c>
      <c r="D1022" s="2" t="s">
        <v>63</v>
      </c>
      <c r="E1022" s="2" t="s">
        <v>49</v>
      </c>
      <c r="F1022" s="2" t="s">
        <v>107</v>
      </c>
      <c r="G1022" s="2" t="s">
        <v>70</v>
      </c>
      <c r="H1022" s="4">
        <v>2</v>
      </c>
      <c r="I1022" s="5">
        <v>5170.0200000000004</v>
      </c>
      <c r="J1022" s="6">
        <v>0.05</v>
      </c>
      <c r="K1022" s="5">
        <v>9823.0400000000009</v>
      </c>
      <c r="L1022" s="5">
        <v>5294.01</v>
      </c>
      <c r="M1022" s="5">
        <v>4529.03</v>
      </c>
      <c r="N1022" s="2" t="s">
        <v>33</v>
      </c>
    </row>
    <row r="1023" spans="1:14" ht="12" customHeight="1">
      <c r="A1023" s="2" t="s">
        <v>1122</v>
      </c>
      <c r="B1023" s="3">
        <v>45679</v>
      </c>
      <c r="C1023" s="2" t="s">
        <v>15</v>
      </c>
      <c r="D1023" s="2" t="s">
        <v>63</v>
      </c>
      <c r="E1023" s="2" t="s">
        <v>17</v>
      </c>
      <c r="F1023" s="2" t="s">
        <v>18</v>
      </c>
      <c r="G1023" s="2" t="s">
        <v>32</v>
      </c>
      <c r="H1023" s="4">
        <v>1</v>
      </c>
      <c r="I1023" s="5">
        <v>14836.65</v>
      </c>
      <c r="J1023" s="6">
        <v>0.15</v>
      </c>
      <c r="K1023" s="5">
        <v>12611.15</v>
      </c>
      <c r="L1023" s="5">
        <v>8309.81</v>
      </c>
      <c r="M1023" s="5">
        <v>4301.34</v>
      </c>
      <c r="N1023" s="2" t="s">
        <v>26</v>
      </c>
    </row>
    <row r="1024" spans="1:14" ht="12" customHeight="1">
      <c r="A1024" s="2" t="s">
        <v>1123</v>
      </c>
      <c r="B1024" s="3">
        <v>45915</v>
      </c>
      <c r="C1024" s="2" t="s">
        <v>28</v>
      </c>
      <c r="D1024" s="2" t="s">
        <v>29</v>
      </c>
      <c r="E1024" s="2" t="s">
        <v>49</v>
      </c>
      <c r="F1024" s="2" t="s">
        <v>57</v>
      </c>
      <c r="G1024" s="2" t="s">
        <v>47</v>
      </c>
      <c r="H1024" s="4">
        <v>1</v>
      </c>
      <c r="I1024" s="5">
        <v>12386.43</v>
      </c>
      <c r="J1024" s="6">
        <v>0.05</v>
      </c>
      <c r="K1024" s="5">
        <v>11767.11</v>
      </c>
      <c r="L1024" s="5">
        <v>6532.79</v>
      </c>
      <c r="M1024" s="5">
        <v>5234.32</v>
      </c>
      <c r="N1024" s="2" t="s">
        <v>59</v>
      </c>
    </row>
    <row r="1025" spans="1:14" ht="12" customHeight="1">
      <c r="A1025" s="2" t="s">
        <v>1124</v>
      </c>
      <c r="B1025" s="3">
        <v>45946</v>
      </c>
      <c r="C1025" s="2" t="s">
        <v>15</v>
      </c>
      <c r="D1025" s="2" t="s">
        <v>43</v>
      </c>
      <c r="E1025" s="2" t="s">
        <v>49</v>
      </c>
      <c r="F1025" s="2" t="s">
        <v>91</v>
      </c>
      <c r="G1025" s="2" t="s">
        <v>32</v>
      </c>
      <c r="H1025" s="4">
        <v>3</v>
      </c>
      <c r="I1025" s="5">
        <v>6662.16</v>
      </c>
      <c r="J1025" s="6">
        <v>0.05</v>
      </c>
      <c r="K1025" s="5">
        <v>18987.16</v>
      </c>
      <c r="L1025" s="5">
        <v>10971.89</v>
      </c>
      <c r="M1025" s="5">
        <v>8015.27</v>
      </c>
      <c r="N1025" s="2" t="s">
        <v>20</v>
      </c>
    </row>
    <row r="1026" spans="1:14" ht="12" customHeight="1">
      <c r="A1026" s="2" t="s">
        <v>1125</v>
      </c>
      <c r="B1026" s="3">
        <v>45899</v>
      </c>
      <c r="C1026" s="2" t="s">
        <v>15</v>
      </c>
      <c r="D1026" s="2" t="s">
        <v>16</v>
      </c>
      <c r="E1026" s="2" t="s">
        <v>30</v>
      </c>
      <c r="F1026" s="2" t="s">
        <v>38</v>
      </c>
      <c r="G1026" s="2" t="s">
        <v>61</v>
      </c>
      <c r="H1026" s="4">
        <v>7</v>
      </c>
      <c r="I1026" s="5">
        <v>25134.67</v>
      </c>
      <c r="J1026" s="6">
        <v>0.15</v>
      </c>
      <c r="K1026" s="5">
        <v>149551.29</v>
      </c>
      <c r="L1026" s="5">
        <v>126486.63</v>
      </c>
      <c r="M1026" s="5">
        <v>23064.66</v>
      </c>
      <c r="N1026" s="2" t="s">
        <v>59</v>
      </c>
    </row>
    <row r="1027" spans="1:14" ht="12" customHeight="1">
      <c r="A1027" s="2" t="s">
        <v>1126</v>
      </c>
      <c r="B1027" s="3">
        <v>45739</v>
      </c>
      <c r="C1027" s="2" t="s">
        <v>22</v>
      </c>
      <c r="D1027" s="2" t="s">
        <v>37</v>
      </c>
      <c r="E1027" s="2" t="s">
        <v>30</v>
      </c>
      <c r="F1027" s="2" t="s">
        <v>38</v>
      </c>
      <c r="G1027" s="2" t="s">
        <v>47</v>
      </c>
      <c r="H1027" s="4">
        <v>7</v>
      </c>
      <c r="I1027" s="5">
        <v>25131.9</v>
      </c>
      <c r="J1027" s="6">
        <v>0</v>
      </c>
      <c r="K1027" s="5">
        <v>175923.3</v>
      </c>
      <c r="L1027" s="5">
        <v>129734.92</v>
      </c>
      <c r="M1027" s="5">
        <v>46188.38</v>
      </c>
      <c r="N1027" s="2" t="s">
        <v>33</v>
      </c>
    </row>
    <row r="1028" spans="1:14" ht="12" customHeight="1">
      <c r="A1028" s="2" t="s">
        <v>1127</v>
      </c>
      <c r="B1028" s="3">
        <v>45711</v>
      </c>
      <c r="C1028" s="2" t="s">
        <v>15</v>
      </c>
      <c r="D1028" s="2" t="s">
        <v>16</v>
      </c>
      <c r="E1028" s="2" t="s">
        <v>49</v>
      </c>
      <c r="F1028" s="2" t="s">
        <v>107</v>
      </c>
      <c r="G1028" s="2" t="s">
        <v>61</v>
      </c>
      <c r="H1028" s="4">
        <v>6</v>
      </c>
      <c r="I1028" s="5">
        <v>5416.24</v>
      </c>
      <c r="J1028" s="6">
        <v>0.15</v>
      </c>
      <c r="K1028" s="5">
        <v>27622.82</v>
      </c>
      <c r="L1028" s="5">
        <v>16616.22</v>
      </c>
      <c r="M1028" s="5">
        <v>11006.6</v>
      </c>
      <c r="N1028" s="2" t="s">
        <v>160</v>
      </c>
    </row>
    <row r="1029" spans="1:14" ht="12" customHeight="1">
      <c r="A1029" s="2" t="s">
        <v>1128</v>
      </c>
      <c r="B1029" s="3">
        <v>45849</v>
      </c>
      <c r="C1029" s="2" t="s">
        <v>28</v>
      </c>
      <c r="D1029" s="2" t="s">
        <v>52</v>
      </c>
      <c r="E1029" s="2" t="s">
        <v>17</v>
      </c>
      <c r="F1029" s="2" t="s">
        <v>18</v>
      </c>
      <c r="G1029" s="2" t="s">
        <v>64</v>
      </c>
      <c r="H1029" s="4">
        <v>2</v>
      </c>
      <c r="I1029" s="5">
        <v>13426.81</v>
      </c>
      <c r="J1029" s="6">
        <v>0.15</v>
      </c>
      <c r="K1029" s="5">
        <v>22825.58</v>
      </c>
      <c r="L1029" s="5">
        <v>15991.67</v>
      </c>
      <c r="M1029" s="5">
        <v>6833.91</v>
      </c>
      <c r="N1029" s="2" t="s">
        <v>26</v>
      </c>
    </row>
    <row r="1030" spans="1:14" ht="12" customHeight="1">
      <c r="A1030" s="2" t="s">
        <v>1129</v>
      </c>
      <c r="B1030" s="3">
        <v>45758</v>
      </c>
      <c r="C1030" s="2" t="s">
        <v>28</v>
      </c>
      <c r="D1030" s="2" t="s">
        <v>52</v>
      </c>
      <c r="E1030" s="2" t="s">
        <v>49</v>
      </c>
      <c r="F1030" s="2" t="s">
        <v>107</v>
      </c>
      <c r="G1030" s="2" t="s">
        <v>58</v>
      </c>
      <c r="H1030" s="4">
        <v>3</v>
      </c>
      <c r="I1030" s="5">
        <v>5606.74</v>
      </c>
      <c r="J1030" s="6">
        <v>0.1</v>
      </c>
      <c r="K1030" s="5">
        <v>15138.2</v>
      </c>
      <c r="L1030" s="5">
        <v>8172.52</v>
      </c>
      <c r="M1030" s="5">
        <v>6965.68</v>
      </c>
      <c r="N1030" s="2" t="s">
        <v>20</v>
      </c>
    </row>
    <row r="1031" spans="1:14" ht="12" customHeight="1">
      <c r="A1031" s="2" t="s">
        <v>1130</v>
      </c>
      <c r="B1031" s="3">
        <v>45756</v>
      </c>
      <c r="C1031" s="2" t="s">
        <v>28</v>
      </c>
      <c r="D1031" s="2" t="s">
        <v>29</v>
      </c>
      <c r="E1031" s="2" t="s">
        <v>30</v>
      </c>
      <c r="F1031" s="2" t="s">
        <v>86</v>
      </c>
      <c r="G1031" s="2" t="s">
        <v>19</v>
      </c>
      <c r="H1031" s="4">
        <v>4</v>
      </c>
      <c r="I1031" s="5">
        <v>34278.57</v>
      </c>
      <c r="J1031" s="6">
        <v>0.05</v>
      </c>
      <c r="K1031" s="5">
        <v>130258.57</v>
      </c>
      <c r="L1031" s="5">
        <v>92427.18</v>
      </c>
      <c r="M1031" s="5">
        <v>37831.39</v>
      </c>
      <c r="N1031" s="2" t="s">
        <v>33</v>
      </c>
    </row>
    <row r="1032" spans="1:14" ht="12" customHeight="1">
      <c r="A1032" s="2" t="s">
        <v>1131</v>
      </c>
      <c r="B1032" s="3">
        <v>45866</v>
      </c>
      <c r="C1032" s="2" t="s">
        <v>15</v>
      </c>
      <c r="D1032" s="2" t="s">
        <v>43</v>
      </c>
      <c r="E1032" s="2" t="s">
        <v>17</v>
      </c>
      <c r="F1032" s="2" t="s">
        <v>24</v>
      </c>
      <c r="G1032" s="2" t="s">
        <v>19</v>
      </c>
      <c r="H1032" s="4">
        <v>1</v>
      </c>
      <c r="I1032" s="5">
        <v>96563.33</v>
      </c>
      <c r="J1032" s="6">
        <v>0</v>
      </c>
      <c r="K1032" s="5">
        <v>96563.33</v>
      </c>
      <c r="L1032" s="5">
        <v>67671.509999999995</v>
      </c>
      <c r="M1032" s="5">
        <v>28891.82</v>
      </c>
      <c r="N1032" s="2" t="s">
        <v>59</v>
      </c>
    </row>
    <row r="1033" spans="1:14" ht="12" customHeight="1">
      <c r="A1033" s="2" t="s">
        <v>1132</v>
      </c>
      <c r="B1033" s="3">
        <v>45840</v>
      </c>
      <c r="C1033" s="2" t="s">
        <v>22</v>
      </c>
      <c r="D1033" s="2" t="s">
        <v>37</v>
      </c>
      <c r="E1033" s="2" t="s">
        <v>49</v>
      </c>
      <c r="F1033" s="2" t="s">
        <v>50</v>
      </c>
      <c r="G1033" s="2" t="s">
        <v>61</v>
      </c>
      <c r="H1033" s="4">
        <v>4</v>
      </c>
      <c r="I1033" s="5">
        <v>4247.29</v>
      </c>
      <c r="J1033" s="6">
        <v>0.05</v>
      </c>
      <c r="K1033" s="5">
        <v>16139.7</v>
      </c>
      <c r="L1033" s="5">
        <v>8442.5</v>
      </c>
      <c r="M1033" s="5">
        <v>7697.2</v>
      </c>
      <c r="N1033" s="2" t="s">
        <v>33</v>
      </c>
    </row>
    <row r="1034" spans="1:14" ht="12" customHeight="1">
      <c r="A1034" s="2" t="s">
        <v>1133</v>
      </c>
      <c r="B1034" s="3">
        <v>45718</v>
      </c>
      <c r="C1034" s="2" t="s">
        <v>28</v>
      </c>
      <c r="D1034" s="2" t="s">
        <v>56</v>
      </c>
      <c r="E1034" s="2" t="s">
        <v>49</v>
      </c>
      <c r="F1034" s="2" t="s">
        <v>91</v>
      </c>
      <c r="G1034" s="2" t="s">
        <v>70</v>
      </c>
      <c r="H1034" s="4">
        <v>2</v>
      </c>
      <c r="I1034" s="5">
        <v>6112.28</v>
      </c>
      <c r="J1034" s="6">
        <v>0.1</v>
      </c>
      <c r="K1034" s="5">
        <v>11002.1</v>
      </c>
      <c r="L1034" s="5">
        <v>7134.31</v>
      </c>
      <c r="M1034" s="5">
        <v>3867.79</v>
      </c>
      <c r="N1034" s="2" t="s">
        <v>26</v>
      </c>
    </row>
    <row r="1035" spans="1:14" ht="12" customHeight="1">
      <c r="A1035" s="2" t="s">
        <v>1134</v>
      </c>
      <c r="B1035" s="3">
        <v>45786</v>
      </c>
      <c r="C1035" s="2" t="s">
        <v>22</v>
      </c>
      <c r="D1035" s="2" t="s">
        <v>37</v>
      </c>
      <c r="E1035" s="2" t="s">
        <v>30</v>
      </c>
      <c r="F1035" s="2" t="s">
        <v>31</v>
      </c>
      <c r="G1035" s="2" t="s">
        <v>25</v>
      </c>
      <c r="H1035" s="4">
        <v>4</v>
      </c>
      <c r="I1035" s="5">
        <v>141940.68</v>
      </c>
      <c r="J1035" s="6">
        <v>0.05</v>
      </c>
      <c r="K1035" s="5">
        <v>539374.57999999996</v>
      </c>
      <c r="L1035" s="5">
        <v>417961.89</v>
      </c>
      <c r="M1035" s="5">
        <v>121412.69</v>
      </c>
      <c r="N1035" s="2" t="s">
        <v>59</v>
      </c>
    </row>
    <row r="1036" spans="1:14" ht="12" customHeight="1">
      <c r="A1036" s="2" t="s">
        <v>1135</v>
      </c>
      <c r="B1036" s="3">
        <v>45862</v>
      </c>
      <c r="C1036" s="2" t="s">
        <v>22</v>
      </c>
      <c r="D1036" s="2" t="s">
        <v>23</v>
      </c>
      <c r="E1036" s="2" t="s">
        <v>30</v>
      </c>
      <c r="F1036" s="2" t="s">
        <v>31</v>
      </c>
      <c r="G1036" s="2" t="s">
        <v>64</v>
      </c>
      <c r="H1036" s="4">
        <v>4</v>
      </c>
      <c r="I1036" s="5">
        <v>142629.01999999999</v>
      </c>
      <c r="J1036" s="6">
        <v>0.1</v>
      </c>
      <c r="K1036" s="5">
        <v>513464.47</v>
      </c>
      <c r="L1036" s="5">
        <v>406021.33</v>
      </c>
      <c r="M1036" s="5">
        <v>107443.14</v>
      </c>
      <c r="N1036" s="2" t="s">
        <v>33</v>
      </c>
    </row>
    <row r="1037" spans="1:14" ht="12" customHeight="1">
      <c r="A1037" s="2" t="s">
        <v>1136</v>
      </c>
      <c r="B1037" s="3">
        <v>45688</v>
      </c>
      <c r="C1037" s="2" t="s">
        <v>15</v>
      </c>
      <c r="D1037" s="2" t="s">
        <v>63</v>
      </c>
      <c r="E1037" s="2" t="s">
        <v>30</v>
      </c>
      <c r="F1037" s="2" t="s">
        <v>31</v>
      </c>
      <c r="G1037" s="2" t="s">
        <v>61</v>
      </c>
      <c r="H1037" s="4">
        <v>1</v>
      </c>
      <c r="I1037" s="5">
        <v>131501.78</v>
      </c>
      <c r="J1037" s="6">
        <v>0.05</v>
      </c>
      <c r="K1037" s="5">
        <v>124926.69</v>
      </c>
      <c r="L1037" s="5">
        <v>99387.61</v>
      </c>
      <c r="M1037" s="5">
        <v>25539.08</v>
      </c>
      <c r="N1037" s="2" t="s">
        <v>26</v>
      </c>
    </row>
    <row r="1038" spans="1:14" ht="12" customHeight="1">
      <c r="A1038" s="2" t="s">
        <v>1137</v>
      </c>
      <c r="B1038" s="3">
        <v>46017</v>
      </c>
      <c r="C1038" s="2" t="s">
        <v>15</v>
      </c>
      <c r="D1038" s="2" t="s">
        <v>43</v>
      </c>
      <c r="E1038" s="2" t="s">
        <v>30</v>
      </c>
      <c r="F1038" s="2" t="s">
        <v>31</v>
      </c>
      <c r="G1038" s="2" t="s">
        <v>64</v>
      </c>
      <c r="H1038" s="4">
        <v>4</v>
      </c>
      <c r="I1038" s="5">
        <v>134860.79</v>
      </c>
      <c r="J1038" s="6">
        <v>0.1</v>
      </c>
      <c r="K1038" s="5">
        <v>485498.84</v>
      </c>
      <c r="L1038" s="5">
        <v>417454.28</v>
      </c>
      <c r="M1038" s="5">
        <v>68044.56</v>
      </c>
      <c r="N1038" s="2" t="s">
        <v>59</v>
      </c>
    </row>
    <row r="1039" spans="1:14" ht="12" customHeight="1">
      <c r="A1039" s="2" t="s">
        <v>1138</v>
      </c>
      <c r="B1039" s="3">
        <v>45912</v>
      </c>
      <c r="C1039" s="2" t="s">
        <v>22</v>
      </c>
      <c r="D1039" s="2" t="s">
        <v>35</v>
      </c>
      <c r="E1039" s="2" t="s">
        <v>17</v>
      </c>
      <c r="F1039" s="2" t="s">
        <v>114</v>
      </c>
      <c r="G1039" s="2" t="s">
        <v>47</v>
      </c>
      <c r="H1039" s="4">
        <v>3</v>
      </c>
      <c r="I1039" s="5">
        <v>50090.63</v>
      </c>
      <c r="J1039" s="6">
        <v>0</v>
      </c>
      <c r="K1039" s="5">
        <v>150271.89000000001</v>
      </c>
      <c r="L1039" s="5">
        <v>107012.63</v>
      </c>
      <c r="M1039" s="5">
        <v>43259.26</v>
      </c>
      <c r="N1039" s="2" t="s">
        <v>59</v>
      </c>
    </row>
    <row r="1040" spans="1:14" ht="12" customHeight="1">
      <c r="A1040" s="2" t="s">
        <v>1139</v>
      </c>
      <c r="B1040" s="3">
        <v>45758</v>
      </c>
      <c r="C1040" s="2" t="s">
        <v>28</v>
      </c>
      <c r="D1040" s="2" t="s">
        <v>56</v>
      </c>
      <c r="E1040" s="2" t="s">
        <v>30</v>
      </c>
      <c r="F1040" s="2" t="s">
        <v>86</v>
      </c>
      <c r="G1040" s="2" t="s">
        <v>25</v>
      </c>
      <c r="H1040" s="4">
        <v>1</v>
      </c>
      <c r="I1040" s="5">
        <v>35276.980000000003</v>
      </c>
      <c r="J1040" s="6">
        <v>0</v>
      </c>
      <c r="K1040" s="5">
        <v>35276.980000000003</v>
      </c>
      <c r="L1040" s="5">
        <v>23043.439999999999</v>
      </c>
      <c r="M1040" s="5">
        <v>12233.54</v>
      </c>
      <c r="N1040" s="2" t="s">
        <v>1140</v>
      </c>
    </row>
    <row r="1041" spans="1:14" ht="12" customHeight="1">
      <c r="A1041" s="2" t="s">
        <v>1141</v>
      </c>
      <c r="B1041" s="3">
        <v>45939</v>
      </c>
      <c r="C1041" s="2" t="s">
        <v>15</v>
      </c>
      <c r="D1041" s="2" t="s">
        <v>63</v>
      </c>
      <c r="E1041" s="2" t="s">
        <v>17</v>
      </c>
      <c r="F1041" s="2" t="s">
        <v>114</v>
      </c>
      <c r="G1041" s="2" t="s">
        <v>61</v>
      </c>
      <c r="H1041" s="4">
        <v>7</v>
      </c>
      <c r="I1041" s="5">
        <v>53626.07</v>
      </c>
      <c r="J1041" s="6">
        <v>0.05</v>
      </c>
      <c r="K1041" s="5">
        <v>356613.37</v>
      </c>
      <c r="L1041" s="5">
        <v>260378.43</v>
      </c>
      <c r="M1041" s="5">
        <v>96234.94</v>
      </c>
      <c r="N1041" s="2" t="s">
        <v>33</v>
      </c>
    </row>
    <row r="1042" spans="1:14" ht="12" customHeight="1">
      <c r="A1042" s="2" t="s">
        <v>1142</v>
      </c>
      <c r="B1042" s="3">
        <v>45705</v>
      </c>
      <c r="C1042" s="2" t="s">
        <v>28</v>
      </c>
      <c r="D1042" s="2" t="s">
        <v>52</v>
      </c>
      <c r="E1042" s="2" t="s">
        <v>30</v>
      </c>
      <c r="F1042" s="2" t="s">
        <v>38</v>
      </c>
      <c r="G1042" s="2" t="s">
        <v>64</v>
      </c>
      <c r="H1042" s="4">
        <v>4</v>
      </c>
      <c r="I1042" s="5">
        <v>26322.3</v>
      </c>
      <c r="J1042" s="6">
        <v>0</v>
      </c>
      <c r="K1042" s="5">
        <v>105289.2</v>
      </c>
      <c r="L1042" s="5">
        <v>71040.38</v>
      </c>
      <c r="M1042" s="5">
        <v>34248.82</v>
      </c>
      <c r="N1042" s="2" t="s">
        <v>26</v>
      </c>
    </row>
    <row r="1043" spans="1:14" ht="12" customHeight="1">
      <c r="A1043" s="2" t="s">
        <v>1143</v>
      </c>
      <c r="B1043" s="3">
        <v>45882</v>
      </c>
      <c r="C1043" s="2" t="s">
        <v>28</v>
      </c>
      <c r="D1043" s="2" t="s">
        <v>29</v>
      </c>
      <c r="E1043" s="2" t="s">
        <v>361</v>
      </c>
      <c r="F1043" s="2" t="s">
        <v>75</v>
      </c>
      <c r="G1043" s="2" t="s">
        <v>61</v>
      </c>
      <c r="H1043" s="4">
        <v>4</v>
      </c>
      <c r="I1043" s="5">
        <v>194253.61</v>
      </c>
      <c r="J1043" s="6">
        <v>0</v>
      </c>
      <c r="K1043" s="5">
        <v>777014.44</v>
      </c>
      <c r="L1043" s="5">
        <v>553212.59</v>
      </c>
      <c r="M1043" s="5">
        <v>223801.85</v>
      </c>
      <c r="N1043" s="2" t="s">
        <v>59</v>
      </c>
    </row>
    <row r="1044" spans="1:14" ht="12" customHeight="1">
      <c r="A1044" s="2" t="s">
        <v>1144</v>
      </c>
      <c r="B1044" s="3">
        <v>45720</v>
      </c>
      <c r="C1044" s="2" t="s">
        <v>22</v>
      </c>
      <c r="D1044" s="2" t="s">
        <v>35</v>
      </c>
      <c r="E1044" s="2" t="s">
        <v>30</v>
      </c>
      <c r="F1044" s="2" t="s">
        <v>86</v>
      </c>
      <c r="G1044" s="2" t="s">
        <v>19</v>
      </c>
      <c r="H1044" s="4">
        <v>5</v>
      </c>
      <c r="I1044" s="5">
        <v>31044.9</v>
      </c>
      <c r="J1044" s="6">
        <v>0.05</v>
      </c>
      <c r="K1044" s="5">
        <v>147463.26999999999</v>
      </c>
      <c r="L1044" s="5">
        <v>112894.77</v>
      </c>
      <c r="M1044" s="5">
        <v>34568.5</v>
      </c>
      <c r="N1044" s="2" t="s">
        <v>33</v>
      </c>
    </row>
    <row r="1045" spans="1:14" ht="12" customHeight="1">
      <c r="A1045" s="2" t="s">
        <v>1145</v>
      </c>
      <c r="B1045" s="3">
        <v>45812</v>
      </c>
      <c r="C1045" s="2" t="s">
        <v>28</v>
      </c>
      <c r="D1045" s="2" t="s">
        <v>29</v>
      </c>
      <c r="E1045" s="2" t="s">
        <v>44</v>
      </c>
      <c r="F1045" s="2" t="s">
        <v>53</v>
      </c>
      <c r="G1045" s="2" t="s">
        <v>32</v>
      </c>
      <c r="H1045" s="4">
        <v>6</v>
      </c>
      <c r="I1045" s="5">
        <v>9040.7900000000009</v>
      </c>
      <c r="J1045" s="6">
        <v>0</v>
      </c>
      <c r="K1045" s="5">
        <v>54244.74</v>
      </c>
      <c r="L1045" s="5">
        <v>29430.81</v>
      </c>
      <c r="M1045" s="5">
        <v>24813.93</v>
      </c>
      <c r="N1045" s="2" t="s">
        <v>59</v>
      </c>
    </row>
    <row r="1046" spans="1:14" ht="12" customHeight="1">
      <c r="A1046" s="2" t="s">
        <v>1146</v>
      </c>
      <c r="B1046" s="3">
        <v>45976</v>
      </c>
      <c r="C1046" s="2" t="s">
        <v>15</v>
      </c>
      <c r="D1046" s="2" t="s">
        <v>16</v>
      </c>
      <c r="E1046" s="2" t="s">
        <v>30</v>
      </c>
      <c r="F1046" s="2" t="s">
        <v>38</v>
      </c>
      <c r="G1046" s="2" t="s">
        <v>70</v>
      </c>
      <c r="H1046" s="4">
        <v>2</v>
      </c>
      <c r="I1046" s="5">
        <v>25073.27</v>
      </c>
      <c r="J1046" s="6">
        <v>0.05</v>
      </c>
      <c r="K1046" s="5">
        <v>47639.21</v>
      </c>
      <c r="L1046" s="5">
        <v>36697.86</v>
      </c>
      <c r="M1046" s="5">
        <v>10941.35</v>
      </c>
      <c r="N1046" s="2" t="s">
        <v>59</v>
      </c>
    </row>
    <row r="1047" spans="1:14" ht="12" customHeight="1">
      <c r="A1047" s="2" t="s">
        <v>1147</v>
      </c>
      <c r="B1047" s="3">
        <v>45730</v>
      </c>
      <c r="C1047" s="2" t="s">
        <v>22</v>
      </c>
      <c r="D1047" s="2" t="s">
        <v>23</v>
      </c>
      <c r="E1047" s="2" t="s">
        <v>44</v>
      </c>
      <c r="F1047" s="2" t="s">
        <v>45</v>
      </c>
      <c r="G1047" s="2" t="s">
        <v>64</v>
      </c>
      <c r="H1047" s="4">
        <v>5</v>
      </c>
      <c r="I1047" s="5">
        <v>29603.1</v>
      </c>
      <c r="J1047" s="6">
        <v>0</v>
      </c>
      <c r="K1047" s="5">
        <v>148015.5</v>
      </c>
      <c r="L1047" s="5">
        <v>92966.27</v>
      </c>
      <c r="M1047" s="5">
        <v>55049.23</v>
      </c>
      <c r="N1047" s="2" t="s">
        <v>26</v>
      </c>
    </row>
    <row r="1048" spans="1:14" ht="12" customHeight="1">
      <c r="A1048" s="2" t="s">
        <v>1148</v>
      </c>
      <c r="B1048" s="3">
        <v>45959</v>
      </c>
      <c r="C1048" s="2" t="s">
        <v>15</v>
      </c>
      <c r="D1048" s="2" t="s">
        <v>63</v>
      </c>
      <c r="E1048" s="2" t="s">
        <v>49</v>
      </c>
      <c r="F1048" s="2" t="s">
        <v>91</v>
      </c>
      <c r="G1048" s="2" t="s">
        <v>25</v>
      </c>
      <c r="H1048" s="4">
        <v>1</v>
      </c>
      <c r="I1048" s="5">
        <v>6498.86</v>
      </c>
      <c r="J1048" s="6">
        <v>0</v>
      </c>
      <c r="K1048" s="5">
        <v>6498.86</v>
      </c>
      <c r="L1048" s="5">
        <v>3560.12</v>
      </c>
      <c r="M1048" s="5">
        <v>2938.74</v>
      </c>
      <c r="N1048" s="2" t="s">
        <v>59</v>
      </c>
    </row>
    <row r="1049" spans="1:14" ht="12" customHeight="1">
      <c r="A1049" s="2" t="s">
        <v>1149</v>
      </c>
      <c r="B1049" s="3">
        <v>45680</v>
      </c>
      <c r="C1049" s="2" t="s">
        <v>22</v>
      </c>
      <c r="D1049" s="2" t="s">
        <v>23</v>
      </c>
      <c r="E1049" s="2" t="s">
        <v>30</v>
      </c>
      <c r="F1049" s="2" t="s">
        <v>40</v>
      </c>
      <c r="G1049" s="2" t="s">
        <v>47</v>
      </c>
      <c r="H1049" s="4">
        <v>8</v>
      </c>
      <c r="I1049" s="5">
        <v>22613.89</v>
      </c>
      <c r="J1049" s="6">
        <v>0.05</v>
      </c>
      <c r="K1049" s="5">
        <v>171865.56</v>
      </c>
      <c r="L1049" s="5">
        <v>126011.5</v>
      </c>
      <c r="M1049" s="5">
        <v>45854.06</v>
      </c>
      <c r="N1049" s="2" t="s">
        <v>26</v>
      </c>
    </row>
    <row r="1050" spans="1:14" ht="12" customHeight="1">
      <c r="A1050" s="2" t="s">
        <v>1150</v>
      </c>
      <c r="B1050" s="3">
        <v>45969</v>
      </c>
      <c r="C1050" s="2" t="s">
        <v>28</v>
      </c>
      <c r="D1050" s="2" t="s">
        <v>52</v>
      </c>
      <c r="E1050" s="2" t="s">
        <v>49</v>
      </c>
      <c r="F1050" s="2" t="s">
        <v>91</v>
      </c>
      <c r="G1050" s="2" t="s">
        <v>32</v>
      </c>
      <c r="H1050" s="4">
        <v>5</v>
      </c>
      <c r="I1050" s="5">
        <v>6012.56</v>
      </c>
      <c r="J1050" s="6">
        <v>0.05</v>
      </c>
      <c r="K1050" s="5">
        <v>28559.66</v>
      </c>
      <c r="L1050" s="5">
        <v>18640.900000000001</v>
      </c>
      <c r="M1050" s="5">
        <v>9918.76</v>
      </c>
      <c r="N1050" s="2" t="s">
        <v>59</v>
      </c>
    </row>
    <row r="1051" spans="1:14" ht="12" customHeight="1">
      <c r="A1051" s="2" t="s">
        <v>1151</v>
      </c>
      <c r="B1051" s="3">
        <v>45687</v>
      </c>
      <c r="C1051" s="2" t="s">
        <v>15</v>
      </c>
      <c r="D1051" s="2" t="s">
        <v>16</v>
      </c>
      <c r="E1051" s="2" t="s">
        <v>17</v>
      </c>
      <c r="F1051" s="2" t="s">
        <v>18</v>
      </c>
      <c r="G1051" s="2" t="s">
        <v>19</v>
      </c>
      <c r="H1051" s="4">
        <v>7</v>
      </c>
      <c r="I1051" s="5">
        <v>15348.52</v>
      </c>
      <c r="J1051" s="6">
        <v>0.15</v>
      </c>
      <c r="K1051" s="5">
        <v>91323.69</v>
      </c>
      <c r="L1051" s="5">
        <v>59408.98</v>
      </c>
      <c r="M1051" s="5">
        <v>31914.71</v>
      </c>
      <c r="N1051" s="2" t="s">
        <v>20</v>
      </c>
    </row>
    <row r="1052" spans="1:14" ht="12" customHeight="1">
      <c r="A1052" s="2" t="s">
        <v>1152</v>
      </c>
      <c r="B1052" s="3">
        <v>45791</v>
      </c>
      <c r="C1052" s="2" t="s">
        <v>15</v>
      </c>
      <c r="D1052" s="2" t="s">
        <v>43</v>
      </c>
      <c r="E1052" s="2" t="s">
        <v>30</v>
      </c>
      <c r="F1052" s="2" t="s">
        <v>40</v>
      </c>
      <c r="G1052" s="2" t="s">
        <v>61</v>
      </c>
      <c r="H1052" s="4">
        <v>7</v>
      </c>
      <c r="I1052" s="5">
        <v>24784.6</v>
      </c>
      <c r="J1052" s="6">
        <v>0.1</v>
      </c>
      <c r="K1052" s="5">
        <v>156142.98000000001</v>
      </c>
      <c r="L1052" s="5">
        <v>113235.69</v>
      </c>
      <c r="M1052" s="5">
        <v>42907.29</v>
      </c>
      <c r="N1052" s="2" t="s">
        <v>20</v>
      </c>
    </row>
    <row r="1053" spans="1:14" ht="12" customHeight="1">
      <c r="A1053" s="2" t="s">
        <v>1153</v>
      </c>
      <c r="B1053" s="3">
        <v>45701</v>
      </c>
      <c r="C1053" s="2" t="s">
        <v>28</v>
      </c>
      <c r="D1053" s="2" t="s">
        <v>29</v>
      </c>
      <c r="E1053" s="2" t="s">
        <v>44</v>
      </c>
      <c r="F1053" s="2" t="s">
        <v>45</v>
      </c>
      <c r="G1053" s="2" t="s">
        <v>47</v>
      </c>
      <c r="H1053" s="4">
        <v>1</v>
      </c>
      <c r="I1053" s="5">
        <v>27499.99</v>
      </c>
      <c r="J1053" s="6">
        <v>0.15</v>
      </c>
      <c r="K1053" s="5">
        <v>23374.99</v>
      </c>
      <c r="L1053" s="5">
        <v>19694.79</v>
      </c>
      <c r="M1053" s="5">
        <v>3680.2</v>
      </c>
      <c r="N1053" s="2" t="s">
        <v>59</v>
      </c>
    </row>
    <row r="1054" spans="1:14" ht="12" customHeight="1">
      <c r="A1054" s="2" t="s">
        <v>1154</v>
      </c>
      <c r="B1054" s="3">
        <v>45992</v>
      </c>
      <c r="C1054" s="2" t="s">
        <v>28</v>
      </c>
      <c r="D1054" s="2" t="s">
        <v>29</v>
      </c>
      <c r="E1054" s="2" t="s">
        <v>49</v>
      </c>
      <c r="F1054" s="2" t="s">
        <v>91</v>
      </c>
      <c r="G1054" s="2" t="s">
        <v>64</v>
      </c>
      <c r="H1054" s="4">
        <v>5</v>
      </c>
      <c r="I1054" s="5">
        <v>6356.16</v>
      </c>
      <c r="J1054" s="6">
        <v>0.15</v>
      </c>
      <c r="K1054" s="5">
        <v>27013.68</v>
      </c>
      <c r="L1054" s="5">
        <v>17775.650000000001</v>
      </c>
      <c r="M1054" s="5">
        <v>9238.0300000000007</v>
      </c>
      <c r="N1054" s="2" t="s">
        <v>33</v>
      </c>
    </row>
    <row r="1055" spans="1:14" ht="12" customHeight="1">
      <c r="A1055" s="2" t="s">
        <v>1155</v>
      </c>
      <c r="B1055" s="3">
        <v>45896</v>
      </c>
      <c r="C1055" s="2" t="s">
        <v>28</v>
      </c>
      <c r="D1055" s="2" t="s">
        <v>29</v>
      </c>
      <c r="E1055" s="2" t="s">
        <v>30</v>
      </c>
      <c r="F1055" s="2" t="s">
        <v>38</v>
      </c>
      <c r="G1055" s="2" t="s">
        <v>64</v>
      </c>
      <c r="H1055" s="4">
        <v>3</v>
      </c>
      <c r="I1055" s="5">
        <v>26757.25</v>
      </c>
      <c r="J1055" s="6">
        <v>0</v>
      </c>
      <c r="K1055" s="5">
        <v>80271.75</v>
      </c>
      <c r="L1055" s="5">
        <v>54042.86</v>
      </c>
      <c r="M1055" s="5">
        <v>26228.89</v>
      </c>
      <c r="N1055" s="2" t="s">
        <v>59</v>
      </c>
    </row>
    <row r="1056" spans="1:14" ht="12" customHeight="1">
      <c r="A1056" s="2" t="s">
        <v>1156</v>
      </c>
      <c r="B1056" s="3">
        <v>45970</v>
      </c>
      <c r="C1056" s="2" t="s">
        <v>28</v>
      </c>
      <c r="D1056" s="2" t="s">
        <v>29</v>
      </c>
      <c r="E1056" s="2" t="s">
        <v>44</v>
      </c>
      <c r="F1056" s="2" t="s">
        <v>53</v>
      </c>
      <c r="G1056" s="2" t="s">
        <v>32</v>
      </c>
      <c r="H1056" s="4">
        <v>1</v>
      </c>
      <c r="I1056" s="5">
        <v>8608.2199999999993</v>
      </c>
      <c r="J1056" s="6">
        <v>0</v>
      </c>
      <c r="K1056" s="5">
        <v>8608.2199999999993</v>
      </c>
      <c r="L1056" s="5">
        <v>4847.82</v>
      </c>
      <c r="M1056" s="5">
        <v>3760.4</v>
      </c>
      <c r="N1056" s="2" t="s">
        <v>33</v>
      </c>
    </row>
    <row r="1057" spans="1:14" ht="12" customHeight="1">
      <c r="A1057" s="2" t="s">
        <v>1157</v>
      </c>
      <c r="B1057" s="3">
        <v>45747</v>
      </c>
      <c r="C1057" s="2" t="s">
        <v>28</v>
      </c>
      <c r="D1057" s="2" t="s">
        <v>52</v>
      </c>
      <c r="E1057" s="2" t="s">
        <v>30</v>
      </c>
      <c r="F1057" s="2" t="s">
        <v>38</v>
      </c>
      <c r="G1057" s="2" t="s">
        <v>61</v>
      </c>
      <c r="H1057" s="4">
        <v>5</v>
      </c>
      <c r="I1057" s="5">
        <v>28594.32</v>
      </c>
      <c r="J1057" s="6">
        <v>0</v>
      </c>
      <c r="K1057" s="5">
        <v>142971.6</v>
      </c>
      <c r="L1057" s="5">
        <v>88732.74</v>
      </c>
      <c r="M1057" s="5">
        <v>54238.86</v>
      </c>
      <c r="N1057" s="2" t="s">
        <v>33</v>
      </c>
    </row>
    <row r="1058" spans="1:14" ht="12" customHeight="1">
      <c r="A1058" s="2" t="s">
        <v>1158</v>
      </c>
      <c r="B1058" s="3" t="s">
        <v>1159</v>
      </c>
      <c r="C1058" s="2" t="s">
        <v>22</v>
      </c>
      <c r="D1058" s="2" t="s">
        <v>23</v>
      </c>
      <c r="E1058" s="2" t="s">
        <v>17</v>
      </c>
      <c r="F1058" s="2" t="s">
        <v>24</v>
      </c>
      <c r="G1058" s="2" t="s">
        <v>64</v>
      </c>
      <c r="H1058" s="4">
        <v>8</v>
      </c>
      <c r="I1058" s="5">
        <v>93175.99</v>
      </c>
      <c r="J1058" s="6">
        <v>0</v>
      </c>
      <c r="K1058" s="5">
        <v>745407.92</v>
      </c>
      <c r="L1058" s="5">
        <v>548753.77</v>
      </c>
      <c r="M1058" s="5">
        <v>196654.15</v>
      </c>
      <c r="N1058" s="2" t="s">
        <v>59</v>
      </c>
    </row>
    <row r="1059" spans="1:14" ht="12" customHeight="1">
      <c r="A1059" s="2" t="s">
        <v>1160</v>
      </c>
      <c r="B1059" s="3">
        <v>45715</v>
      </c>
      <c r="C1059" s="2" t="s">
        <v>28</v>
      </c>
      <c r="D1059" s="2" t="s">
        <v>52</v>
      </c>
      <c r="E1059" s="2" t="s">
        <v>30</v>
      </c>
      <c r="F1059" s="2" t="s">
        <v>31</v>
      </c>
      <c r="G1059" s="2" t="s">
        <v>19</v>
      </c>
      <c r="H1059" s="4">
        <v>4</v>
      </c>
      <c r="I1059" s="5">
        <v>131754.16</v>
      </c>
      <c r="J1059" s="6">
        <v>0</v>
      </c>
      <c r="K1059" s="5">
        <v>527016.64</v>
      </c>
      <c r="L1059" s="5">
        <v>406216.2</v>
      </c>
      <c r="M1059" s="5">
        <v>120800.44</v>
      </c>
      <c r="N1059" s="2" t="s">
        <v>26</v>
      </c>
    </row>
    <row r="1060" spans="1:14" ht="12" customHeight="1">
      <c r="A1060" s="2" t="s">
        <v>1161</v>
      </c>
      <c r="B1060" s="3">
        <v>45825</v>
      </c>
      <c r="C1060" s="2" t="s">
        <v>22</v>
      </c>
      <c r="D1060" s="2" t="s">
        <v>35</v>
      </c>
      <c r="E1060" s="2" t="s">
        <v>30</v>
      </c>
      <c r="F1060" s="2" t="s">
        <v>40</v>
      </c>
      <c r="G1060" s="2" t="s">
        <v>32</v>
      </c>
      <c r="H1060" s="4">
        <v>2</v>
      </c>
      <c r="I1060" s="5">
        <v>25056.2</v>
      </c>
      <c r="J1060" s="6">
        <v>0.05</v>
      </c>
      <c r="K1060" s="5">
        <v>47606.78</v>
      </c>
      <c r="L1060" s="5">
        <v>30968.49</v>
      </c>
      <c r="M1060" s="5">
        <v>16638.29</v>
      </c>
      <c r="N1060" s="2" t="s">
        <v>59</v>
      </c>
    </row>
    <row r="1061" spans="1:14" ht="12" customHeight="1">
      <c r="A1061" s="2" t="s">
        <v>1162</v>
      </c>
      <c r="B1061" s="3">
        <v>45806</v>
      </c>
      <c r="C1061" s="2" t="s">
        <v>28</v>
      </c>
      <c r="D1061" s="2" t="s">
        <v>29</v>
      </c>
      <c r="E1061" s="2" t="s">
        <v>30</v>
      </c>
      <c r="F1061" s="2" t="s">
        <v>40</v>
      </c>
      <c r="G1061" s="2" t="s">
        <v>61</v>
      </c>
      <c r="H1061" s="4">
        <v>5</v>
      </c>
      <c r="I1061" s="5">
        <v>24977.91</v>
      </c>
      <c r="J1061" s="6">
        <v>0</v>
      </c>
      <c r="K1061" s="5">
        <v>124889.55</v>
      </c>
      <c r="L1061" s="5">
        <v>78666.710000000006</v>
      </c>
      <c r="M1061" s="5">
        <v>46222.84</v>
      </c>
      <c r="N1061" s="2" t="s">
        <v>33</v>
      </c>
    </row>
    <row r="1062" spans="1:14" ht="12" customHeight="1">
      <c r="A1062" s="2" t="s">
        <v>1163</v>
      </c>
      <c r="B1062" s="3">
        <v>45674</v>
      </c>
      <c r="C1062" s="2" t="s">
        <v>22</v>
      </c>
      <c r="D1062" s="2" t="s">
        <v>37</v>
      </c>
      <c r="E1062" s="2" t="s">
        <v>44</v>
      </c>
      <c r="F1062" s="2" t="s">
        <v>69</v>
      </c>
      <c r="G1062" s="2" t="s">
        <v>61</v>
      </c>
      <c r="H1062" s="4">
        <v>6</v>
      </c>
      <c r="I1062" s="5">
        <v>40674.83</v>
      </c>
      <c r="J1062" s="6">
        <v>0.05</v>
      </c>
      <c r="K1062" s="5">
        <v>231846.53</v>
      </c>
      <c r="L1062" s="5">
        <v>160391.54</v>
      </c>
      <c r="M1062" s="5">
        <v>71454.990000000005</v>
      </c>
      <c r="N1062" s="2" t="s">
        <v>20</v>
      </c>
    </row>
    <row r="1063" spans="1:14" ht="12" customHeight="1">
      <c r="A1063" s="2" t="s">
        <v>1164</v>
      </c>
      <c r="B1063" s="3">
        <v>45928</v>
      </c>
      <c r="C1063" s="2" t="s">
        <v>15</v>
      </c>
      <c r="D1063" s="2" t="s">
        <v>16</v>
      </c>
      <c r="E1063" s="2" t="s">
        <v>17</v>
      </c>
      <c r="F1063" s="2" t="s">
        <v>24</v>
      </c>
      <c r="G1063" s="2" t="s">
        <v>64</v>
      </c>
      <c r="H1063" s="4">
        <v>7</v>
      </c>
      <c r="I1063" s="5">
        <v>92573.6</v>
      </c>
      <c r="J1063" s="6">
        <v>0</v>
      </c>
      <c r="K1063" s="5">
        <v>648015.19999999995</v>
      </c>
      <c r="L1063" s="5">
        <v>489961.87</v>
      </c>
      <c r="M1063" s="5">
        <v>158053.32999999999</v>
      </c>
      <c r="N1063" s="2" t="s">
        <v>20</v>
      </c>
    </row>
    <row r="1064" spans="1:14" ht="12" customHeight="1">
      <c r="A1064" s="2" t="s">
        <v>1165</v>
      </c>
      <c r="B1064" s="3">
        <v>45782</v>
      </c>
      <c r="C1064" s="2" t="s">
        <v>15</v>
      </c>
      <c r="D1064" s="2" t="s">
        <v>43</v>
      </c>
      <c r="E1064" s="2" t="s">
        <v>49</v>
      </c>
      <c r="F1064" s="2" t="s">
        <v>57</v>
      </c>
      <c r="G1064" s="2" t="s">
        <v>32</v>
      </c>
      <c r="H1064" s="4">
        <v>5</v>
      </c>
      <c r="I1064" s="5">
        <v>10938.84</v>
      </c>
      <c r="J1064" s="6">
        <v>0.1</v>
      </c>
      <c r="K1064" s="5">
        <v>49224.78</v>
      </c>
      <c r="L1064" s="5">
        <v>32191.72</v>
      </c>
      <c r="M1064" s="5">
        <v>17033.060000000001</v>
      </c>
      <c r="N1064" s="2" t="s">
        <v>26</v>
      </c>
    </row>
    <row r="1065" spans="1:14" ht="12" customHeight="1">
      <c r="A1065" s="2" t="s">
        <v>1166</v>
      </c>
      <c r="B1065" s="3">
        <v>45867</v>
      </c>
      <c r="C1065" s="2" t="s">
        <v>28</v>
      </c>
      <c r="D1065" s="2" t="s">
        <v>52</v>
      </c>
      <c r="E1065" s="2" t="s">
        <v>49</v>
      </c>
      <c r="F1065" s="2" t="s">
        <v>57</v>
      </c>
      <c r="G1065" s="2" t="s">
        <v>32</v>
      </c>
      <c r="H1065" s="4">
        <v>2</v>
      </c>
      <c r="I1065" s="5">
        <v>11855.25</v>
      </c>
      <c r="J1065" s="6">
        <v>0.05</v>
      </c>
      <c r="K1065" s="5">
        <v>22524.97</v>
      </c>
      <c r="L1065" s="5">
        <v>13276.85</v>
      </c>
      <c r="M1065" s="5">
        <v>9248.1200000000008</v>
      </c>
      <c r="N1065" s="2" t="s">
        <v>33</v>
      </c>
    </row>
    <row r="1066" spans="1:14" ht="12" customHeight="1">
      <c r="A1066" s="2" t="s">
        <v>1167</v>
      </c>
      <c r="B1066" s="3">
        <v>45775</v>
      </c>
      <c r="C1066" s="2" t="s">
        <v>28</v>
      </c>
      <c r="D1066" s="2" t="s">
        <v>29</v>
      </c>
      <c r="E1066" s="2" t="s">
        <v>17</v>
      </c>
      <c r="F1066" s="2" t="s">
        <v>18</v>
      </c>
      <c r="G1066" s="2" t="s">
        <v>61</v>
      </c>
      <c r="H1066" s="4">
        <v>8</v>
      </c>
      <c r="I1066" s="5">
        <v>14744.11</v>
      </c>
      <c r="J1066" s="6">
        <v>0.05</v>
      </c>
      <c r="K1066" s="5">
        <v>112055.24</v>
      </c>
      <c r="L1066" s="5">
        <v>67242.710000000006</v>
      </c>
      <c r="M1066" s="5">
        <v>44812.53</v>
      </c>
      <c r="N1066" s="2" t="s">
        <v>26</v>
      </c>
    </row>
    <row r="1067" spans="1:14" ht="12" customHeight="1">
      <c r="A1067" s="2" t="s">
        <v>1168</v>
      </c>
      <c r="B1067" s="3">
        <v>45873</v>
      </c>
      <c r="C1067" s="2" t="s">
        <v>28</v>
      </c>
      <c r="D1067" s="2" t="s">
        <v>29</v>
      </c>
      <c r="E1067" s="2" t="s">
        <v>44</v>
      </c>
      <c r="F1067" s="2" t="s">
        <v>69</v>
      </c>
      <c r="G1067" s="2" t="s">
        <v>61</v>
      </c>
      <c r="H1067" s="4">
        <v>5</v>
      </c>
      <c r="I1067" s="5">
        <v>37036.76</v>
      </c>
      <c r="J1067" s="6">
        <v>0</v>
      </c>
      <c r="K1067" s="5">
        <v>185183.8</v>
      </c>
      <c r="L1067" s="5">
        <v>126841.7</v>
      </c>
      <c r="M1067" s="5">
        <v>58342.1</v>
      </c>
      <c r="N1067" s="2" t="s">
        <v>20</v>
      </c>
    </row>
    <row r="1068" spans="1:14" ht="12" customHeight="1">
      <c r="A1068" s="2" t="s">
        <v>1169</v>
      </c>
      <c r="B1068" s="3">
        <v>45941</v>
      </c>
      <c r="C1068" s="2" t="s">
        <v>15</v>
      </c>
      <c r="D1068" s="2" t="s">
        <v>16</v>
      </c>
      <c r="E1068" s="2" t="s">
        <v>44</v>
      </c>
      <c r="F1068" s="2" t="s">
        <v>53</v>
      </c>
      <c r="G1068" s="2" t="s">
        <v>70</v>
      </c>
      <c r="H1068" s="4">
        <v>1</v>
      </c>
      <c r="I1068" s="5">
        <v>8046.81</v>
      </c>
      <c r="J1068" s="6">
        <v>0.05</v>
      </c>
      <c r="K1068" s="5">
        <v>7644.47</v>
      </c>
      <c r="L1068" s="5">
        <v>4843.34</v>
      </c>
      <c r="M1068" s="5">
        <v>2801.13</v>
      </c>
      <c r="N1068" s="2" t="s">
        <v>33</v>
      </c>
    </row>
    <row r="1069" spans="1:14" ht="12" customHeight="1">
      <c r="A1069" s="2" t="s">
        <v>1170</v>
      </c>
      <c r="B1069" s="3">
        <v>45929</v>
      </c>
      <c r="C1069" s="2" t="s">
        <v>22</v>
      </c>
      <c r="D1069" s="2" t="s">
        <v>23</v>
      </c>
      <c r="E1069" s="2" t="s">
        <v>49</v>
      </c>
      <c r="F1069" s="2" t="s">
        <v>91</v>
      </c>
      <c r="G1069" s="2" t="s">
        <v>25</v>
      </c>
      <c r="H1069" s="4">
        <v>3</v>
      </c>
      <c r="I1069" s="5">
        <v>7009.53</v>
      </c>
      <c r="J1069" s="6">
        <v>0</v>
      </c>
      <c r="K1069" s="5">
        <v>21028.59</v>
      </c>
      <c r="L1069" s="5">
        <v>10865.26</v>
      </c>
      <c r="M1069" s="5">
        <v>10163.33</v>
      </c>
      <c r="N1069" s="2" t="s">
        <v>20</v>
      </c>
    </row>
    <row r="1070" spans="1:14" ht="12" customHeight="1">
      <c r="A1070" s="2" t="s">
        <v>1171</v>
      </c>
      <c r="B1070" s="3">
        <v>45973</v>
      </c>
      <c r="C1070" s="2" t="s">
        <v>28</v>
      </c>
      <c r="D1070" s="2" t="s">
        <v>52</v>
      </c>
      <c r="E1070" s="2" t="s">
        <v>49</v>
      </c>
      <c r="F1070" s="2" t="s">
        <v>50</v>
      </c>
      <c r="G1070" s="2" t="s">
        <v>19</v>
      </c>
      <c r="H1070" s="4">
        <v>5</v>
      </c>
      <c r="I1070" s="5">
        <v>3943.99</v>
      </c>
      <c r="J1070" s="6">
        <v>0.05</v>
      </c>
      <c r="K1070" s="5">
        <v>18733.95</v>
      </c>
      <c r="L1070" s="5">
        <v>10619.74</v>
      </c>
      <c r="M1070" s="5">
        <v>8114.21</v>
      </c>
      <c r="N1070" s="2" t="s">
        <v>33</v>
      </c>
    </row>
    <row r="1071" spans="1:14" ht="12" customHeight="1">
      <c r="A1071" s="2" t="s">
        <v>1172</v>
      </c>
      <c r="B1071" s="3">
        <v>45806</v>
      </c>
      <c r="C1071" s="2" t="s">
        <v>22</v>
      </c>
      <c r="D1071" s="2" t="s">
        <v>37</v>
      </c>
      <c r="E1071" s="2" t="s">
        <v>30</v>
      </c>
      <c r="F1071" s="2" t="s">
        <v>40</v>
      </c>
      <c r="G1071" s="2" t="s">
        <v>70</v>
      </c>
      <c r="H1071" s="4">
        <v>7</v>
      </c>
      <c r="I1071" s="5">
        <v>25012.86</v>
      </c>
      <c r="J1071" s="6">
        <v>0.15</v>
      </c>
      <c r="K1071" s="5">
        <v>148826.51999999999</v>
      </c>
      <c r="L1071" s="5">
        <v>113745.06</v>
      </c>
      <c r="M1071" s="5">
        <v>35081.46</v>
      </c>
      <c r="N1071" s="2" t="s">
        <v>117</v>
      </c>
    </row>
    <row r="1072" spans="1:14" ht="12" customHeight="1">
      <c r="A1072" s="2" t="s">
        <v>1173</v>
      </c>
      <c r="B1072" s="3">
        <v>45890</v>
      </c>
      <c r="C1072" s="2" t="s">
        <v>15</v>
      </c>
      <c r="D1072" s="2" t="s">
        <v>16</v>
      </c>
      <c r="E1072" s="2" t="s">
        <v>17</v>
      </c>
      <c r="F1072" s="2" t="s">
        <v>24</v>
      </c>
      <c r="G1072" s="2" t="s">
        <v>25</v>
      </c>
      <c r="H1072" s="4">
        <v>1</v>
      </c>
      <c r="I1072" s="5">
        <v>93377.1</v>
      </c>
      <c r="J1072" s="6">
        <v>0.05</v>
      </c>
      <c r="K1072" s="5">
        <v>88708.24</v>
      </c>
      <c r="L1072" s="5">
        <v>69167.8</v>
      </c>
      <c r="M1072" s="5">
        <v>19540.439999999999</v>
      </c>
      <c r="N1072" s="2" t="s">
        <v>59</v>
      </c>
    </row>
    <row r="1073" spans="1:14" ht="12" customHeight="1">
      <c r="A1073" s="2" t="s">
        <v>1174</v>
      </c>
      <c r="B1073" s="3">
        <v>45923</v>
      </c>
      <c r="C1073" s="2" t="s">
        <v>28</v>
      </c>
      <c r="D1073" s="2" t="s">
        <v>52</v>
      </c>
      <c r="E1073" s="2" t="s">
        <v>30</v>
      </c>
      <c r="F1073" s="2" t="s">
        <v>31</v>
      </c>
      <c r="G1073" s="2" t="s">
        <v>25</v>
      </c>
      <c r="H1073" s="4">
        <v>4</v>
      </c>
      <c r="I1073" s="5">
        <v>130622.73</v>
      </c>
      <c r="J1073" s="6">
        <v>0.05</v>
      </c>
      <c r="K1073" s="5">
        <v>496366.37</v>
      </c>
      <c r="L1073" s="5">
        <v>393245.58</v>
      </c>
      <c r="M1073" s="5">
        <v>103120.79</v>
      </c>
      <c r="N1073" s="2" t="s">
        <v>59</v>
      </c>
    </row>
    <row r="1074" spans="1:14" ht="12" customHeight="1">
      <c r="A1074" s="2" t="s">
        <v>1175</v>
      </c>
      <c r="B1074" s="3">
        <v>45765</v>
      </c>
      <c r="C1074" s="2" t="s">
        <v>28</v>
      </c>
      <c r="D1074" s="2" t="s">
        <v>56</v>
      </c>
      <c r="E1074" s="2" t="s">
        <v>30</v>
      </c>
      <c r="F1074" s="2" t="s">
        <v>86</v>
      </c>
      <c r="G1074" s="2" t="s">
        <v>25</v>
      </c>
      <c r="H1074" s="4">
        <v>3</v>
      </c>
      <c r="I1074" s="5">
        <v>30581.41</v>
      </c>
      <c r="J1074" s="6">
        <v>0.15</v>
      </c>
      <c r="K1074" s="5">
        <v>77982.600000000006</v>
      </c>
      <c r="L1074" s="5">
        <v>69644.27</v>
      </c>
      <c r="M1074" s="5">
        <v>8338.33</v>
      </c>
      <c r="N1074" s="2" t="s">
        <v>59</v>
      </c>
    </row>
    <row r="1075" spans="1:14" ht="12" customHeight="1">
      <c r="A1075" s="2" t="s">
        <v>1176</v>
      </c>
      <c r="B1075" s="3">
        <v>45907</v>
      </c>
      <c r="C1075" s="2" t="s">
        <v>15</v>
      </c>
      <c r="D1075" s="2" t="s">
        <v>43</v>
      </c>
      <c r="E1075" s="2" t="s">
        <v>30</v>
      </c>
      <c r="F1075" s="2" t="s">
        <v>31</v>
      </c>
      <c r="G1075" s="2" t="s">
        <v>70</v>
      </c>
      <c r="H1075" s="4">
        <v>6</v>
      </c>
      <c r="I1075" s="5">
        <v>130351.48</v>
      </c>
      <c r="J1075" s="6">
        <v>0</v>
      </c>
      <c r="K1075" s="5">
        <v>782108.88</v>
      </c>
      <c r="L1075" s="5">
        <v>600030.31000000006</v>
      </c>
      <c r="M1075" s="5">
        <v>182078.57</v>
      </c>
      <c r="N1075" s="2" t="s">
        <v>26</v>
      </c>
    </row>
    <row r="1076" spans="1:14" ht="12" customHeight="1">
      <c r="A1076" s="2" t="s">
        <v>1177</v>
      </c>
      <c r="B1076" s="3">
        <v>45940</v>
      </c>
      <c r="C1076" s="2" t="s">
        <v>22</v>
      </c>
      <c r="D1076" s="2" t="s">
        <v>35</v>
      </c>
      <c r="E1076" s="2" t="s">
        <v>30</v>
      </c>
      <c r="F1076" s="2" t="s">
        <v>31</v>
      </c>
      <c r="G1076" s="2" t="s">
        <v>61</v>
      </c>
      <c r="H1076" s="4">
        <v>4</v>
      </c>
      <c r="I1076" s="5">
        <v>138594.97</v>
      </c>
      <c r="J1076" s="6">
        <v>0</v>
      </c>
      <c r="K1076" s="5">
        <v>554379.88</v>
      </c>
      <c r="L1076" s="5">
        <v>394594.2</v>
      </c>
      <c r="M1076" s="5">
        <v>159785.68</v>
      </c>
      <c r="N1076" s="2" t="s">
        <v>33</v>
      </c>
    </row>
    <row r="1077" spans="1:14" ht="12" customHeight="1">
      <c r="A1077" s="2" t="s">
        <v>1178</v>
      </c>
      <c r="B1077" s="3">
        <v>45802</v>
      </c>
      <c r="C1077" s="2" t="s">
        <v>15</v>
      </c>
      <c r="D1077" s="2" t="s">
        <v>16</v>
      </c>
      <c r="E1077" s="2" t="s">
        <v>44</v>
      </c>
      <c r="F1077" s="2" t="s">
        <v>80</v>
      </c>
      <c r="G1077" s="2" t="s">
        <v>25</v>
      </c>
      <c r="H1077" s="4">
        <v>8</v>
      </c>
      <c r="I1077" s="5">
        <v>45287.63</v>
      </c>
      <c r="J1077" s="6">
        <v>0</v>
      </c>
      <c r="K1077" s="5">
        <v>362301.04</v>
      </c>
      <c r="L1077" s="5">
        <v>246975.22</v>
      </c>
      <c r="M1077" s="5">
        <v>115325.82</v>
      </c>
      <c r="N1077" s="2" t="s">
        <v>20</v>
      </c>
    </row>
    <row r="1078" spans="1:14" ht="12" customHeight="1">
      <c r="A1078" s="2" t="s">
        <v>1179</v>
      </c>
      <c r="B1078" s="3">
        <v>45879</v>
      </c>
      <c r="C1078" s="2" t="s">
        <v>15</v>
      </c>
      <c r="D1078" s="2" t="s">
        <v>16</v>
      </c>
      <c r="E1078" s="2" t="s">
        <v>49</v>
      </c>
      <c r="F1078" s="2" t="s">
        <v>57</v>
      </c>
      <c r="G1078" s="2" t="s">
        <v>70</v>
      </c>
      <c r="H1078" s="4">
        <v>2</v>
      </c>
      <c r="I1078" s="5">
        <v>11897.9</v>
      </c>
      <c r="J1078" s="6">
        <v>0</v>
      </c>
      <c r="K1078" s="5">
        <v>23795.8</v>
      </c>
      <c r="L1078" s="5">
        <v>13014.41</v>
      </c>
      <c r="M1078" s="5">
        <v>10781.39</v>
      </c>
      <c r="N1078" s="2"/>
    </row>
    <row r="1079" spans="1:14" ht="12" customHeight="1">
      <c r="A1079" s="2" t="s">
        <v>1180</v>
      </c>
      <c r="B1079" s="3">
        <v>45696</v>
      </c>
      <c r="C1079" s="2" t="s">
        <v>22</v>
      </c>
      <c r="D1079" s="2" t="s">
        <v>23</v>
      </c>
      <c r="E1079" s="2" t="s">
        <v>30</v>
      </c>
      <c r="F1079" s="2" t="s">
        <v>31</v>
      </c>
      <c r="G1079" s="2" t="s">
        <v>32</v>
      </c>
      <c r="H1079" s="4">
        <v>6</v>
      </c>
      <c r="I1079" s="5">
        <v>141558.65</v>
      </c>
      <c r="J1079" s="6">
        <v>0.15</v>
      </c>
      <c r="K1079" s="5">
        <v>721949.11</v>
      </c>
      <c r="L1079" s="5">
        <v>621472.65</v>
      </c>
      <c r="M1079" s="5">
        <v>100476.46</v>
      </c>
      <c r="N1079" s="2" t="s">
        <v>26</v>
      </c>
    </row>
    <row r="1080" spans="1:14" ht="12" customHeight="1">
      <c r="A1080" s="2" t="s">
        <v>1181</v>
      </c>
      <c r="B1080" s="3">
        <v>45677</v>
      </c>
      <c r="C1080" s="2" t="s">
        <v>15</v>
      </c>
      <c r="D1080" s="2" t="s">
        <v>63</v>
      </c>
      <c r="E1080" s="2" t="s">
        <v>30</v>
      </c>
      <c r="F1080" s="2" t="s">
        <v>40</v>
      </c>
      <c r="G1080" s="2" t="s">
        <v>25</v>
      </c>
      <c r="H1080" s="4">
        <v>2</v>
      </c>
      <c r="I1080" s="5">
        <v>25310.69</v>
      </c>
      <c r="J1080" s="6">
        <v>0.05</v>
      </c>
      <c r="K1080" s="5">
        <v>48090.31</v>
      </c>
      <c r="L1080" s="5">
        <v>32625.71</v>
      </c>
      <c r="M1080" s="5">
        <v>15464.6</v>
      </c>
      <c r="N1080" s="2" t="s">
        <v>33</v>
      </c>
    </row>
    <row r="1081" spans="1:14" ht="12" customHeight="1">
      <c r="A1081" s="2" t="s">
        <v>1182</v>
      </c>
      <c r="B1081" s="3">
        <v>45728</v>
      </c>
      <c r="C1081" s="2" t="s">
        <v>15</v>
      </c>
      <c r="D1081" s="2" t="s">
        <v>43</v>
      </c>
      <c r="E1081" s="2" t="s">
        <v>30</v>
      </c>
      <c r="F1081" s="2" t="s">
        <v>86</v>
      </c>
      <c r="G1081" s="2" t="s">
        <v>25</v>
      </c>
      <c r="H1081" s="4">
        <v>1</v>
      </c>
      <c r="I1081" s="5">
        <v>35371.68</v>
      </c>
      <c r="J1081" s="6">
        <v>0.15</v>
      </c>
      <c r="K1081" s="5">
        <v>30065.93</v>
      </c>
      <c r="L1081" s="5">
        <v>21837.55</v>
      </c>
      <c r="M1081" s="5">
        <v>8228.3799999999992</v>
      </c>
      <c r="N1081" s="2" t="s">
        <v>26</v>
      </c>
    </row>
    <row r="1082" spans="1:14" ht="12" customHeight="1">
      <c r="A1082" s="2" t="s">
        <v>1183</v>
      </c>
      <c r="B1082" s="3">
        <v>45802</v>
      </c>
      <c r="C1082" s="2" t="s">
        <v>15</v>
      </c>
      <c r="D1082" s="2" t="s">
        <v>16</v>
      </c>
      <c r="E1082" s="2" t="s">
        <v>30</v>
      </c>
      <c r="F1082" s="2" t="s">
        <v>40</v>
      </c>
      <c r="G1082" s="2" t="s">
        <v>61</v>
      </c>
      <c r="H1082" s="4">
        <v>3</v>
      </c>
      <c r="I1082" s="5">
        <v>24439.27</v>
      </c>
      <c r="J1082" s="6">
        <v>0</v>
      </c>
      <c r="K1082" s="5">
        <v>73317.81</v>
      </c>
      <c r="L1082" s="5">
        <v>48411.95</v>
      </c>
      <c r="M1082" s="5">
        <v>24905.86</v>
      </c>
      <c r="N1082" s="2" t="s">
        <v>26</v>
      </c>
    </row>
    <row r="1083" spans="1:14" ht="12" customHeight="1">
      <c r="A1083" s="2" t="s">
        <v>1184</v>
      </c>
      <c r="B1083" s="3">
        <v>46021</v>
      </c>
      <c r="C1083" s="2" t="s">
        <v>15</v>
      </c>
      <c r="D1083" s="2" t="s">
        <v>16</v>
      </c>
      <c r="E1083" s="2" t="s">
        <v>44</v>
      </c>
      <c r="F1083" s="2" t="s">
        <v>80</v>
      </c>
      <c r="G1083" s="2" t="s">
        <v>61</v>
      </c>
      <c r="H1083" s="4">
        <v>7</v>
      </c>
      <c r="I1083" s="5">
        <v>40022.76</v>
      </c>
      <c r="J1083" s="6">
        <v>0.1</v>
      </c>
      <c r="K1083" s="5">
        <v>252143.39</v>
      </c>
      <c r="L1083" s="5">
        <v>219774.39</v>
      </c>
      <c r="M1083" s="5">
        <v>32369</v>
      </c>
      <c r="N1083" s="2" t="s">
        <v>33</v>
      </c>
    </row>
    <row r="1084" spans="1:14" ht="12" customHeight="1">
      <c r="A1084" s="2" t="s">
        <v>1185</v>
      </c>
      <c r="B1084" s="3" t="s">
        <v>1186</v>
      </c>
      <c r="C1084" s="2" t="s">
        <v>28</v>
      </c>
      <c r="D1084" s="2" t="s">
        <v>29</v>
      </c>
      <c r="E1084" s="2" t="s">
        <v>30</v>
      </c>
      <c r="F1084" s="2" t="s">
        <v>40</v>
      </c>
      <c r="G1084" s="2" t="s">
        <v>58</v>
      </c>
      <c r="H1084" s="4">
        <v>4</v>
      </c>
      <c r="I1084" s="5">
        <v>25039.84</v>
      </c>
      <c r="J1084" s="6">
        <v>0.5</v>
      </c>
      <c r="K1084" s="5">
        <v>95151.39</v>
      </c>
      <c r="L1084" s="5">
        <v>63650.76</v>
      </c>
      <c r="M1084" s="5">
        <v>31500.63</v>
      </c>
      <c r="N1084" s="2" t="s">
        <v>26</v>
      </c>
    </row>
    <row r="1085" spans="1:14" ht="12" customHeight="1">
      <c r="A1085" s="2" t="s">
        <v>1187</v>
      </c>
      <c r="B1085" s="3" t="s">
        <v>1188</v>
      </c>
      <c r="C1085" s="2" t="s">
        <v>28</v>
      </c>
      <c r="D1085" s="2" t="s">
        <v>29</v>
      </c>
      <c r="E1085" s="2" t="s">
        <v>49</v>
      </c>
      <c r="F1085" s="2" t="s">
        <v>107</v>
      </c>
      <c r="G1085" s="2" t="s">
        <v>47</v>
      </c>
      <c r="H1085" s="4">
        <v>7</v>
      </c>
      <c r="I1085" s="5">
        <v>5281.4</v>
      </c>
      <c r="J1085" s="6">
        <v>0.1</v>
      </c>
      <c r="K1085" s="5">
        <v>33272.82</v>
      </c>
      <c r="L1085" s="5">
        <v>18969.310000000001</v>
      </c>
      <c r="M1085" s="5">
        <v>14303.51</v>
      </c>
      <c r="N1085" s="2" t="s">
        <v>33</v>
      </c>
    </row>
    <row r="1086" spans="1:14" ht="12" customHeight="1">
      <c r="A1086" s="2" t="s">
        <v>1189</v>
      </c>
      <c r="B1086" s="3">
        <v>45821</v>
      </c>
      <c r="C1086" s="2" t="s">
        <v>28</v>
      </c>
      <c r="D1086" s="2" t="s">
        <v>56</v>
      </c>
      <c r="E1086" s="2" t="s">
        <v>49</v>
      </c>
      <c r="F1086" s="2" t="s">
        <v>57</v>
      </c>
      <c r="G1086" s="2" t="s">
        <v>19</v>
      </c>
      <c r="H1086" s="4">
        <v>4</v>
      </c>
      <c r="I1086" s="5">
        <v>11798.85</v>
      </c>
      <c r="J1086" s="6">
        <v>0</v>
      </c>
      <c r="K1086" s="5">
        <v>47195.4</v>
      </c>
      <c r="L1086" s="5">
        <v>25540.67</v>
      </c>
      <c r="M1086" s="5">
        <v>21654.73</v>
      </c>
      <c r="N1086" s="2" t="s">
        <v>59</v>
      </c>
    </row>
    <row r="1087" spans="1:14" ht="12" customHeight="1">
      <c r="A1087" s="2" t="s">
        <v>1190</v>
      </c>
      <c r="B1087" s="3">
        <v>45806</v>
      </c>
      <c r="C1087" s="2" t="s">
        <v>15</v>
      </c>
      <c r="D1087" s="2" t="s">
        <v>63</v>
      </c>
      <c r="E1087" s="2" t="s">
        <v>44</v>
      </c>
      <c r="F1087" s="2" t="s">
        <v>53</v>
      </c>
      <c r="G1087" s="2" t="s">
        <v>58</v>
      </c>
      <c r="H1087" s="4">
        <v>8</v>
      </c>
      <c r="I1087" s="5">
        <v>8637.44</v>
      </c>
      <c r="J1087" s="6">
        <v>0.15</v>
      </c>
      <c r="K1087" s="5">
        <v>58734.59</v>
      </c>
      <c r="L1087" s="5">
        <v>38668.46</v>
      </c>
      <c r="M1087" s="5">
        <v>20066.13</v>
      </c>
      <c r="N1087" s="2" t="s">
        <v>26</v>
      </c>
    </row>
    <row r="1088" spans="1:14" ht="12" customHeight="1">
      <c r="A1088" s="2" t="s">
        <v>1191</v>
      </c>
      <c r="B1088" s="3">
        <v>45791</v>
      </c>
      <c r="C1088" s="2" t="s">
        <v>28</v>
      </c>
      <c r="D1088" s="2" t="s">
        <v>52</v>
      </c>
      <c r="E1088" s="2" t="s">
        <v>30</v>
      </c>
      <c r="F1088" s="2" t="s">
        <v>38</v>
      </c>
      <c r="G1088" s="2" t="s">
        <v>64</v>
      </c>
      <c r="H1088" s="4">
        <v>6</v>
      </c>
      <c r="I1088" s="5">
        <v>26616.51</v>
      </c>
      <c r="J1088" s="6">
        <v>0.05</v>
      </c>
      <c r="K1088" s="5">
        <v>151714.10999999999</v>
      </c>
      <c r="L1088" s="5">
        <v>107974.51</v>
      </c>
      <c r="M1088" s="5">
        <v>43739.6</v>
      </c>
      <c r="N1088" s="2" t="s">
        <v>59</v>
      </c>
    </row>
    <row r="1089" spans="1:14" ht="12" customHeight="1">
      <c r="A1089" s="2" t="s">
        <v>1192</v>
      </c>
      <c r="B1089" s="3">
        <v>45743</v>
      </c>
      <c r="C1089" s="2" t="s">
        <v>28</v>
      </c>
      <c r="D1089" s="2" t="s">
        <v>29</v>
      </c>
      <c r="E1089" s="2" t="s">
        <v>44</v>
      </c>
      <c r="F1089" s="2" t="s">
        <v>69</v>
      </c>
      <c r="G1089" s="2" t="s">
        <v>47</v>
      </c>
      <c r="H1089" s="4">
        <v>1</v>
      </c>
      <c r="I1089" s="5">
        <v>36835.74</v>
      </c>
      <c r="J1089" s="6">
        <v>0.05</v>
      </c>
      <c r="K1089" s="5">
        <v>34993.949999999997</v>
      </c>
      <c r="L1089" s="5">
        <v>25622.78</v>
      </c>
      <c r="M1089" s="5">
        <v>9371.17</v>
      </c>
      <c r="N1089" s="2" t="s">
        <v>33</v>
      </c>
    </row>
    <row r="1090" spans="1:14" ht="12" customHeight="1">
      <c r="A1090" s="2" t="s">
        <v>1193</v>
      </c>
      <c r="B1090" s="3">
        <v>45704</v>
      </c>
      <c r="C1090" s="2" t="s">
        <v>15</v>
      </c>
      <c r="D1090" s="2" t="s">
        <v>43</v>
      </c>
      <c r="E1090" s="2" t="s">
        <v>30</v>
      </c>
      <c r="F1090" s="2" t="s">
        <v>86</v>
      </c>
      <c r="G1090" s="2" t="s">
        <v>32</v>
      </c>
      <c r="H1090" s="4">
        <v>1</v>
      </c>
      <c r="I1090" s="5">
        <v>35377.47</v>
      </c>
      <c r="J1090" s="6">
        <v>0</v>
      </c>
      <c r="K1090" s="5">
        <v>35377.47</v>
      </c>
      <c r="L1090" s="5">
        <v>23088.799999999999</v>
      </c>
      <c r="M1090" s="5">
        <v>12288.67</v>
      </c>
      <c r="N1090" s="2" t="s">
        <v>59</v>
      </c>
    </row>
    <row r="1091" spans="1:14" ht="12" customHeight="1">
      <c r="A1091" s="2" t="s">
        <v>1194</v>
      </c>
      <c r="B1091" s="3">
        <v>45860</v>
      </c>
      <c r="C1091" s="2" t="s">
        <v>15</v>
      </c>
      <c r="D1091" s="2" t="s">
        <v>16</v>
      </c>
      <c r="E1091" s="2" t="s">
        <v>17</v>
      </c>
      <c r="F1091" s="2" t="s">
        <v>24</v>
      </c>
      <c r="G1091" s="2" t="s">
        <v>47</v>
      </c>
      <c r="H1091" s="4">
        <v>6</v>
      </c>
      <c r="I1091" s="5">
        <v>92522.16</v>
      </c>
      <c r="J1091" s="6">
        <v>0</v>
      </c>
      <c r="K1091" s="5">
        <v>555132.96</v>
      </c>
      <c r="L1091" s="5">
        <v>419697.54</v>
      </c>
      <c r="M1091" s="5">
        <v>135435.42000000001</v>
      </c>
      <c r="N1091" s="2" t="s">
        <v>59</v>
      </c>
    </row>
    <row r="1092" spans="1:14" ht="12" customHeight="1">
      <c r="A1092" s="2" t="s">
        <v>1195</v>
      </c>
      <c r="B1092" s="3">
        <v>45676</v>
      </c>
      <c r="C1092" s="2" t="s">
        <v>22</v>
      </c>
      <c r="D1092" s="2" t="s">
        <v>35</v>
      </c>
      <c r="E1092" s="2" t="s">
        <v>30</v>
      </c>
      <c r="F1092" s="2" t="s">
        <v>40</v>
      </c>
      <c r="G1092" s="2" t="s">
        <v>64</v>
      </c>
      <c r="H1092" s="4">
        <v>4</v>
      </c>
      <c r="I1092" s="5">
        <v>24707.57</v>
      </c>
      <c r="J1092" s="6">
        <v>0</v>
      </c>
      <c r="K1092" s="5">
        <v>98830.28</v>
      </c>
      <c r="L1092" s="5">
        <v>65462.62</v>
      </c>
      <c r="M1092" s="5">
        <v>33367.660000000003</v>
      </c>
      <c r="N1092" s="2" t="s">
        <v>33</v>
      </c>
    </row>
    <row r="1093" spans="1:14" ht="12" customHeight="1">
      <c r="A1093" s="2" t="s">
        <v>1196</v>
      </c>
      <c r="B1093" s="3">
        <v>46010</v>
      </c>
      <c r="C1093" s="2" t="s">
        <v>15</v>
      </c>
      <c r="D1093" s="2" t="s">
        <v>63</v>
      </c>
      <c r="E1093" s="2" t="s">
        <v>49</v>
      </c>
      <c r="F1093" s="2" t="s">
        <v>91</v>
      </c>
      <c r="G1093" s="2" t="s">
        <v>47</v>
      </c>
      <c r="H1093" s="4">
        <v>3</v>
      </c>
      <c r="I1093" s="5">
        <v>6274.41</v>
      </c>
      <c r="J1093" s="6">
        <v>0</v>
      </c>
      <c r="K1093" s="5">
        <v>18823.23</v>
      </c>
      <c r="L1093" s="5">
        <v>10649.88</v>
      </c>
      <c r="M1093" s="5">
        <v>8173.35</v>
      </c>
      <c r="N1093" s="2" t="s">
        <v>33</v>
      </c>
    </row>
    <row r="1094" spans="1:14" ht="12" customHeight="1">
      <c r="A1094" s="2" t="s">
        <v>1197</v>
      </c>
      <c r="B1094" s="3">
        <v>45701</v>
      </c>
      <c r="C1094" s="2" t="s">
        <v>28</v>
      </c>
      <c r="D1094" s="2" t="s">
        <v>29</v>
      </c>
      <c r="E1094" s="2" t="s">
        <v>1198</v>
      </c>
      <c r="F1094" s="2" t="s">
        <v>114</v>
      </c>
      <c r="G1094" s="2" t="s">
        <v>19</v>
      </c>
      <c r="H1094" s="4">
        <v>7</v>
      </c>
      <c r="I1094" s="5">
        <v>48931.53</v>
      </c>
      <c r="J1094" s="6">
        <v>0.15</v>
      </c>
      <c r="K1094" s="5">
        <v>291142.59999999998</v>
      </c>
      <c r="L1094" s="5">
        <v>263513.38</v>
      </c>
      <c r="M1094" s="5">
        <v>27629.22</v>
      </c>
      <c r="N1094" s="2" t="s">
        <v>33</v>
      </c>
    </row>
    <row r="1095" spans="1:14" ht="12" customHeight="1">
      <c r="A1095" s="2" t="s">
        <v>1199</v>
      </c>
      <c r="B1095" s="3">
        <v>45735</v>
      </c>
      <c r="C1095" s="2" t="s">
        <v>15</v>
      </c>
      <c r="D1095" s="2" t="s">
        <v>43</v>
      </c>
      <c r="E1095" s="2" t="s">
        <v>49</v>
      </c>
      <c r="F1095" s="2" t="s">
        <v>91</v>
      </c>
      <c r="G1095" s="2" t="s">
        <v>19</v>
      </c>
      <c r="H1095" s="4">
        <v>1</v>
      </c>
      <c r="I1095" s="5">
        <v>6752.36</v>
      </c>
      <c r="J1095" s="6">
        <v>0.1</v>
      </c>
      <c r="K1095" s="5">
        <v>6077.12</v>
      </c>
      <c r="L1095" s="5">
        <v>3644.43</v>
      </c>
      <c r="M1095" s="5">
        <v>2432.69</v>
      </c>
      <c r="N1095" s="2" t="s">
        <v>20</v>
      </c>
    </row>
    <row r="1096" spans="1:14" ht="12" customHeight="1">
      <c r="A1096" s="2" t="s">
        <v>1200</v>
      </c>
      <c r="B1096" s="3">
        <v>45892</v>
      </c>
      <c r="C1096" s="2" t="s">
        <v>22</v>
      </c>
      <c r="D1096" s="2" t="s">
        <v>37</v>
      </c>
      <c r="E1096" s="2" t="s">
        <v>30</v>
      </c>
      <c r="F1096" s="2" t="s">
        <v>38</v>
      </c>
      <c r="G1096" s="2" t="s">
        <v>47</v>
      </c>
      <c r="H1096" s="4">
        <v>7</v>
      </c>
      <c r="I1096" s="5">
        <v>27053.38</v>
      </c>
      <c r="J1096" s="6">
        <v>0</v>
      </c>
      <c r="K1096" s="5">
        <v>189373.66</v>
      </c>
      <c r="L1096" s="5">
        <v>124885</v>
      </c>
      <c r="M1096" s="5">
        <v>64488.66</v>
      </c>
      <c r="N1096" s="2" t="s">
        <v>33</v>
      </c>
    </row>
    <row r="1097" spans="1:14" ht="12" customHeight="1">
      <c r="A1097" s="2" t="s">
        <v>1201</v>
      </c>
      <c r="B1097" s="3">
        <v>45945</v>
      </c>
      <c r="C1097" s="2" t="s">
        <v>28</v>
      </c>
      <c r="D1097" s="2" t="s">
        <v>29</v>
      </c>
      <c r="E1097" s="2" t="s">
        <v>49</v>
      </c>
      <c r="F1097" s="2" t="s">
        <v>107</v>
      </c>
      <c r="G1097" s="2" t="s">
        <v>58</v>
      </c>
      <c r="H1097" s="4">
        <v>5</v>
      </c>
      <c r="I1097" s="5">
        <v>5141.37</v>
      </c>
      <c r="J1097" s="6">
        <v>0</v>
      </c>
      <c r="K1097" s="5">
        <v>25706.85</v>
      </c>
      <c r="L1097" s="5">
        <v>14008.71</v>
      </c>
      <c r="M1097" s="5">
        <v>11698.14</v>
      </c>
      <c r="N1097" s="2" t="s">
        <v>20</v>
      </c>
    </row>
    <row r="1098" spans="1:14" ht="12" customHeight="1">
      <c r="A1098" s="2" t="s">
        <v>1202</v>
      </c>
      <c r="B1098" s="3">
        <v>45848</v>
      </c>
      <c r="C1098" s="2" t="s">
        <v>28</v>
      </c>
      <c r="D1098" s="2" t="s">
        <v>29</v>
      </c>
      <c r="E1098" s="2" t="s">
        <v>44</v>
      </c>
      <c r="F1098" s="2" t="s">
        <v>53</v>
      </c>
      <c r="G1098" s="2" t="s">
        <v>19</v>
      </c>
      <c r="H1098" s="4">
        <v>1</v>
      </c>
      <c r="I1098" s="5">
        <v>9170.69</v>
      </c>
      <c r="J1098" s="6">
        <v>0.15</v>
      </c>
      <c r="K1098" s="5">
        <v>7795.09</v>
      </c>
      <c r="L1098" s="5">
        <v>4888.0200000000004</v>
      </c>
      <c r="M1098" s="5">
        <v>2907.07</v>
      </c>
      <c r="N1098" s="2" t="s">
        <v>20</v>
      </c>
    </row>
    <row r="1099" spans="1:14" ht="12" customHeight="1">
      <c r="A1099" s="2" t="s">
        <v>1203</v>
      </c>
      <c r="B1099" s="3">
        <v>45987</v>
      </c>
      <c r="C1099" s="2" t="s">
        <v>22</v>
      </c>
      <c r="D1099" s="2" t="s">
        <v>37</v>
      </c>
      <c r="E1099" s="2" t="s">
        <v>17</v>
      </c>
      <c r="F1099" s="2" t="s">
        <v>114</v>
      </c>
      <c r="G1099" s="2" t="s">
        <v>58</v>
      </c>
      <c r="H1099" s="4">
        <v>4</v>
      </c>
      <c r="I1099" s="5">
        <v>51559.75</v>
      </c>
      <c r="J1099" s="6">
        <v>0.05</v>
      </c>
      <c r="K1099" s="5">
        <v>195927.05</v>
      </c>
      <c r="L1099" s="5">
        <v>147375.43</v>
      </c>
      <c r="M1099" s="5">
        <v>48551.62</v>
      </c>
      <c r="N1099" s="2" t="s">
        <v>59</v>
      </c>
    </row>
    <row r="1100" spans="1:14" ht="12" customHeight="1">
      <c r="A1100" s="2" t="s">
        <v>1204</v>
      </c>
      <c r="B1100" s="3">
        <v>45700</v>
      </c>
      <c r="C1100" s="2" t="s">
        <v>22</v>
      </c>
      <c r="D1100" s="2" t="s">
        <v>37</v>
      </c>
      <c r="E1100" s="2" t="s">
        <v>17</v>
      </c>
      <c r="F1100" s="2" t="s">
        <v>75</v>
      </c>
      <c r="G1100" s="2" t="s">
        <v>61</v>
      </c>
      <c r="H1100" s="4">
        <v>3</v>
      </c>
      <c r="I1100" s="5">
        <v>176347.38</v>
      </c>
      <c r="J1100" s="6">
        <v>0.05</v>
      </c>
      <c r="K1100" s="5">
        <v>502590.03</v>
      </c>
      <c r="L1100" s="5">
        <v>430915.47</v>
      </c>
      <c r="M1100" s="5">
        <v>71674.559999999998</v>
      </c>
      <c r="N1100" s="2" t="s">
        <v>20</v>
      </c>
    </row>
    <row r="1101" spans="1:14" ht="12" customHeight="1">
      <c r="A1101" s="2" t="s">
        <v>1205</v>
      </c>
      <c r="B1101" s="3">
        <v>45735</v>
      </c>
      <c r="C1101" s="2" t="s">
        <v>15</v>
      </c>
      <c r="D1101" s="2" t="s">
        <v>63</v>
      </c>
      <c r="E1101" s="2" t="s">
        <v>44</v>
      </c>
      <c r="F1101" s="2" t="s">
        <v>80</v>
      </c>
      <c r="G1101" s="2" t="s">
        <v>64</v>
      </c>
      <c r="H1101" s="4">
        <v>8</v>
      </c>
      <c r="I1101" s="5">
        <v>41293.919999999998</v>
      </c>
      <c r="J1101" s="6">
        <v>0.05</v>
      </c>
      <c r="K1101" s="5">
        <v>313833.78999999998</v>
      </c>
      <c r="L1101" s="5">
        <v>253415.27</v>
      </c>
      <c r="M1101" s="5">
        <v>60418.52</v>
      </c>
      <c r="N1101" s="2" t="s">
        <v>59</v>
      </c>
    </row>
    <row r="1102" spans="1:14" ht="12" customHeight="1">
      <c r="A1102" s="2" t="s">
        <v>1206</v>
      </c>
      <c r="B1102" s="3">
        <v>45937</v>
      </c>
      <c r="C1102" s="2" t="s">
        <v>15</v>
      </c>
      <c r="D1102" s="2" t="s">
        <v>43</v>
      </c>
      <c r="E1102" s="2" t="s">
        <v>49</v>
      </c>
      <c r="F1102" s="2" t="s">
        <v>91</v>
      </c>
      <c r="G1102" s="2" t="s">
        <v>70</v>
      </c>
      <c r="H1102" s="4">
        <v>5</v>
      </c>
      <c r="I1102" s="5">
        <v>6698.01</v>
      </c>
      <c r="J1102" s="6">
        <v>0.1</v>
      </c>
      <c r="K1102" s="5">
        <v>30141.05</v>
      </c>
      <c r="L1102" s="5">
        <v>18461.32</v>
      </c>
      <c r="M1102" s="5">
        <v>11679.73</v>
      </c>
      <c r="N1102" s="2" t="s">
        <v>59</v>
      </c>
    </row>
    <row r="1103" spans="1:14" ht="12" customHeight="1">
      <c r="A1103" s="2" t="s">
        <v>1207</v>
      </c>
      <c r="B1103" s="3">
        <v>45699</v>
      </c>
      <c r="C1103" s="2" t="s">
        <v>15</v>
      </c>
      <c r="D1103" s="2" t="s">
        <v>16</v>
      </c>
      <c r="E1103" s="2" t="s">
        <v>30</v>
      </c>
      <c r="F1103" s="2" t="s">
        <v>40</v>
      </c>
      <c r="G1103" s="2" t="s">
        <v>19</v>
      </c>
      <c r="H1103" s="4">
        <v>8</v>
      </c>
      <c r="I1103" s="5">
        <v>24556.57</v>
      </c>
      <c r="J1103" s="6">
        <v>0.15</v>
      </c>
      <c r="K1103" s="5">
        <v>166984.68</v>
      </c>
      <c r="L1103" s="5">
        <v>131391.9</v>
      </c>
      <c r="M1103" s="5">
        <v>35592.78</v>
      </c>
      <c r="N1103" s="2" t="s">
        <v>20</v>
      </c>
    </row>
    <row r="1104" spans="1:14" ht="12" customHeight="1">
      <c r="A1104" s="2" t="s">
        <v>1208</v>
      </c>
      <c r="B1104" s="3">
        <v>45759</v>
      </c>
      <c r="C1104" s="2" t="s">
        <v>15</v>
      </c>
      <c r="D1104" s="2" t="s">
        <v>16</v>
      </c>
      <c r="E1104" s="2" t="s">
        <v>49</v>
      </c>
      <c r="F1104" s="2" t="s">
        <v>50</v>
      </c>
      <c r="G1104" s="2" t="s">
        <v>70</v>
      </c>
      <c r="H1104" s="4">
        <v>1</v>
      </c>
      <c r="I1104" s="5">
        <v>3972.93</v>
      </c>
      <c r="J1104" s="6">
        <v>0.15</v>
      </c>
      <c r="K1104" s="5">
        <v>3376.99</v>
      </c>
      <c r="L1104" s="5">
        <v>2054.86</v>
      </c>
      <c r="M1104" s="5">
        <v>1322.13</v>
      </c>
      <c r="N1104" s="2" t="s">
        <v>33</v>
      </c>
    </row>
    <row r="1105" spans="1:14" ht="12" customHeight="1">
      <c r="A1105" s="2" t="s">
        <v>1209</v>
      </c>
      <c r="B1105" s="3">
        <v>45662</v>
      </c>
      <c r="C1105" s="2" t="s">
        <v>22</v>
      </c>
      <c r="D1105" s="2" t="s">
        <v>35</v>
      </c>
      <c r="E1105" s="2" t="s">
        <v>907</v>
      </c>
      <c r="F1105" s="2" t="s">
        <v>50</v>
      </c>
      <c r="G1105" s="2" t="s">
        <v>1210</v>
      </c>
      <c r="H1105" s="4">
        <v>8</v>
      </c>
      <c r="I1105" s="5">
        <v>3957.99</v>
      </c>
      <c r="J1105" s="6">
        <v>0.1</v>
      </c>
      <c r="K1105" s="5">
        <v>28497.53</v>
      </c>
      <c r="L1105" s="5">
        <v>16787.740000000002</v>
      </c>
      <c r="M1105" s="5">
        <v>11709.79</v>
      </c>
      <c r="N1105" s="2" t="s">
        <v>33</v>
      </c>
    </row>
    <row r="1106" spans="1:14" ht="12" customHeight="1">
      <c r="A1106" s="2" t="s">
        <v>1211</v>
      </c>
      <c r="B1106" s="3">
        <v>45925</v>
      </c>
      <c r="C1106" s="2" t="s">
        <v>28</v>
      </c>
      <c r="D1106" s="2" t="s">
        <v>56</v>
      </c>
      <c r="E1106" s="2" t="s">
        <v>30</v>
      </c>
      <c r="F1106" s="2" t="s">
        <v>38</v>
      </c>
      <c r="G1106" s="2" t="s">
        <v>47</v>
      </c>
      <c r="H1106" s="4">
        <v>6</v>
      </c>
      <c r="I1106" s="5">
        <v>27275.66</v>
      </c>
      <c r="J1106" s="6">
        <v>0</v>
      </c>
      <c r="K1106" s="5">
        <v>163653.96</v>
      </c>
      <c r="L1106" s="5">
        <v>105829.87</v>
      </c>
      <c r="M1106" s="5">
        <v>57824.09</v>
      </c>
      <c r="N1106" s="2" t="s">
        <v>59</v>
      </c>
    </row>
    <row r="1107" spans="1:14" ht="12" customHeight="1">
      <c r="A1107" s="2" t="s">
        <v>1212</v>
      </c>
      <c r="B1107" s="3">
        <v>45727</v>
      </c>
      <c r="C1107" s="2" t="s">
        <v>15</v>
      </c>
      <c r="D1107" s="2" t="s">
        <v>43</v>
      </c>
      <c r="E1107" s="2" t="s">
        <v>30</v>
      </c>
      <c r="F1107" s="2" t="s">
        <v>40</v>
      </c>
      <c r="G1107" s="2" t="s">
        <v>61</v>
      </c>
      <c r="H1107" s="4">
        <v>8</v>
      </c>
      <c r="I1107" s="5">
        <v>23365.62</v>
      </c>
      <c r="J1107" s="6">
        <v>0.05</v>
      </c>
      <c r="K1107" s="5">
        <v>177578.71</v>
      </c>
      <c r="L1107" s="5">
        <v>130810.8</v>
      </c>
      <c r="M1107" s="5">
        <v>46767.91</v>
      </c>
      <c r="N1107" s="2" t="s">
        <v>20</v>
      </c>
    </row>
    <row r="1108" spans="1:14" ht="12" customHeight="1">
      <c r="A1108" s="2" t="s">
        <v>1213</v>
      </c>
      <c r="B1108" s="3">
        <v>45754</v>
      </c>
      <c r="C1108" s="2" t="s">
        <v>22</v>
      </c>
      <c r="D1108" s="2" t="s">
        <v>35</v>
      </c>
      <c r="E1108" s="2" t="s">
        <v>49</v>
      </c>
      <c r="F1108" s="2" t="s">
        <v>50</v>
      </c>
      <c r="G1108" s="2" t="s">
        <v>47</v>
      </c>
      <c r="H1108" s="4">
        <v>3</v>
      </c>
      <c r="I1108" s="5">
        <v>4180.17</v>
      </c>
      <c r="J1108" s="6">
        <v>0</v>
      </c>
      <c r="K1108" s="5">
        <v>12540.51</v>
      </c>
      <c r="L1108" s="5">
        <v>6248.52</v>
      </c>
      <c r="M1108" s="5">
        <v>6291.99</v>
      </c>
      <c r="N1108" s="2" t="s">
        <v>33</v>
      </c>
    </row>
    <row r="1109" spans="1:14" ht="12" customHeight="1">
      <c r="A1109" s="2" t="s">
        <v>1214</v>
      </c>
      <c r="B1109" s="3">
        <v>45837</v>
      </c>
      <c r="C1109" s="2" t="s">
        <v>15</v>
      </c>
      <c r="D1109" s="2" t="s">
        <v>63</v>
      </c>
      <c r="E1109" s="2" t="s">
        <v>30</v>
      </c>
      <c r="F1109" s="2" t="s">
        <v>31</v>
      </c>
      <c r="G1109" s="2" t="s">
        <v>47</v>
      </c>
      <c r="H1109" s="4">
        <v>1</v>
      </c>
      <c r="I1109" s="5">
        <v>137699.41</v>
      </c>
      <c r="J1109" s="6">
        <v>0.1</v>
      </c>
      <c r="K1109" s="5">
        <v>123929.47</v>
      </c>
      <c r="L1109" s="5">
        <v>99076.12</v>
      </c>
      <c r="M1109" s="5">
        <v>24853.35</v>
      </c>
      <c r="N1109" s="2" t="s">
        <v>59</v>
      </c>
    </row>
    <row r="1110" spans="1:14" ht="12" customHeight="1">
      <c r="A1110" s="2" t="s">
        <v>1215</v>
      </c>
      <c r="B1110" s="3">
        <v>45814</v>
      </c>
      <c r="C1110" s="2" t="s">
        <v>15</v>
      </c>
      <c r="D1110" s="2" t="s">
        <v>16</v>
      </c>
      <c r="E1110" s="2" t="s">
        <v>44</v>
      </c>
      <c r="F1110" s="2" t="s">
        <v>69</v>
      </c>
      <c r="G1110" s="2" t="s">
        <v>32</v>
      </c>
      <c r="H1110" s="4">
        <v>5</v>
      </c>
      <c r="I1110" s="5">
        <v>39950.19</v>
      </c>
      <c r="J1110" s="6">
        <v>0.05</v>
      </c>
      <c r="K1110" s="5">
        <v>189763.4</v>
      </c>
      <c r="L1110" s="5">
        <v>131418.66</v>
      </c>
      <c r="M1110" s="5">
        <v>58344.74</v>
      </c>
      <c r="N1110" s="2" t="s">
        <v>20</v>
      </c>
    </row>
    <row r="1111" spans="1:14" ht="12" customHeight="1">
      <c r="A1111" s="2" t="s">
        <v>1216</v>
      </c>
      <c r="B1111" s="3">
        <v>45792</v>
      </c>
      <c r="C1111" s="2" t="s">
        <v>28</v>
      </c>
      <c r="D1111" s="2" t="s">
        <v>29</v>
      </c>
      <c r="E1111" s="2" t="s">
        <v>44</v>
      </c>
      <c r="F1111" s="2" t="s">
        <v>80</v>
      </c>
      <c r="G1111" s="2" t="s">
        <v>19</v>
      </c>
      <c r="H1111" s="4">
        <v>3</v>
      </c>
      <c r="I1111" s="5">
        <v>40268.480000000003</v>
      </c>
      <c r="J1111" s="6">
        <v>0</v>
      </c>
      <c r="K1111" s="5">
        <v>120805.44</v>
      </c>
      <c r="L1111" s="5">
        <v>92032.71</v>
      </c>
      <c r="M1111" s="5">
        <v>28772.73</v>
      </c>
      <c r="N1111" s="2" t="s">
        <v>26</v>
      </c>
    </row>
    <row r="1112" spans="1:14" ht="12" customHeight="1">
      <c r="A1112" s="2" t="s">
        <v>1217</v>
      </c>
      <c r="B1112" s="3">
        <v>46000</v>
      </c>
      <c r="C1112" s="2" t="s">
        <v>15</v>
      </c>
      <c r="D1112" s="2" t="s">
        <v>43</v>
      </c>
      <c r="E1112" s="2" t="s">
        <v>49</v>
      </c>
      <c r="F1112" s="2" t="s">
        <v>57</v>
      </c>
      <c r="G1112" s="2" t="s">
        <v>70</v>
      </c>
      <c r="H1112" s="4">
        <v>5</v>
      </c>
      <c r="I1112" s="5">
        <v>12358.65</v>
      </c>
      <c r="J1112" s="6">
        <v>0.15</v>
      </c>
      <c r="K1112" s="5">
        <v>52524.26</v>
      </c>
      <c r="L1112" s="5">
        <v>33507.29</v>
      </c>
      <c r="M1112" s="5">
        <v>19016.97</v>
      </c>
      <c r="N1112" s="2" t="s">
        <v>26</v>
      </c>
    </row>
    <row r="1113" spans="1:14" ht="12" customHeight="1">
      <c r="A1113" s="2" t="s">
        <v>1218</v>
      </c>
      <c r="B1113" s="3">
        <v>45742</v>
      </c>
      <c r="C1113" s="2" t="s">
        <v>22</v>
      </c>
      <c r="D1113" s="2" t="s">
        <v>23</v>
      </c>
      <c r="E1113" s="2" t="s">
        <v>44</v>
      </c>
      <c r="F1113" s="2" t="s">
        <v>45</v>
      </c>
      <c r="G1113" s="2" t="s">
        <v>70</v>
      </c>
      <c r="H1113" s="4">
        <v>2</v>
      </c>
      <c r="I1113" s="5">
        <v>30458.73</v>
      </c>
      <c r="J1113" s="6">
        <v>0.1</v>
      </c>
      <c r="K1113" s="5">
        <v>54825.71</v>
      </c>
      <c r="L1113" s="5">
        <v>37249.67</v>
      </c>
      <c r="M1113" s="5">
        <v>17576.04</v>
      </c>
      <c r="N1113" s="2" t="s">
        <v>33</v>
      </c>
    </row>
    <row r="1114" spans="1:14" ht="12" customHeight="1">
      <c r="A1114" s="2" t="s">
        <v>1219</v>
      </c>
      <c r="B1114" s="3">
        <v>45914</v>
      </c>
      <c r="C1114" s="2" t="s">
        <v>28</v>
      </c>
      <c r="D1114" s="2" t="s">
        <v>52</v>
      </c>
      <c r="E1114" s="2" t="s">
        <v>17</v>
      </c>
      <c r="F1114" s="2" t="s">
        <v>24</v>
      </c>
      <c r="G1114" s="2" t="s">
        <v>19</v>
      </c>
      <c r="H1114" s="4">
        <v>8</v>
      </c>
      <c r="I1114" s="5">
        <v>90901.97</v>
      </c>
      <c r="J1114" s="6">
        <v>0.05</v>
      </c>
      <c r="K1114" s="5">
        <v>690854.97</v>
      </c>
      <c r="L1114" s="5">
        <v>540135.56000000006</v>
      </c>
      <c r="M1114" s="5">
        <v>150719.41</v>
      </c>
      <c r="N1114" s="2" t="s">
        <v>26</v>
      </c>
    </row>
    <row r="1115" spans="1:14" ht="12" customHeight="1">
      <c r="A1115" s="2" t="s">
        <v>1220</v>
      </c>
      <c r="B1115" s="3">
        <v>45698</v>
      </c>
      <c r="C1115" s="2" t="s">
        <v>15</v>
      </c>
      <c r="D1115" s="2" t="s">
        <v>63</v>
      </c>
      <c r="E1115" s="2" t="s">
        <v>49</v>
      </c>
      <c r="F1115" s="2" t="s">
        <v>107</v>
      </c>
      <c r="G1115" s="2" t="s">
        <v>47</v>
      </c>
      <c r="H1115" s="4">
        <v>8</v>
      </c>
      <c r="I1115" s="5">
        <v>5079.3500000000004</v>
      </c>
      <c r="J1115" s="6">
        <v>0.1</v>
      </c>
      <c r="K1115" s="5">
        <v>36571.32</v>
      </c>
      <c r="L1115" s="5">
        <v>21431.26</v>
      </c>
      <c r="M1115" s="5">
        <v>15140.06</v>
      </c>
      <c r="N1115" s="2" t="s">
        <v>26</v>
      </c>
    </row>
    <row r="1116" spans="1:14" ht="12" customHeight="1">
      <c r="A1116" s="2" t="s">
        <v>1221</v>
      </c>
      <c r="B1116" s="3">
        <v>45943</v>
      </c>
      <c r="C1116" s="2" t="s">
        <v>15</v>
      </c>
      <c r="D1116" s="2" t="s">
        <v>63</v>
      </c>
      <c r="E1116" s="2" t="s">
        <v>44</v>
      </c>
      <c r="F1116" s="2" t="s">
        <v>53</v>
      </c>
      <c r="G1116" s="2" t="s">
        <v>25</v>
      </c>
      <c r="H1116" s="4">
        <v>8</v>
      </c>
      <c r="I1116" s="5">
        <v>8486.5300000000007</v>
      </c>
      <c r="J1116" s="6">
        <v>0.05</v>
      </c>
      <c r="K1116" s="5">
        <v>64497.63</v>
      </c>
      <c r="L1116" s="5">
        <v>39904.65</v>
      </c>
      <c r="M1116" s="5">
        <v>24592.98</v>
      </c>
      <c r="N1116" s="2" t="s">
        <v>59</v>
      </c>
    </row>
    <row r="1117" spans="1:14" ht="12" customHeight="1">
      <c r="A1117" s="2" t="s">
        <v>1222</v>
      </c>
      <c r="B1117" s="3">
        <v>45755</v>
      </c>
      <c r="C1117" s="2" t="s">
        <v>22</v>
      </c>
      <c r="D1117" s="2" t="s">
        <v>23</v>
      </c>
      <c r="E1117" s="2" t="s">
        <v>30</v>
      </c>
      <c r="F1117" s="2" t="s">
        <v>40</v>
      </c>
      <c r="G1117" s="2" t="s">
        <v>25</v>
      </c>
      <c r="H1117" s="4">
        <v>6</v>
      </c>
      <c r="I1117" s="5">
        <v>25395.69</v>
      </c>
      <c r="J1117" s="6">
        <v>0</v>
      </c>
      <c r="K1117" s="5">
        <v>152374.14000000001</v>
      </c>
      <c r="L1117" s="5">
        <v>96050.240000000005</v>
      </c>
      <c r="M1117" s="5">
        <v>56323.9</v>
      </c>
      <c r="N1117" s="2" t="s">
        <v>59</v>
      </c>
    </row>
    <row r="1118" spans="1:14" ht="12" customHeight="1">
      <c r="A1118" s="2" t="s">
        <v>1223</v>
      </c>
      <c r="B1118" s="3">
        <v>45816</v>
      </c>
      <c r="C1118" s="2" t="s">
        <v>22</v>
      </c>
      <c r="D1118" s="2" t="s">
        <v>37</v>
      </c>
      <c r="E1118" s="2" t="s">
        <v>17</v>
      </c>
      <c r="F1118" s="2" t="s">
        <v>24</v>
      </c>
      <c r="G1118" s="2" t="s">
        <v>32</v>
      </c>
      <c r="H1118" s="4">
        <v>8</v>
      </c>
      <c r="I1118" s="5">
        <v>89953.79</v>
      </c>
      <c r="J1118" s="6">
        <v>0</v>
      </c>
      <c r="K1118" s="5">
        <v>719630.32</v>
      </c>
      <c r="L1118" s="5">
        <v>527893.80000000005</v>
      </c>
      <c r="M1118" s="5">
        <v>191736.52</v>
      </c>
      <c r="N1118" s="2" t="s">
        <v>33</v>
      </c>
    </row>
    <row r="1119" spans="1:14" ht="12" customHeight="1">
      <c r="A1119" s="2" t="s">
        <v>1224</v>
      </c>
      <c r="B1119" s="3">
        <v>45680</v>
      </c>
      <c r="C1119" s="2" t="s">
        <v>28</v>
      </c>
      <c r="D1119" s="2" t="s">
        <v>56</v>
      </c>
      <c r="E1119" s="2" t="s">
        <v>17</v>
      </c>
      <c r="F1119" s="2" t="s">
        <v>18</v>
      </c>
      <c r="G1119" s="2" t="s">
        <v>58</v>
      </c>
      <c r="H1119" s="4">
        <v>1</v>
      </c>
      <c r="I1119" s="5">
        <v>14841.55</v>
      </c>
      <c r="J1119" s="6">
        <v>0.15</v>
      </c>
      <c r="K1119" s="5">
        <v>12615.32</v>
      </c>
      <c r="L1119" s="5">
        <v>8228.7900000000009</v>
      </c>
      <c r="M1119" s="5">
        <v>4386.53</v>
      </c>
      <c r="N1119" s="2" t="s">
        <v>59</v>
      </c>
    </row>
    <row r="1120" spans="1:14" ht="12" customHeight="1">
      <c r="A1120" s="2" t="s">
        <v>1225</v>
      </c>
      <c r="B1120" s="3">
        <v>45989</v>
      </c>
      <c r="C1120" s="2" t="s">
        <v>15</v>
      </c>
      <c r="D1120" s="2" t="s">
        <v>16</v>
      </c>
      <c r="E1120" s="2" t="s">
        <v>17</v>
      </c>
      <c r="F1120" s="2" t="s">
        <v>114</v>
      </c>
      <c r="G1120" s="2" t="s">
        <v>19</v>
      </c>
      <c r="H1120" s="4">
        <v>8</v>
      </c>
      <c r="I1120" s="5">
        <v>51919.3</v>
      </c>
      <c r="J1120" s="6">
        <v>0.05</v>
      </c>
      <c r="K1120" s="5">
        <v>394586.68</v>
      </c>
      <c r="L1120" s="5">
        <v>298568.69</v>
      </c>
      <c r="M1120" s="5">
        <v>96017.99</v>
      </c>
      <c r="N1120" s="2" t="s">
        <v>33</v>
      </c>
    </row>
    <row r="1121" spans="1:14" ht="12" customHeight="1">
      <c r="A1121" s="2" t="s">
        <v>1226</v>
      </c>
      <c r="B1121" s="3">
        <v>45984</v>
      </c>
      <c r="C1121" s="2" t="s">
        <v>28</v>
      </c>
      <c r="D1121" s="2" t="s">
        <v>52</v>
      </c>
      <c r="E1121" s="2" t="s">
        <v>44</v>
      </c>
      <c r="F1121" s="2" t="s">
        <v>45</v>
      </c>
      <c r="G1121" s="2" t="s">
        <v>64</v>
      </c>
      <c r="H1121" s="4">
        <v>3</v>
      </c>
      <c r="I1121" s="5">
        <v>26597.68</v>
      </c>
      <c r="J1121" s="6">
        <v>0</v>
      </c>
      <c r="K1121" s="5">
        <v>79793.039999999994</v>
      </c>
      <c r="L1121" s="5">
        <v>55513.63</v>
      </c>
      <c r="M1121" s="5">
        <v>24279.41</v>
      </c>
      <c r="N1121" s="2" t="s">
        <v>59</v>
      </c>
    </row>
    <row r="1122" spans="1:14" ht="12" customHeight="1">
      <c r="A1122" s="2" t="s">
        <v>1227</v>
      </c>
      <c r="B1122" s="3">
        <v>45820</v>
      </c>
      <c r="C1122" s="2" t="s">
        <v>22</v>
      </c>
      <c r="D1122" s="2" t="s">
        <v>37</v>
      </c>
      <c r="E1122" s="2" t="s">
        <v>30</v>
      </c>
      <c r="F1122" s="2" t="s">
        <v>86</v>
      </c>
      <c r="G1122" s="2" t="s">
        <v>61</v>
      </c>
      <c r="H1122" s="4">
        <v>1</v>
      </c>
      <c r="I1122" s="5">
        <v>32116.47</v>
      </c>
      <c r="J1122" s="6">
        <v>0.15</v>
      </c>
      <c r="K1122" s="5">
        <v>27299</v>
      </c>
      <c r="L1122" s="5">
        <v>23160.959999999999</v>
      </c>
      <c r="M1122" s="5">
        <v>4138.04</v>
      </c>
      <c r="N1122" s="2" t="s">
        <v>59</v>
      </c>
    </row>
    <row r="1123" spans="1:14" ht="12" customHeight="1">
      <c r="A1123" s="2" t="s">
        <v>1228</v>
      </c>
      <c r="B1123" s="3" t="s">
        <v>1229</v>
      </c>
      <c r="C1123" s="2" t="s">
        <v>15</v>
      </c>
      <c r="D1123" s="2" t="s">
        <v>16</v>
      </c>
      <c r="E1123" s="2" t="s">
        <v>49</v>
      </c>
      <c r="F1123" s="2" t="s">
        <v>107</v>
      </c>
      <c r="G1123" s="2" t="s">
        <v>19</v>
      </c>
      <c r="H1123" s="4">
        <v>1</v>
      </c>
      <c r="I1123" s="5">
        <v>4838.04</v>
      </c>
      <c r="J1123" s="6">
        <v>0.1</v>
      </c>
      <c r="K1123" s="5">
        <v>4354.24</v>
      </c>
      <c r="L1123" s="5">
        <v>2646.88</v>
      </c>
      <c r="M1123" s="5">
        <v>1707.36</v>
      </c>
      <c r="N1123" s="2" t="s">
        <v>26</v>
      </c>
    </row>
    <row r="1124" spans="1:14" ht="12" customHeight="1">
      <c r="A1124" s="2" t="s">
        <v>1230</v>
      </c>
      <c r="B1124" s="3">
        <v>45659</v>
      </c>
      <c r="C1124" s="2" t="s">
        <v>28</v>
      </c>
      <c r="D1124" s="2" t="s">
        <v>52</v>
      </c>
      <c r="E1124" s="2" t="s">
        <v>30</v>
      </c>
      <c r="F1124" s="2" t="s">
        <v>86</v>
      </c>
      <c r="G1124" s="2" t="s">
        <v>58</v>
      </c>
      <c r="H1124" s="4">
        <v>7</v>
      </c>
      <c r="I1124" s="5">
        <v>31273.27</v>
      </c>
      <c r="J1124" s="6">
        <v>0.15</v>
      </c>
      <c r="K1124" s="5">
        <v>186075.96</v>
      </c>
      <c r="L1124" s="5">
        <v>162059.42000000001</v>
      </c>
      <c r="M1124" s="5">
        <v>24016.54</v>
      </c>
      <c r="N1124" s="2" t="s">
        <v>59</v>
      </c>
    </row>
    <row r="1125" spans="1:14" ht="12" customHeight="1">
      <c r="A1125" s="2" t="s">
        <v>1231</v>
      </c>
      <c r="B1125" s="3">
        <v>45895</v>
      </c>
      <c r="C1125" s="2" t="s">
        <v>15</v>
      </c>
      <c r="D1125" s="2" t="s">
        <v>63</v>
      </c>
      <c r="E1125" s="2" t="s">
        <v>17</v>
      </c>
      <c r="F1125" s="2" t="s">
        <v>18</v>
      </c>
      <c r="G1125" s="2" t="s">
        <v>19</v>
      </c>
      <c r="H1125" s="4">
        <v>8</v>
      </c>
      <c r="I1125" s="5">
        <v>14658.16</v>
      </c>
      <c r="J1125" s="6">
        <v>0.15</v>
      </c>
      <c r="K1125" s="5">
        <v>99675.49</v>
      </c>
      <c r="L1125" s="5">
        <v>64027.35</v>
      </c>
      <c r="M1125" s="5">
        <v>35648.14</v>
      </c>
      <c r="N1125" s="2" t="s">
        <v>33</v>
      </c>
    </row>
    <row r="1126" spans="1:14" ht="12" customHeight="1">
      <c r="A1126" s="2" t="s">
        <v>1232</v>
      </c>
      <c r="B1126" s="3">
        <v>45663</v>
      </c>
      <c r="C1126" s="2" t="s">
        <v>22</v>
      </c>
      <c r="D1126" s="2" t="s">
        <v>23</v>
      </c>
      <c r="E1126" s="2" t="s">
        <v>17</v>
      </c>
      <c r="F1126" s="2" t="s">
        <v>24</v>
      </c>
      <c r="G1126" s="2" t="s">
        <v>47</v>
      </c>
      <c r="H1126" s="4">
        <v>6</v>
      </c>
      <c r="I1126" s="5">
        <v>93341.71</v>
      </c>
      <c r="J1126" s="6">
        <v>0</v>
      </c>
      <c r="K1126" s="5">
        <v>560050.26</v>
      </c>
      <c r="L1126" s="5">
        <v>417657.59999999998</v>
      </c>
      <c r="M1126" s="5">
        <v>142392.66</v>
      </c>
      <c r="N1126" s="2" t="s">
        <v>59</v>
      </c>
    </row>
    <row r="1127" spans="1:14" ht="12" customHeight="1">
      <c r="A1127" s="2" t="s">
        <v>1233</v>
      </c>
      <c r="B1127" s="3">
        <v>45685</v>
      </c>
      <c r="C1127" s="2" t="s">
        <v>28</v>
      </c>
      <c r="D1127" s="2" t="s">
        <v>52</v>
      </c>
      <c r="E1127" s="2" t="s">
        <v>44</v>
      </c>
      <c r="F1127" s="2" t="s">
        <v>69</v>
      </c>
      <c r="G1127" s="2" t="s">
        <v>25</v>
      </c>
      <c r="H1127" s="4">
        <v>4</v>
      </c>
      <c r="I1127" s="5">
        <v>39504.239999999998</v>
      </c>
      <c r="J1127" s="6">
        <v>0.15</v>
      </c>
      <c r="K1127" s="5">
        <v>134314.42000000001</v>
      </c>
      <c r="L1127" s="5">
        <v>101846.31</v>
      </c>
      <c r="M1127" s="5">
        <v>32468.11</v>
      </c>
      <c r="N1127" s="2" t="s">
        <v>59</v>
      </c>
    </row>
    <row r="1128" spans="1:14" ht="12" customHeight="1">
      <c r="A1128" s="2" t="s">
        <v>1234</v>
      </c>
      <c r="B1128" s="3">
        <v>45760</v>
      </c>
      <c r="C1128" s="2" t="s">
        <v>22</v>
      </c>
      <c r="D1128" s="2" t="s">
        <v>35</v>
      </c>
      <c r="E1128" s="2" t="s">
        <v>44</v>
      </c>
      <c r="F1128" s="2" t="s">
        <v>69</v>
      </c>
      <c r="G1128" s="2" t="s">
        <v>61</v>
      </c>
      <c r="H1128" s="4">
        <v>7</v>
      </c>
      <c r="I1128" s="5">
        <v>36333.839999999997</v>
      </c>
      <c r="J1128" s="6">
        <v>0</v>
      </c>
      <c r="K1128" s="5">
        <v>254336.88</v>
      </c>
      <c r="L1128" s="5">
        <v>180015.46</v>
      </c>
      <c r="M1128" s="5">
        <v>74321.42</v>
      </c>
      <c r="N1128" s="2" t="s">
        <v>59</v>
      </c>
    </row>
    <row r="1129" spans="1:14" ht="12" customHeight="1">
      <c r="A1129" s="2" t="s">
        <v>1235</v>
      </c>
      <c r="B1129" s="3">
        <v>45986</v>
      </c>
      <c r="C1129" s="2" t="s">
        <v>28</v>
      </c>
      <c r="D1129" s="2" t="s">
        <v>29</v>
      </c>
      <c r="E1129" s="2" t="s">
        <v>49</v>
      </c>
      <c r="F1129" s="2" t="s">
        <v>57</v>
      </c>
      <c r="G1129" s="2" t="s">
        <v>70</v>
      </c>
      <c r="H1129" s="4">
        <v>2</v>
      </c>
      <c r="I1129" s="5">
        <v>11481.39</v>
      </c>
      <c r="J1129" s="6">
        <v>0.1</v>
      </c>
      <c r="K1129" s="5">
        <v>20666.5</v>
      </c>
      <c r="L1129" s="5">
        <v>12940.89</v>
      </c>
      <c r="M1129" s="5">
        <v>7725.61</v>
      </c>
      <c r="N1129" s="2" t="s">
        <v>26</v>
      </c>
    </row>
    <row r="1130" spans="1:14" ht="12" customHeight="1">
      <c r="A1130" s="2" t="s">
        <v>1236</v>
      </c>
      <c r="B1130" s="3">
        <v>46007</v>
      </c>
      <c r="C1130" s="2" t="s">
        <v>22</v>
      </c>
      <c r="D1130" s="2" t="s">
        <v>37</v>
      </c>
      <c r="E1130" s="2" t="s">
        <v>49</v>
      </c>
      <c r="F1130" s="2" t="s">
        <v>50</v>
      </c>
      <c r="G1130" s="2" t="s">
        <v>58</v>
      </c>
      <c r="H1130" s="4">
        <v>4</v>
      </c>
      <c r="I1130" s="5">
        <v>4531.8</v>
      </c>
      <c r="J1130" s="6">
        <v>0.05</v>
      </c>
      <c r="K1130" s="5">
        <v>17220.84</v>
      </c>
      <c r="L1130" s="5">
        <v>8351.99</v>
      </c>
      <c r="M1130" s="5">
        <v>8868.85</v>
      </c>
      <c r="N1130" s="2" t="s">
        <v>26</v>
      </c>
    </row>
    <row r="1131" spans="1:14" ht="12" customHeight="1">
      <c r="A1131" s="2" t="s">
        <v>1237</v>
      </c>
      <c r="B1131" s="3">
        <v>45717</v>
      </c>
      <c r="C1131" s="2" t="s">
        <v>28</v>
      </c>
      <c r="D1131" s="2" t="s">
        <v>29</v>
      </c>
      <c r="E1131" s="2" t="s">
        <v>30</v>
      </c>
      <c r="F1131" s="2" t="s">
        <v>31</v>
      </c>
      <c r="G1131" s="2" t="s">
        <v>61</v>
      </c>
      <c r="H1131" s="4">
        <v>4</v>
      </c>
      <c r="I1131" s="5">
        <v>129777.42</v>
      </c>
      <c r="J1131" s="6">
        <v>0.05</v>
      </c>
      <c r="K1131" s="5">
        <v>493154.2</v>
      </c>
      <c r="L1131" s="5">
        <v>399256.72</v>
      </c>
      <c r="M1131" s="5">
        <v>93897.48</v>
      </c>
      <c r="N1131" s="2" t="s">
        <v>20</v>
      </c>
    </row>
    <row r="1132" spans="1:14" ht="12" customHeight="1">
      <c r="A1132" s="2" t="s">
        <v>1238</v>
      </c>
      <c r="B1132" s="3">
        <v>45711</v>
      </c>
      <c r="C1132" s="2" t="s">
        <v>22</v>
      </c>
      <c r="D1132" s="2" t="s">
        <v>35</v>
      </c>
      <c r="E1132" s="2" t="s">
        <v>30</v>
      </c>
      <c r="F1132" s="2" t="s">
        <v>38</v>
      </c>
      <c r="G1132" s="2" t="s">
        <v>32</v>
      </c>
      <c r="H1132" s="4">
        <v>7</v>
      </c>
      <c r="I1132" s="5">
        <v>27683.88</v>
      </c>
      <c r="J1132" s="6">
        <v>0</v>
      </c>
      <c r="K1132" s="5">
        <v>193787.16</v>
      </c>
      <c r="L1132" s="5">
        <v>125063.32</v>
      </c>
      <c r="M1132" s="5">
        <v>68723.839999999997</v>
      </c>
      <c r="N1132" s="2" t="s">
        <v>33</v>
      </c>
    </row>
    <row r="1133" spans="1:14" ht="12" customHeight="1">
      <c r="A1133" s="2" t="s">
        <v>1239</v>
      </c>
      <c r="B1133" s="3">
        <v>45841</v>
      </c>
      <c r="C1133" s="2" t="s">
        <v>22</v>
      </c>
      <c r="D1133" s="2"/>
      <c r="E1133" s="2" t="s">
        <v>907</v>
      </c>
      <c r="F1133" s="2" t="s">
        <v>57</v>
      </c>
      <c r="G1133" s="2" t="s">
        <v>58</v>
      </c>
      <c r="H1133" s="4">
        <v>6</v>
      </c>
      <c r="I1133" s="5">
        <v>11772.1</v>
      </c>
      <c r="J1133" s="6">
        <v>0</v>
      </c>
      <c r="K1133" s="5">
        <v>70632.600000000006</v>
      </c>
      <c r="L1133" s="5">
        <v>38340.81</v>
      </c>
      <c r="M1133" s="5">
        <v>32291.79</v>
      </c>
      <c r="N1133" s="2" t="s">
        <v>26</v>
      </c>
    </row>
    <row r="1134" spans="1:14" ht="12" customHeight="1">
      <c r="A1134" s="2" t="s">
        <v>1240</v>
      </c>
      <c r="B1134" s="3">
        <v>46013</v>
      </c>
      <c r="C1134" s="2" t="s">
        <v>28</v>
      </c>
      <c r="D1134" s="2" t="s">
        <v>29</v>
      </c>
      <c r="E1134" s="2" t="s">
        <v>44</v>
      </c>
      <c r="F1134" s="2" t="s">
        <v>80</v>
      </c>
      <c r="G1134" s="2" t="s">
        <v>25</v>
      </c>
      <c r="H1134" s="4">
        <v>8</v>
      </c>
      <c r="I1134" s="5">
        <v>45127.44</v>
      </c>
      <c r="J1134" s="6">
        <v>0.05</v>
      </c>
      <c r="K1134" s="5">
        <v>342968.54</v>
      </c>
      <c r="L1134" s="5">
        <v>250864.46</v>
      </c>
      <c r="M1134" s="5">
        <v>92104.08</v>
      </c>
      <c r="N1134" s="2" t="s">
        <v>20</v>
      </c>
    </row>
    <row r="1135" spans="1:14" ht="12" customHeight="1">
      <c r="A1135" s="2" t="s">
        <v>1241</v>
      </c>
      <c r="B1135" s="3">
        <v>45777</v>
      </c>
      <c r="C1135" s="2" t="s">
        <v>28</v>
      </c>
      <c r="D1135" s="2" t="s">
        <v>52</v>
      </c>
      <c r="E1135" s="2" t="s">
        <v>30</v>
      </c>
      <c r="F1135" s="2" t="s">
        <v>38</v>
      </c>
      <c r="G1135" s="2" t="s">
        <v>19</v>
      </c>
      <c r="H1135" s="4">
        <v>6</v>
      </c>
      <c r="I1135" s="5">
        <v>26924.65</v>
      </c>
      <c r="J1135" s="6">
        <v>0.05</v>
      </c>
      <c r="K1135" s="5">
        <v>153470.51</v>
      </c>
      <c r="L1135" s="5">
        <v>107029.31</v>
      </c>
      <c r="M1135" s="5">
        <v>46441.2</v>
      </c>
      <c r="N1135" s="2" t="s">
        <v>20</v>
      </c>
    </row>
    <row r="1136" spans="1:14" ht="12" customHeight="1">
      <c r="A1136" s="2" t="s">
        <v>1242</v>
      </c>
      <c r="B1136" s="3">
        <v>46015</v>
      </c>
      <c r="C1136" s="2" t="s">
        <v>28</v>
      </c>
      <c r="D1136" s="2" t="s">
        <v>56</v>
      </c>
      <c r="E1136" s="2" t="s">
        <v>49</v>
      </c>
      <c r="F1136" s="2" t="s">
        <v>91</v>
      </c>
      <c r="G1136" s="2" t="s">
        <v>47</v>
      </c>
      <c r="H1136" s="4">
        <v>3</v>
      </c>
      <c r="I1136" s="5">
        <v>6512.69</v>
      </c>
      <c r="J1136" s="6">
        <v>0.05</v>
      </c>
      <c r="K1136" s="5">
        <v>18561.169999999998</v>
      </c>
      <c r="L1136" s="5">
        <v>11146.27</v>
      </c>
      <c r="M1136" s="5">
        <v>7414.9</v>
      </c>
      <c r="N1136" s="2" t="s">
        <v>26</v>
      </c>
    </row>
    <row r="1137" spans="1:14" ht="12" customHeight="1">
      <c r="A1137" s="2" t="s">
        <v>1243</v>
      </c>
      <c r="B1137" s="3">
        <v>45892</v>
      </c>
      <c r="C1137" s="2" t="s">
        <v>22</v>
      </c>
      <c r="D1137" s="2" t="s">
        <v>37</v>
      </c>
      <c r="E1137" s="2" t="s">
        <v>30</v>
      </c>
      <c r="F1137" s="2" t="s">
        <v>31</v>
      </c>
      <c r="G1137" s="2" t="s">
        <v>25</v>
      </c>
      <c r="H1137" s="4">
        <v>2</v>
      </c>
      <c r="I1137" s="5">
        <v>130880.31</v>
      </c>
      <c r="J1137" s="6">
        <v>0</v>
      </c>
      <c r="K1137" s="5">
        <v>261760.62</v>
      </c>
      <c r="L1137" s="5">
        <v>207273.06</v>
      </c>
      <c r="M1137" s="5">
        <v>54487.56</v>
      </c>
      <c r="N1137" s="2" t="s">
        <v>26</v>
      </c>
    </row>
    <row r="1138" spans="1:14" ht="12" customHeight="1">
      <c r="A1138" s="2" t="s">
        <v>1244</v>
      </c>
      <c r="B1138" s="3">
        <v>45762</v>
      </c>
      <c r="C1138" s="2" t="s">
        <v>28</v>
      </c>
      <c r="D1138" s="2" t="s">
        <v>52</v>
      </c>
      <c r="E1138" s="2" t="s">
        <v>44</v>
      </c>
      <c r="F1138" s="2" t="s">
        <v>45</v>
      </c>
      <c r="G1138" s="2" t="s">
        <v>25</v>
      </c>
      <c r="H1138" s="4">
        <v>3</v>
      </c>
      <c r="I1138" s="5">
        <v>27593.85</v>
      </c>
      <c r="J1138" s="6">
        <v>0</v>
      </c>
      <c r="K1138" s="5">
        <v>82781.55</v>
      </c>
      <c r="L1138" s="5">
        <v>56026.53</v>
      </c>
      <c r="M1138" s="5">
        <v>26755.02</v>
      </c>
      <c r="N1138" s="2" t="s">
        <v>33</v>
      </c>
    </row>
    <row r="1139" spans="1:14" ht="12" customHeight="1">
      <c r="A1139" s="2" t="s">
        <v>1245</v>
      </c>
      <c r="B1139" s="3">
        <v>45939</v>
      </c>
      <c r="C1139" s="2" t="s">
        <v>15</v>
      </c>
      <c r="D1139" s="2" t="s">
        <v>16</v>
      </c>
      <c r="E1139" s="2" t="s">
        <v>44</v>
      </c>
      <c r="F1139" s="2" t="s">
        <v>69</v>
      </c>
      <c r="G1139" s="2" t="s">
        <v>25</v>
      </c>
      <c r="H1139" s="4">
        <v>1</v>
      </c>
      <c r="I1139" s="5">
        <v>37862.25</v>
      </c>
      <c r="J1139" s="6">
        <v>0.05</v>
      </c>
      <c r="K1139" s="5">
        <v>35969.14</v>
      </c>
      <c r="L1139" s="5">
        <v>25401.84</v>
      </c>
      <c r="M1139" s="5">
        <v>10567.3</v>
      </c>
      <c r="N1139" s="2" t="s">
        <v>26</v>
      </c>
    </row>
    <row r="1140" spans="1:14" ht="12" customHeight="1">
      <c r="A1140" s="2" t="s">
        <v>1246</v>
      </c>
      <c r="B1140" s="3" t="s">
        <v>1247</v>
      </c>
      <c r="C1140" s="2" t="s">
        <v>28</v>
      </c>
      <c r="D1140" s="2" t="s">
        <v>29</v>
      </c>
      <c r="E1140" s="2" t="s">
        <v>49</v>
      </c>
      <c r="F1140" s="2" t="s">
        <v>107</v>
      </c>
      <c r="G1140" s="2" t="s">
        <v>61</v>
      </c>
      <c r="H1140" s="4">
        <v>4</v>
      </c>
      <c r="I1140" s="5">
        <v>5418.86</v>
      </c>
      <c r="J1140" s="6">
        <v>0</v>
      </c>
      <c r="K1140" s="5">
        <v>21675.439999999999</v>
      </c>
      <c r="L1140" s="5">
        <v>10769.01</v>
      </c>
      <c r="M1140" s="5">
        <v>10906.43</v>
      </c>
      <c r="N1140" s="2" t="s">
        <v>20</v>
      </c>
    </row>
    <row r="1141" spans="1:14" ht="12" customHeight="1">
      <c r="A1141" s="2" t="s">
        <v>1248</v>
      </c>
      <c r="B1141" s="3">
        <v>45958</v>
      </c>
      <c r="C1141" s="2" t="s">
        <v>28</v>
      </c>
      <c r="D1141" s="2" t="s">
        <v>56</v>
      </c>
      <c r="E1141" s="2" t="s">
        <v>49</v>
      </c>
      <c r="F1141" s="2" t="s">
        <v>107</v>
      </c>
      <c r="G1141" s="2" t="s">
        <v>64</v>
      </c>
      <c r="H1141" s="4">
        <v>2</v>
      </c>
      <c r="I1141" s="5">
        <v>5072.59</v>
      </c>
      <c r="J1141" s="6">
        <v>0.15</v>
      </c>
      <c r="K1141" s="5">
        <v>8623.4</v>
      </c>
      <c r="L1141" s="5">
        <v>5517.88</v>
      </c>
      <c r="M1141" s="5">
        <v>3105.52</v>
      </c>
      <c r="N1141" s="2" t="s">
        <v>26</v>
      </c>
    </row>
    <row r="1142" spans="1:14" ht="12" customHeight="1">
      <c r="A1142" s="2" t="s">
        <v>1249</v>
      </c>
      <c r="B1142" s="3">
        <v>45861</v>
      </c>
      <c r="C1142" s="2" t="s">
        <v>15</v>
      </c>
      <c r="D1142" s="2" t="s">
        <v>16</v>
      </c>
      <c r="E1142" s="2" t="s">
        <v>44</v>
      </c>
      <c r="F1142" s="2" t="s">
        <v>69</v>
      </c>
      <c r="G1142" s="2" t="s">
        <v>19</v>
      </c>
      <c r="H1142" s="4">
        <v>6</v>
      </c>
      <c r="I1142" s="5">
        <v>37026.29</v>
      </c>
      <c r="J1142" s="6">
        <v>0</v>
      </c>
      <c r="K1142" s="5">
        <v>222157.74</v>
      </c>
      <c r="L1142" s="5">
        <v>157987.39000000001</v>
      </c>
      <c r="M1142" s="5">
        <v>64170.35</v>
      </c>
      <c r="N1142" s="2" t="s">
        <v>26</v>
      </c>
    </row>
    <row r="1143" spans="1:14" ht="12" customHeight="1">
      <c r="A1143" s="2" t="s">
        <v>1250</v>
      </c>
      <c r="B1143" s="3">
        <v>45992</v>
      </c>
      <c r="C1143" s="2" t="s">
        <v>22</v>
      </c>
      <c r="D1143" s="2" t="s">
        <v>35</v>
      </c>
      <c r="E1143" s="2" t="s">
        <v>44</v>
      </c>
      <c r="F1143" s="2" t="s">
        <v>80</v>
      </c>
      <c r="G1143" s="2" t="s">
        <v>61</v>
      </c>
      <c r="H1143" s="4">
        <v>4</v>
      </c>
      <c r="I1143" s="5">
        <v>41637.33</v>
      </c>
      <c r="J1143" s="6">
        <v>0</v>
      </c>
      <c r="K1143" s="5">
        <v>166549.32</v>
      </c>
      <c r="L1143" s="5">
        <v>123227.61</v>
      </c>
      <c r="M1143" s="5">
        <v>43321.71</v>
      </c>
      <c r="N1143" s="2" t="s">
        <v>20</v>
      </c>
    </row>
    <row r="1144" spans="1:14" ht="12" customHeight="1">
      <c r="A1144" s="2" t="s">
        <v>1251</v>
      </c>
      <c r="B1144" s="3">
        <v>45861</v>
      </c>
      <c r="C1144" s="2" t="s">
        <v>22</v>
      </c>
      <c r="D1144" s="2" t="s">
        <v>35</v>
      </c>
      <c r="E1144" s="2" t="s">
        <v>30</v>
      </c>
      <c r="F1144" s="2" t="s">
        <v>40</v>
      </c>
      <c r="G1144" s="2" t="s">
        <v>19</v>
      </c>
      <c r="H1144" s="4">
        <v>8</v>
      </c>
      <c r="I1144" s="5">
        <v>22676.52</v>
      </c>
      <c r="J1144" s="6">
        <v>0.05</v>
      </c>
      <c r="K1144" s="5">
        <v>172341.55</v>
      </c>
      <c r="L1144" s="5">
        <v>124196.37</v>
      </c>
      <c r="M1144" s="5">
        <v>48145.18</v>
      </c>
      <c r="N1144" s="2" t="s">
        <v>20</v>
      </c>
    </row>
    <row r="1145" spans="1:14" ht="12" customHeight="1">
      <c r="A1145" s="2" t="s">
        <v>1252</v>
      </c>
      <c r="B1145" s="3">
        <v>45854</v>
      </c>
      <c r="C1145" s="2" t="s">
        <v>22</v>
      </c>
      <c r="D1145" s="2" t="s">
        <v>35</v>
      </c>
      <c r="E1145" s="2" t="s">
        <v>17</v>
      </c>
      <c r="F1145" s="2" t="s">
        <v>114</v>
      </c>
      <c r="G1145" s="2" t="s">
        <v>70</v>
      </c>
      <c r="H1145" s="4">
        <v>1</v>
      </c>
      <c r="I1145" s="5">
        <v>49178.55</v>
      </c>
      <c r="J1145" s="6">
        <v>0</v>
      </c>
      <c r="K1145" s="5">
        <v>49178.55</v>
      </c>
      <c r="L1145" s="5">
        <v>36873.31</v>
      </c>
      <c r="M1145" s="5">
        <v>12305.24</v>
      </c>
      <c r="N1145" s="2"/>
    </row>
    <row r="1146" spans="1:14" ht="12" customHeight="1">
      <c r="A1146" s="2" t="s">
        <v>1253</v>
      </c>
      <c r="B1146" s="3">
        <v>45717</v>
      </c>
      <c r="C1146" s="2" t="s">
        <v>28</v>
      </c>
      <c r="D1146" s="2" t="s">
        <v>29</v>
      </c>
      <c r="E1146" s="2" t="s">
        <v>49</v>
      </c>
      <c r="F1146" s="2" t="s">
        <v>107</v>
      </c>
      <c r="G1146" s="2" t="s">
        <v>70</v>
      </c>
      <c r="H1146" s="4">
        <v>1</v>
      </c>
      <c r="I1146" s="5">
        <v>5036.0600000000004</v>
      </c>
      <c r="J1146" s="6">
        <v>0.05</v>
      </c>
      <c r="K1146" s="5">
        <v>4784.26</v>
      </c>
      <c r="L1146" s="5">
        <v>2759.25</v>
      </c>
      <c r="M1146" s="5">
        <v>2025.01</v>
      </c>
      <c r="N1146" s="2" t="s">
        <v>59</v>
      </c>
    </row>
    <row r="1147" spans="1:14" ht="12" customHeight="1">
      <c r="A1147" s="2" t="s">
        <v>1254</v>
      </c>
      <c r="B1147" s="3">
        <v>45854</v>
      </c>
      <c r="C1147" s="2" t="s">
        <v>28</v>
      </c>
      <c r="D1147" s="2" t="s">
        <v>29</v>
      </c>
      <c r="E1147" s="2" t="s">
        <v>30</v>
      </c>
      <c r="F1147" s="2" t="s">
        <v>38</v>
      </c>
      <c r="G1147" s="2" t="s">
        <v>19</v>
      </c>
      <c r="H1147" s="4">
        <v>2</v>
      </c>
      <c r="I1147" s="5">
        <v>28233.34</v>
      </c>
      <c r="J1147" s="6">
        <v>0.05</v>
      </c>
      <c r="K1147" s="5">
        <v>53643.35</v>
      </c>
      <c r="L1147" s="5">
        <v>36259.910000000003</v>
      </c>
      <c r="M1147" s="5">
        <v>17383.439999999999</v>
      </c>
      <c r="N1147" s="2" t="s">
        <v>26</v>
      </c>
    </row>
    <row r="1148" spans="1:14" ht="12" customHeight="1">
      <c r="A1148" s="2" t="s">
        <v>1255</v>
      </c>
      <c r="B1148" s="3">
        <v>45720</v>
      </c>
      <c r="C1148" s="2" t="s">
        <v>22</v>
      </c>
      <c r="D1148" s="2" t="s">
        <v>35</v>
      </c>
      <c r="E1148" s="2" t="s">
        <v>30</v>
      </c>
      <c r="F1148" s="2" t="s">
        <v>86</v>
      </c>
      <c r="G1148" s="2" t="s">
        <v>70</v>
      </c>
      <c r="H1148" s="4">
        <v>8</v>
      </c>
      <c r="I1148" s="5">
        <v>32656.21</v>
      </c>
      <c r="J1148" s="6">
        <v>0.05</v>
      </c>
      <c r="K1148" s="5">
        <v>248187.2</v>
      </c>
      <c r="L1148" s="5">
        <v>178149.6</v>
      </c>
      <c r="M1148" s="5">
        <v>70037.600000000006</v>
      </c>
      <c r="N1148" s="2" t="s">
        <v>20</v>
      </c>
    </row>
    <row r="1149" spans="1:14" ht="12" customHeight="1">
      <c r="A1149" s="2" t="s">
        <v>1256</v>
      </c>
      <c r="B1149" s="3">
        <v>45670</v>
      </c>
      <c r="C1149" s="2" t="s">
        <v>28</v>
      </c>
      <c r="D1149" s="2" t="s">
        <v>52</v>
      </c>
      <c r="E1149" s="2" t="s">
        <v>181</v>
      </c>
      <c r="F1149" s="2" t="s">
        <v>38</v>
      </c>
      <c r="G1149" s="2" t="s">
        <v>58</v>
      </c>
      <c r="H1149" s="4">
        <v>7</v>
      </c>
      <c r="I1149" s="5">
        <v>26297.83</v>
      </c>
      <c r="J1149" s="6">
        <v>0.05</v>
      </c>
      <c r="K1149" s="5">
        <v>174880.57</v>
      </c>
      <c r="L1149" s="5">
        <v>128983.47</v>
      </c>
      <c r="M1149" s="5">
        <v>45897.1</v>
      </c>
      <c r="N1149" s="2" t="s">
        <v>26</v>
      </c>
    </row>
    <row r="1150" spans="1:14" ht="12" customHeight="1">
      <c r="A1150" s="2" t="s">
        <v>1257</v>
      </c>
      <c r="B1150" s="3">
        <v>45715</v>
      </c>
      <c r="C1150" s="2" t="s">
        <v>28</v>
      </c>
      <c r="D1150" s="2" t="s">
        <v>56</v>
      </c>
      <c r="E1150" s="2" t="s">
        <v>49</v>
      </c>
      <c r="F1150" s="2" t="s">
        <v>91</v>
      </c>
      <c r="G1150" s="2" t="s">
        <v>32</v>
      </c>
      <c r="H1150" s="4">
        <v>8</v>
      </c>
      <c r="I1150" s="5">
        <v>6317.62</v>
      </c>
      <c r="J1150" s="6">
        <v>0.15</v>
      </c>
      <c r="K1150" s="5">
        <v>42959.82</v>
      </c>
      <c r="L1150" s="5">
        <v>28007.8</v>
      </c>
      <c r="M1150" s="5">
        <v>14952.02</v>
      </c>
      <c r="N1150" s="2" t="s">
        <v>33</v>
      </c>
    </row>
    <row r="1151" spans="1:14" ht="12" customHeight="1">
      <c r="A1151" s="2" t="s">
        <v>1258</v>
      </c>
      <c r="B1151" s="3">
        <v>45732</v>
      </c>
      <c r="C1151" s="2" t="s">
        <v>15</v>
      </c>
      <c r="D1151" s="2" t="s">
        <v>43</v>
      </c>
      <c r="E1151" s="2" t="s">
        <v>49</v>
      </c>
      <c r="F1151" s="2" t="s">
        <v>50</v>
      </c>
      <c r="G1151" s="2" t="s">
        <v>70</v>
      </c>
      <c r="H1151" s="4">
        <v>3</v>
      </c>
      <c r="I1151" s="5">
        <v>3920.48</v>
      </c>
      <c r="J1151" s="6">
        <v>0</v>
      </c>
      <c r="K1151" s="5">
        <v>11761.44</v>
      </c>
      <c r="L1151" s="5">
        <v>6166.59</v>
      </c>
      <c r="M1151" s="5">
        <v>5594.85</v>
      </c>
      <c r="N1151" s="2" t="s">
        <v>20</v>
      </c>
    </row>
    <row r="1152" spans="1:14" ht="12" customHeight="1">
      <c r="A1152" s="2" t="s">
        <v>1259</v>
      </c>
      <c r="B1152" s="3">
        <v>45733</v>
      </c>
      <c r="C1152" s="2" t="s">
        <v>28</v>
      </c>
      <c r="D1152" s="2" t="s">
        <v>56</v>
      </c>
      <c r="E1152" s="2" t="s">
        <v>49</v>
      </c>
      <c r="F1152" s="2" t="s">
        <v>50</v>
      </c>
      <c r="G1152" s="2" t="s">
        <v>19</v>
      </c>
      <c r="H1152" s="4">
        <v>8</v>
      </c>
      <c r="I1152" s="5">
        <v>3891.31</v>
      </c>
      <c r="J1152" s="6">
        <v>0.05</v>
      </c>
      <c r="K1152" s="5">
        <v>29573.96</v>
      </c>
      <c r="L1152" s="5">
        <v>16734.41</v>
      </c>
      <c r="M1152" s="5">
        <v>12839.55</v>
      </c>
      <c r="N1152" s="2" t="s">
        <v>20</v>
      </c>
    </row>
    <row r="1153" spans="1:14" ht="12" customHeight="1">
      <c r="A1153" s="2" t="s">
        <v>1260</v>
      </c>
      <c r="B1153" s="3">
        <v>45789</v>
      </c>
      <c r="C1153" s="2" t="s">
        <v>15</v>
      </c>
      <c r="D1153" s="2" t="s">
        <v>43</v>
      </c>
      <c r="E1153" s="2" t="s">
        <v>17</v>
      </c>
      <c r="F1153" s="2" t="s">
        <v>18</v>
      </c>
      <c r="G1153" s="2" t="s">
        <v>19</v>
      </c>
      <c r="H1153" s="4">
        <v>5</v>
      </c>
      <c r="I1153" s="5">
        <v>14320.27</v>
      </c>
      <c r="J1153" s="6">
        <v>0</v>
      </c>
      <c r="K1153" s="5">
        <v>71601.350000000006</v>
      </c>
      <c r="L1153" s="5">
        <v>40297.879999999997</v>
      </c>
      <c r="M1153" s="5">
        <v>31303.47</v>
      </c>
      <c r="N1153" s="2" t="s">
        <v>20</v>
      </c>
    </row>
    <row r="1154" spans="1:14" ht="12" customHeight="1">
      <c r="A1154" s="2" t="s">
        <v>1261</v>
      </c>
      <c r="B1154" s="3">
        <v>45900</v>
      </c>
      <c r="C1154" s="2" t="s">
        <v>22</v>
      </c>
      <c r="D1154" s="2" t="s">
        <v>23</v>
      </c>
      <c r="E1154" s="2" t="s">
        <v>30</v>
      </c>
      <c r="F1154" s="2" t="s">
        <v>38</v>
      </c>
      <c r="G1154" s="2" t="s">
        <v>47</v>
      </c>
      <c r="H1154" s="4">
        <v>4</v>
      </c>
      <c r="I1154" s="5">
        <v>27839.19</v>
      </c>
      <c r="J1154" s="6">
        <v>0</v>
      </c>
      <c r="K1154" s="5">
        <v>111356.76</v>
      </c>
      <c r="L1154" s="5">
        <v>71726.149999999994</v>
      </c>
      <c r="M1154" s="5">
        <v>39630.61</v>
      </c>
      <c r="N1154" s="2" t="s">
        <v>20</v>
      </c>
    </row>
    <row r="1155" spans="1:14" ht="12" customHeight="1">
      <c r="A1155" s="2" t="s">
        <v>1262</v>
      </c>
      <c r="B1155" s="3">
        <v>45797</v>
      </c>
      <c r="C1155" s="2" t="s">
        <v>28</v>
      </c>
      <c r="D1155" s="2" t="s">
        <v>29</v>
      </c>
      <c r="E1155" s="2" t="s">
        <v>44</v>
      </c>
      <c r="F1155" s="2" t="s">
        <v>69</v>
      </c>
      <c r="G1155" s="2" t="s">
        <v>64</v>
      </c>
      <c r="H1155" s="4">
        <v>1</v>
      </c>
      <c r="I1155" s="5">
        <v>38636.11</v>
      </c>
      <c r="J1155" s="6">
        <v>0</v>
      </c>
      <c r="K1155" s="5">
        <v>38636.11</v>
      </c>
      <c r="L1155" s="5">
        <v>26454.34</v>
      </c>
      <c r="M1155" s="5">
        <v>12181.77</v>
      </c>
      <c r="N1155" s="2" t="s">
        <v>20</v>
      </c>
    </row>
    <row r="1156" spans="1:14" ht="12" customHeight="1">
      <c r="A1156" s="2" t="s">
        <v>1263</v>
      </c>
      <c r="B1156" s="3">
        <v>45983</v>
      </c>
      <c r="C1156" s="2" t="s">
        <v>22</v>
      </c>
      <c r="D1156" s="2" t="s">
        <v>23</v>
      </c>
      <c r="E1156" s="2" t="s">
        <v>49</v>
      </c>
      <c r="F1156" s="2" t="s">
        <v>50</v>
      </c>
      <c r="G1156" s="2" t="s">
        <v>32</v>
      </c>
      <c r="H1156" s="4">
        <v>5</v>
      </c>
      <c r="I1156" s="5">
        <v>4043.46</v>
      </c>
      <c r="J1156" s="6">
        <v>0.1</v>
      </c>
      <c r="K1156" s="5">
        <v>18195.57</v>
      </c>
      <c r="L1156" s="5">
        <v>10765.84</v>
      </c>
      <c r="M1156" s="5">
        <v>7429.73</v>
      </c>
      <c r="N1156" s="2" t="s">
        <v>33</v>
      </c>
    </row>
    <row r="1157" spans="1:14" ht="12" customHeight="1">
      <c r="A1157" s="2" t="s">
        <v>1264</v>
      </c>
      <c r="B1157" s="3">
        <v>45969</v>
      </c>
      <c r="C1157" s="2" t="s">
        <v>22</v>
      </c>
      <c r="D1157" s="2" t="s">
        <v>23</v>
      </c>
      <c r="E1157" s="2" t="s">
        <v>17</v>
      </c>
      <c r="F1157" s="2" t="s">
        <v>18</v>
      </c>
      <c r="G1157" s="2" t="s">
        <v>70</v>
      </c>
      <c r="H1157" s="4">
        <v>4</v>
      </c>
      <c r="I1157" s="5">
        <v>13487.84</v>
      </c>
      <c r="J1157" s="6">
        <v>0.05</v>
      </c>
      <c r="K1157" s="5">
        <v>51253.79</v>
      </c>
      <c r="L1157" s="5">
        <v>33487.86</v>
      </c>
      <c r="M1157" s="5">
        <v>17765.93</v>
      </c>
      <c r="N1157" s="2" t="s">
        <v>20</v>
      </c>
    </row>
    <row r="1158" spans="1:14" ht="12" customHeight="1">
      <c r="A1158" s="2" t="s">
        <v>1265</v>
      </c>
      <c r="B1158" s="3">
        <v>45821</v>
      </c>
      <c r="C1158" s="2" t="s">
        <v>15</v>
      </c>
      <c r="D1158" s="2" t="s">
        <v>43</v>
      </c>
      <c r="E1158" s="2" t="s">
        <v>30</v>
      </c>
      <c r="F1158" s="2" t="s">
        <v>40</v>
      </c>
      <c r="G1158" s="2" t="s">
        <v>32</v>
      </c>
      <c r="H1158" s="4">
        <v>8</v>
      </c>
      <c r="I1158" s="5">
        <v>26185.1</v>
      </c>
      <c r="J1158" s="6">
        <v>0</v>
      </c>
      <c r="K1158" s="5">
        <v>209480.8</v>
      </c>
      <c r="L1158" s="5">
        <v>125642.43</v>
      </c>
      <c r="M1158" s="5">
        <v>83838.37</v>
      </c>
      <c r="N1158" s="2" t="s">
        <v>20</v>
      </c>
    </row>
    <row r="1159" spans="1:14" ht="12" customHeight="1">
      <c r="A1159" s="2" t="s">
        <v>1266</v>
      </c>
      <c r="B1159" s="3">
        <v>45996</v>
      </c>
      <c r="C1159" s="2" t="s">
        <v>22</v>
      </c>
      <c r="D1159" s="2" t="s">
        <v>35</v>
      </c>
      <c r="E1159" s="2" t="s">
        <v>49</v>
      </c>
      <c r="F1159" s="2" t="s">
        <v>50</v>
      </c>
      <c r="G1159" s="2" t="s">
        <v>19</v>
      </c>
      <c r="H1159" s="4">
        <v>3</v>
      </c>
      <c r="I1159" s="5">
        <v>4316.25</v>
      </c>
      <c r="J1159" s="6">
        <v>0.05</v>
      </c>
      <c r="K1159" s="5">
        <v>12301.31</v>
      </c>
      <c r="L1159" s="5">
        <v>6288.7</v>
      </c>
      <c r="M1159" s="5">
        <v>6012.61</v>
      </c>
      <c r="N1159" s="2" t="s">
        <v>20</v>
      </c>
    </row>
    <row r="1160" spans="1:14" ht="12" customHeight="1">
      <c r="A1160" s="2" t="s">
        <v>1267</v>
      </c>
      <c r="B1160" s="3">
        <v>45897</v>
      </c>
      <c r="C1160" s="2" t="s">
        <v>15</v>
      </c>
      <c r="D1160" s="2" t="s">
        <v>63</v>
      </c>
      <c r="E1160" s="2" t="s">
        <v>17</v>
      </c>
      <c r="F1160" s="2" t="s">
        <v>24</v>
      </c>
      <c r="G1160" s="2" t="s">
        <v>64</v>
      </c>
      <c r="H1160" s="4">
        <v>6</v>
      </c>
      <c r="I1160" s="5">
        <v>89115.36</v>
      </c>
      <c r="J1160" s="6">
        <v>0.05</v>
      </c>
      <c r="K1160" s="5">
        <v>507957.55</v>
      </c>
      <c r="L1160" s="5">
        <v>408654.82</v>
      </c>
      <c r="M1160" s="5">
        <v>99302.73</v>
      </c>
      <c r="N1160" s="2" t="s">
        <v>26</v>
      </c>
    </row>
    <row r="1161" spans="1:14" ht="12" customHeight="1">
      <c r="A1161" s="2" t="s">
        <v>1268</v>
      </c>
      <c r="B1161" s="3">
        <v>45803</v>
      </c>
      <c r="C1161" s="2" t="s">
        <v>15</v>
      </c>
      <c r="D1161" s="2" t="s">
        <v>43</v>
      </c>
      <c r="E1161" s="2" t="s">
        <v>44</v>
      </c>
      <c r="F1161" s="2" t="s">
        <v>69</v>
      </c>
      <c r="G1161" s="2" t="s">
        <v>70</v>
      </c>
      <c r="H1161" s="4">
        <v>7</v>
      </c>
      <c r="I1161" s="5">
        <v>37485.589999999997</v>
      </c>
      <c r="J1161" s="6">
        <v>0</v>
      </c>
      <c r="K1161" s="5">
        <v>262399.13</v>
      </c>
      <c r="L1161" s="5">
        <v>186112.69</v>
      </c>
      <c r="M1161" s="5">
        <v>76286.44</v>
      </c>
      <c r="N1161" s="2" t="s">
        <v>26</v>
      </c>
    </row>
    <row r="1162" spans="1:14" ht="12" customHeight="1">
      <c r="A1162" s="2" t="s">
        <v>1269</v>
      </c>
      <c r="B1162" s="3">
        <v>45714</v>
      </c>
      <c r="C1162" s="2" t="s">
        <v>28</v>
      </c>
      <c r="D1162" s="2" t="s">
        <v>29</v>
      </c>
      <c r="E1162" s="2" t="s">
        <v>44</v>
      </c>
      <c r="F1162" s="2" t="s">
        <v>53</v>
      </c>
      <c r="G1162" s="2" t="s">
        <v>58</v>
      </c>
      <c r="H1162" s="4">
        <v>2</v>
      </c>
      <c r="I1162" s="5">
        <v>7951.89</v>
      </c>
      <c r="J1162" s="6">
        <v>0</v>
      </c>
      <c r="K1162" s="5">
        <v>15903.78</v>
      </c>
      <c r="L1162" s="5">
        <v>9650.9599999999991</v>
      </c>
      <c r="M1162" s="5">
        <v>6252.82</v>
      </c>
      <c r="N1162" s="2" t="s">
        <v>26</v>
      </c>
    </row>
    <row r="1163" spans="1:14" ht="12" customHeight="1">
      <c r="A1163" s="2" t="s">
        <v>1270</v>
      </c>
      <c r="B1163" s="3">
        <v>45800</v>
      </c>
      <c r="C1163" s="2" t="s">
        <v>22</v>
      </c>
      <c r="D1163" s="2" t="s">
        <v>37</v>
      </c>
      <c r="E1163" s="2" t="s">
        <v>49</v>
      </c>
      <c r="F1163" s="2" t="s">
        <v>107</v>
      </c>
      <c r="G1163" s="2" t="s">
        <v>32</v>
      </c>
      <c r="H1163" s="4">
        <v>6</v>
      </c>
      <c r="I1163" s="5">
        <v>5409.07</v>
      </c>
      <c r="J1163" s="6">
        <v>0.05</v>
      </c>
      <c r="K1163" s="5">
        <v>30831.7</v>
      </c>
      <c r="L1163" s="5">
        <v>16735.12</v>
      </c>
      <c r="M1163" s="5">
        <v>14096.58</v>
      </c>
      <c r="N1163" s="2" t="s">
        <v>59</v>
      </c>
    </row>
    <row r="1164" spans="1:14" ht="12" customHeight="1">
      <c r="A1164" s="2" t="s">
        <v>1271</v>
      </c>
      <c r="B1164" s="3">
        <v>45804</v>
      </c>
      <c r="C1164" s="2" t="s">
        <v>15</v>
      </c>
      <c r="D1164" s="2" t="s">
        <v>16</v>
      </c>
      <c r="E1164" s="2" t="s">
        <v>30</v>
      </c>
      <c r="F1164" s="2" t="s">
        <v>40</v>
      </c>
      <c r="G1164" s="2" t="s">
        <v>70</v>
      </c>
      <c r="H1164" s="4">
        <v>4</v>
      </c>
      <c r="I1164" s="5">
        <v>25907.5</v>
      </c>
      <c r="J1164" s="6">
        <v>0.05</v>
      </c>
      <c r="K1164" s="5">
        <v>98448.5</v>
      </c>
      <c r="L1164" s="5">
        <v>64652.21</v>
      </c>
      <c r="M1164" s="5">
        <v>33796.29</v>
      </c>
      <c r="N1164" s="2" t="s">
        <v>26</v>
      </c>
    </row>
    <row r="1165" spans="1:14" ht="12" customHeight="1">
      <c r="A1165" s="2" t="s">
        <v>1272</v>
      </c>
      <c r="B1165" s="3">
        <v>45708</v>
      </c>
      <c r="C1165" s="2" t="s">
        <v>22</v>
      </c>
      <c r="D1165" s="2" t="s">
        <v>35</v>
      </c>
      <c r="E1165" s="2" t="s">
        <v>30</v>
      </c>
      <c r="F1165" s="2" t="s">
        <v>31</v>
      </c>
      <c r="G1165" s="2" t="s">
        <v>25</v>
      </c>
      <c r="H1165" s="4">
        <v>6</v>
      </c>
      <c r="I1165" s="5">
        <v>140679.39000000001</v>
      </c>
      <c r="J1165" s="6">
        <v>0.15</v>
      </c>
      <c r="K1165" s="5">
        <v>717464.89</v>
      </c>
      <c r="L1165" s="5">
        <v>595127.72</v>
      </c>
      <c r="M1165" s="5">
        <v>122337.17</v>
      </c>
      <c r="N1165" s="2" t="s">
        <v>20</v>
      </c>
    </row>
    <row r="1166" spans="1:14" ht="12" customHeight="1">
      <c r="A1166" s="2" t="s">
        <v>1273</v>
      </c>
      <c r="B1166" s="3">
        <v>45699</v>
      </c>
      <c r="C1166" s="2" t="s">
        <v>28</v>
      </c>
      <c r="D1166" s="2" t="s">
        <v>56</v>
      </c>
      <c r="E1166" s="2" t="s">
        <v>44</v>
      </c>
      <c r="F1166" s="2" t="s">
        <v>80</v>
      </c>
      <c r="G1166" s="2" t="s">
        <v>25</v>
      </c>
      <c r="H1166" s="4">
        <v>4</v>
      </c>
      <c r="I1166" s="5">
        <v>40513.379999999997</v>
      </c>
      <c r="J1166" s="6">
        <v>0.1</v>
      </c>
      <c r="K1166" s="5">
        <v>145848.17000000001</v>
      </c>
      <c r="L1166" s="5">
        <v>124649.18</v>
      </c>
      <c r="M1166" s="5">
        <v>21198.99</v>
      </c>
      <c r="N1166" s="2" t="s">
        <v>33</v>
      </c>
    </row>
    <row r="1167" spans="1:14" ht="12" customHeight="1">
      <c r="A1167" s="2" t="s">
        <v>1274</v>
      </c>
      <c r="B1167" s="3">
        <v>45965</v>
      </c>
      <c r="C1167" s="2" t="s">
        <v>28</v>
      </c>
      <c r="D1167" s="2" t="s">
        <v>29</v>
      </c>
      <c r="E1167" s="2" t="s">
        <v>44</v>
      </c>
      <c r="F1167" s="2" t="s">
        <v>45</v>
      </c>
      <c r="G1167" s="2" t="s">
        <v>25</v>
      </c>
      <c r="H1167" s="4">
        <v>8</v>
      </c>
      <c r="I1167" s="5">
        <v>29340.7</v>
      </c>
      <c r="J1167" s="6">
        <v>0.05</v>
      </c>
      <c r="K1167" s="5">
        <v>222989.32</v>
      </c>
      <c r="L1167" s="5">
        <v>147681.74</v>
      </c>
      <c r="M1167" s="5">
        <v>75307.58</v>
      </c>
      <c r="N1167" s="2" t="s">
        <v>26</v>
      </c>
    </row>
    <row r="1168" spans="1:14" ht="12" customHeight="1">
      <c r="A1168" s="2" t="s">
        <v>1275</v>
      </c>
      <c r="B1168" s="3">
        <v>45823</v>
      </c>
      <c r="C1168" s="2" t="s">
        <v>22</v>
      </c>
      <c r="D1168" s="2" t="s">
        <v>35</v>
      </c>
      <c r="E1168" s="2" t="s">
        <v>30</v>
      </c>
      <c r="F1168" s="2" t="s">
        <v>86</v>
      </c>
      <c r="G1168" s="2" t="s">
        <v>61</v>
      </c>
      <c r="H1168" s="4">
        <v>3</v>
      </c>
      <c r="I1168" s="5">
        <v>32853.050000000003</v>
      </c>
      <c r="J1168" s="6">
        <v>0.15</v>
      </c>
      <c r="K1168" s="5">
        <v>83775.28</v>
      </c>
      <c r="L1168" s="5">
        <v>69828.55</v>
      </c>
      <c r="M1168" s="5">
        <v>13946.73</v>
      </c>
      <c r="N1168" s="2" t="s">
        <v>59</v>
      </c>
    </row>
    <row r="1169" spans="1:14" ht="12" customHeight="1">
      <c r="A1169" s="2" t="s">
        <v>1276</v>
      </c>
      <c r="B1169" s="3">
        <v>45781</v>
      </c>
      <c r="C1169" s="2" t="s">
        <v>22</v>
      </c>
      <c r="D1169" s="2" t="s">
        <v>23</v>
      </c>
      <c r="E1169" s="2" t="s">
        <v>44</v>
      </c>
      <c r="F1169" s="2" t="s">
        <v>53</v>
      </c>
      <c r="G1169" s="2" t="s">
        <v>61</v>
      </c>
      <c r="H1169" s="4">
        <v>8</v>
      </c>
      <c r="I1169" s="5">
        <v>8153.26</v>
      </c>
      <c r="J1169" s="6">
        <v>0.1</v>
      </c>
      <c r="K1169" s="5">
        <v>58703.47</v>
      </c>
      <c r="L1169" s="5">
        <v>39241.379999999997</v>
      </c>
      <c r="M1169" s="5">
        <v>19462.09</v>
      </c>
      <c r="N1169" s="2" t="s">
        <v>20</v>
      </c>
    </row>
    <row r="1170" spans="1:14" ht="12" customHeight="1">
      <c r="A1170" s="2" t="s">
        <v>1277</v>
      </c>
      <c r="B1170" s="3">
        <v>45661</v>
      </c>
      <c r="C1170" s="2" t="s">
        <v>15</v>
      </c>
      <c r="D1170" s="2" t="s">
        <v>43</v>
      </c>
      <c r="E1170" s="2" t="s">
        <v>17</v>
      </c>
      <c r="F1170" s="2" t="s">
        <v>18</v>
      </c>
      <c r="G1170" s="2" t="s">
        <v>64</v>
      </c>
      <c r="H1170" s="4">
        <v>3</v>
      </c>
      <c r="I1170" s="5">
        <v>13908.08</v>
      </c>
      <c r="J1170" s="6">
        <v>0.15</v>
      </c>
      <c r="K1170" s="5">
        <v>35465.599999999999</v>
      </c>
      <c r="L1170" s="5">
        <v>25519.38</v>
      </c>
      <c r="M1170" s="5">
        <v>9946.2199999999993</v>
      </c>
      <c r="N1170" s="2" t="s">
        <v>20</v>
      </c>
    </row>
    <row r="1171" spans="1:14" ht="12" customHeight="1">
      <c r="A1171" s="2" t="s">
        <v>1278</v>
      </c>
      <c r="B1171" s="3">
        <v>45968</v>
      </c>
      <c r="C1171" s="2" t="s">
        <v>15</v>
      </c>
      <c r="D1171" s="2" t="s">
        <v>63</v>
      </c>
      <c r="E1171" s="2" t="s">
        <v>49</v>
      </c>
      <c r="F1171" s="2" t="s">
        <v>91</v>
      </c>
      <c r="G1171" s="2" t="s">
        <v>64</v>
      </c>
      <c r="H1171" s="4">
        <v>7</v>
      </c>
      <c r="I1171" s="5">
        <v>6975.88</v>
      </c>
      <c r="J1171" s="6">
        <v>0.15</v>
      </c>
      <c r="K1171" s="5">
        <v>41506.49</v>
      </c>
      <c r="L1171" s="5">
        <v>25391.87</v>
      </c>
      <c r="M1171" s="5">
        <v>16114.62</v>
      </c>
      <c r="N1171" s="2" t="s">
        <v>20</v>
      </c>
    </row>
    <row r="1172" spans="1:14" ht="12" customHeight="1">
      <c r="A1172" s="2" t="s">
        <v>1279</v>
      </c>
      <c r="B1172" s="3">
        <v>45844</v>
      </c>
      <c r="C1172" s="2" t="s">
        <v>28</v>
      </c>
      <c r="D1172" s="2" t="s">
        <v>29</v>
      </c>
      <c r="E1172" s="2" t="s">
        <v>17</v>
      </c>
      <c r="F1172" s="2" t="s">
        <v>18</v>
      </c>
      <c r="G1172" s="2" t="s">
        <v>25</v>
      </c>
      <c r="H1172" s="4">
        <v>7</v>
      </c>
      <c r="I1172" s="5">
        <v>15261.67</v>
      </c>
      <c r="J1172" s="6">
        <v>0.15</v>
      </c>
      <c r="K1172" s="5">
        <v>90806.94</v>
      </c>
      <c r="L1172" s="5">
        <v>58766.879999999997</v>
      </c>
      <c r="M1172" s="5">
        <v>32040.06</v>
      </c>
      <c r="N1172" s="2" t="s">
        <v>20</v>
      </c>
    </row>
    <row r="1173" spans="1:14" ht="12" customHeight="1">
      <c r="A1173" s="2" t="s">
        <v>1280</v>
      </c>
      <c r="B1173" s="3">
        <v>45715</v>
      </c>
      <c r="C1173" s="2" t="s">
        <v>28</v>
      </c>
      <c r="D1173" s="2" t="s">
        <v>52</v>
      </c>
      <c r="E1173" s="2" t="s">
        <v>17</v>
      </c>
      <c r="F1173" s="2" t="s">
        <v>24</v>
      </c>
      <c r="G1173" s="2" t="s">
        <v>61</v>
      </c>
      <c r="H1173" s="4">
        <v>5</v>
      </c>
      <c r="I1173" s="5">
        <v>95796.88</v>
      </c>
      <c r="J1173" s="6">
        <v>0.1</v>
      </c>
      <c r="K1173" s="5">
        <v>431085.96</v>
      </c>
      <c r="L1173" s="5">
        <v>347735.15</v>
      </c>
      <c r="M1173" s="5">
        <v>83350.81</v>
      </c>
      <c r="N1173" s="2" t="s">
        <v>59</v>
      </c>
    </row>
    <row r="1174" spans="1:14" ht="12" customHeight="1">
      <c r="A1174" s="2" t="s">
        <v>1281</v>
      </c>
      <c r="B1174" s="3">
        <v>45826</v>
      </c>
      <c r="C1174" s="2" t="s">
        <v>28</v>
      </c>
      <c r="D1174" s="2" t="s">
        <v>29</v>
      </c>
      <c r="E1174" s="2" t="s">
        <v>30</v>
      </c>
      <c r="F1174" s="2" t="s">
        <v>86</v>
      </c>
      <c r="G1174" s="2" t="s">
        <v>19</v>
      </c>
      <c r="H1174" s="4">
        <v>4</v>
      </c>
      <c r="I1174" s="5">
        <v>34560.519999999997</v>
      </c>
      <c r="J1174" s="6">
        <v>0</v>
      </c>
      <c r="K1174" s="5">
        <v>138242.07999999999</v>
      </c>
      <c r="L1174" s="5">
        <v>88966.399999999994</v>
      </c>
      <c r="M1174" s="5">
        <v>49275.68</v>
      </c>
      <c r="N1174" s="2" t="s">
        <v>20</v>
      </c>
    </row>
    <row r="1175" spans="1:14" ht="12" customHeight="1">
      <c r="A1175" s="2" t="s">
        <v>1282</v>
      </c>
      <c r="B1175" s="3">
        <v>45888</v>
      </c>
      <c r="C1175" s="2" t="s">
        <v>15</v>
      </c>
      <c r="D1175" s="2" t="s">
        <v>63</v>
      </c>
      <c r="E1175" s="2" t="s">
        <v>44</v>
      </c>
      <c r="F1175" s="2" t="s">
        <v>69</v>
      </c>
      <c r="G1175" s="2" t="s">
        <v>58</v>
      </c>
      <c r="H1175" s="4">
        <v>6</v>
      </c>
      <c r="I1175" s="5">
        <v>36755.379999999997</v>
      </c>
      <c r="J1175" s="6">
        <v>0.05</v>
      </c>
      <c r="K1175" s="5">
        <v>209505.67</v>
      </c>
      <c r="L1175" s="5">
        <v>154930.82</v>
      </c>
      <c r="M1175" s="5">
        <v>54574.85</v>
      </c>
      <c r="N1175" s="2" t="s">
        <v>59</v>
      </c>
    </row>
    <row r="1176" spans="1:14" ht="12" customHeight="1">
      <c r="A1176" s="2" t="s">
        <v>1283</v>
      </c>
      <c r="B1176" s="3">
        <v>45807</v>
      </c>
      <c r="C1176" s="2" t="s">
        <v>15</v>
      </c>
      <c r="D1176" s="2" t="s">
        <v>16</v>
      </c>
      <c r="E1176" s="2" t="s">
        <v>44</v>
      </c>
      <c r="F1176" s="2" t="s">
        <v>45</v>
      </c>
      <c r="G1176" s="2" t="s">
        <v>58</v>
      </c>
      <c r="H1176" s="4">
        <v>5</v>
      </c>
      <c r="I1176" s="5">
        <v>26338.29</v>
      </c>
      <c r="J1176" s="6">
        <v>0.05</v>
      </c>
      <c r="K1176" s="5">
        <v>125106.88</v>
      </c>
      <c r="L1176" s="5">
        <v>95897.54</v>
      </c>
      <c r="M1176" s="5">
        <v>29209.34</v>
      </c>
      <c r="N1176" s="2" t="s">
        <v>26</v>
      </c>
    </row>
    <row r="1177" spans="1:14" ht="12" customHeight="1">
      <c r="A1177" s="2" t="s">
        <v>1284</v>
      </c>
      <c r="B1177" s="3">
        <v>46013</v>
      </c>
      <c r="C1177" s="2" t="s">
        <v>15</v>
      </c>
      <c r="D1177" s="2" t="s">
        <v>43</v>
      </c>
      <c r="E1177" s="2" t="s">
        <v>30</v>
      </c>
      <c r="F1177" s="2" t="s">
        <v>40</v>
      </c>
      <c r="G1177" s="2" t="s">
        <v>61</v>
      </c>
      <c r="H1177" s="4">
        <v>8</v>
      </c>
      <c r="I1177" s="5">
        <v>25179.25</v>
      </c>
      <c r="J1177" s="6">
        <v>0</v>
      </c>
      <c r="K1177" s="5">
        <v>201434</v>
      </c>
      <c r="L1177" s="5">
        <v>129188.55</v>
      </c>
      <c r="M1177" s="5">
        <v>72245.45</v>
      </c>
      <c r="N1177" s="2" t="s">
        <v>26</v>
      </c>
    </row>
    <row r="1178" spans="1:14" ht="12" customHeight="1">
      <c r="A1178" s="2" t="s">
        <v>1285</v>
      </c>
      <c r="B1178" s="3">
        <v>45733</v>
      </c>
      <c r="C1178" s="2" t="s">
        <v>15</v>
      </c>
      <c r="D1178" s="2" t="s">
        <v>63</v>
      </c>
      <c r="E1178" s="2" t="s">
        <v>49</v>
      </c>
      <c r="F1178" s="2" t="s">
        <v>57</v>
      </c>
      <c r="G1178" s="2" t="s">
        <v>64</v>
      </c>
      <c r="H1178" s="4">
        <v>4</v>
      </c>
      <c r="I1178" s="5">
        <v>10631.53</v>
      </c>
      <c r="J1178" s="6">
        <v>0</v>
      </c>
      <c r="K1178" s="5">
        <v>42526.12</v>
      </c>
      <c r="L1178" s="5">
        <v>26281.48</v>
      </c>
      <c r="M1178" s="5">
        <v>16244.64</v>
      </c>
      <c r="N1178" s="2" t="s">
        <v>59</v>
      </c>
    </row>
    <row r="1179" spans="1:14" ht="12" customHeight="1">
      <c r="A1179" s="2" t="s">
        <v>1286</v>
      </c>
      <c r="B1179" s="3">
        <v>45914</v>
      </c>
      <c r="C1179" s="2" t="s">
        <v>28</v>
      </c>
      <c r="D1179" s="2" t="s">
        <v>29</v>
      </c>
      <c r="E1179" s="2" t="s">
        <v>49</v>
      </c>
      <c r="F1179" s="2" t="s">
        <v>107</v>
      </c>
      <c r="G1179" s="2" t="s">
        <v>32</v>
      </c>
      <c r="H1179" s="4">
        <v>3</v>
      </c>
      <c r="I1179" s="5">
        <v>5593.04</v>
      </c>
      <c r="J1179" s="6">
        <v>0.15</v>
      </c>
      <c r="K1179" s="5">
        <v>14262.25</v>
      </c>
      <c r="L1179" s="5">
        <v>7945.38</v>
      </c>
      <c r="M1179" s="5">
        <v>6316.87</v>
      </c>
      <c r="N1179" s="2" t="s">
        <v>59</v>
      </c>
    </row>
    <row r="1180" spans="1:14" ht="12" customHeight="1">
      <c r="A1180" s="2" t="s">
        <v>1287</v>
      </c>
      <c r="B1180" s="3">
        <v>45691</v>
      </c>
      <c r="C1180" s="2" t="s">
        <v>28</v>
      </c>
      <c r="D1180" s="2" t="s">
        <v>56</v>
      </c>
      <c r="E1180" s="2" t="s">
        <v>44</v>
      </c>
      <c r="F1180" s="2" t="s">
        <v>53</v>
      </c>
      <c r="G1180" s="2" t="s">
        <v>32</v>
      </c>
      <c r="H1180" s="4">
        <v>3</v>
      </c>
      <c r="I1180" s="5">
        <v>8478.24</v>
      </c>
      <c r="J1180" s="6">
        <v>0.05</v>
      </c>
      <c r="K1180" s="5">
        <v>24162.98</v>
      </c>
      <c r="L1180" s="5">
        <v>14273.65</v>
      </c>
      <c r="M1180" s="5">
        <v>9889.33</v>
      </c>
      <c r="N1180" s="2" t="s">
        <v>26</v>
      </c>
    </row>
    <row r="1181" spans="1:14" ht="12" customHeight="1">
      <c r="A1181" s="2" t="s">
        <v>1288</v>
      </c>
      <c r="B1181" s="3">
        <v>45990</v>
      </c>
      <c r="C1181" s="2" t="s">
        <v>28</v>
      </c>
      <c r="D1181" s="2" t="s">
        <v>52</v>
      </c>
      <c r="E1181" s="2" t="s">
        <v>44</v>
      </c>
      <c r="F1181" s="2" t="s">
        <v>45</v>
      </c>
      <c r="G1181" s="2" t="s">
        <v>47</v>
      </c>
      <c r="H1181" s="4">
        <v>5</v>
      </c>
      <c r="I1181" s="5">
        <v>28995.4</v>
      </c>
      <c r="J1181" s="6">
        <v>0.15</v>
      </c>
      <c r="K1181" s="5">
        <v>123230.45</v>
      </c>
      <c r="L1181" s="5">
        <v>97398.67</v>
      </c>
      <c r="M1181" s="5">
        <v>25831.78</v>
      </c>
      <c r="N1181" s="2" t="s">
        <v>59</v>
      </c>
    </row>
    <row r="1182" spans="1:14" ht="12" customHeight="1">
      <c r="A1182" s="2" t="s">
        <v>1289</v>
      </c>
      <c r="B1182" s="3">
        <v>45708</v>
      </c>
      <c r="C1182" s="2" t="s">
        <v>28</v>
      </c>
      <c r="D1182" s="2" t="s">
        <v>56</v>
      </c>
      <c r="E1182" s="2" t="s">
        <v>17</v>
      </c>
      <c r="F1182" s="2" t="s">
        <v>24</v>
      </c>
      <c r="G1182" s="2" t="s">
        <v>32</v>
      </c>
      <c r="H1182" s="4">
        <v>4</v>
      </c>
      <c r="I1182" s="5">
        <v>89991.61</v>
      </c>
      <c r="J1182" s="6">
        <v>0</v>
      </c>
      <c r="K1182" s="5">
        <v>359966.44</v>
      </c>
      <c r="L1182" s="5">
        <v>271427.27</v>
      </c>
      <c r="M1182" s="5">
        <v>88539.17</v>
      </c>
      <c r="N1182" s="2" t="s">
        <v>33</v>
      </c>
    </row>
    <row r="1183" spans="1:14" ht="12" customHeight="1">
      <c r="A1183" s="2" t="s">
        <v>1290</v>
      </c>
      <c r="B1183" s="3">
        <v>45751</v>
      </c>
      <c r="C1183" s="2" t="s">
        <v>28</v>
      </c>
      <c r="D1183" s="2"/>
      <c r="E1183" s="2" t="s">
        <v>17</v>
      </c>
      <c r="F1183" s="2" t="s">
        <v>75</v>
      </c>
      <c r="G1183" s="2" t="s">
        <v>47</v>
      </c>
      <c r="H1183" s="4">
        <v>8</v>
      </c>
      <c r="I1183" s="5">
        <v>186974.38</v>
      </c>
      <c r="J1183" s="6">
        <v>0</v>
      </c>
      <c r="K1183" s="5">
        <v>1495795.04</v>
      </c>
      <c r="L1183" s="5">
        <v>1121377.93</v>
      </c>
      <c r="M1183" s="5">
        <v>374417.11</v>
      </c>
      <c r="N1183" s="2" t="s">
        <v>26</v>
      </c>
    </row>
    <row r="1184" spans="1:14" ht="12" customHeight="1">
      <c r="A1184" s="2" t="s">
        <v>1291</v>
      </c>
      <c r="B1184" s="3">
        <v>45704</v>
      </c>
      <c r="C1184" s="2" t="s">
        <v>15</v>
      </c>
      <c r="D1184" s="2" t="s">
        <v>43</v>
      </c>
      <c r="E1184" s="2" t="s">
        <v>49</v>
      </c>
      <c r="F1184" s="2" t="s">
        <v>50</v>
      </c>
      <c r="G1184" s="2" t="s">
        <v>47</v>
      </c>
      <c r="H1184" s="4">
        <v>1</v>
      </c>
      <c r="I1184" s="5">
        <v>4522.1400000000003</v>
      </c>
      <c r="J1184" s="6">
        <v>0.05</v>
      </c>
      <c r="K1184" s="5">
        <v>4296.03</v>
      </c>
      <c r="L1184" s="5">
        <v>2118.14</v>
      </c>
      <c r="M1184" s="5">
        <v>2177.89</v>
      </c>
      <c r="N1184" s="2" t="s">
        <v>33</v>
      </c>
    </row>
    <row r="1185" spans="1:14" ht="12" customHeight="1">
      <c r="A1185" s="2" t="s">
        <v>1292</v>
      </c>
      <c r="B1185" s="3">
        <v>45902</v>
      </c>
      <c r="C1185" s="2" t="s">
        <v>22</v>
      </c>
      <c r="D1185" s="2" t="s">
        <v>37</v>
      </c>
      <c r="E1185" s="2" t="s">
        <v>30</v>
      </c>
      <c r="F1185" s="2" t="s">
        <v>31</v>
      </c>
      <c r="G1185" s="2" t="s">
        <v>70</v>
      </c>
      <c r="H1185" s="4">
        <v>4</v>
      </c>
      <c r="I1185" s="5">
        <v>129115.86</v>
      </c>
      <c r="J1185" s="6">
        <v>0.1</v>
      </c>
      <c r="K1185" s="5">
        <v>464817.1</v>
      </c>
      <c r="L1185" s="5">
        <v>413420.32</v>
      </c>
      <c r="M1185" s="5">
        <v>51396.78</v>
      </c>
      <c r="N1185" s="2" t="s">
        <v>33</v>
      </c>
    </row>
    <row r="1186" spans="1:14" ht="12" customHeight="1">
      <c r="A1186" s="2" t="s">
        <v>1293</v>
      </c>
      <c r="B1186" s="3">
        <v>45759</v>
      </c>
      <c r="C1186" s="2" t="s">
        <v>15</v>
      </c>
      <c r="D1186" s="2" t="s">
        <v>16</v>
      </c>
      <c r="E1186" s="2" t="s">
        <v>30</v>
      </c>
      <c r="F1186" s="2" t="s">
        <v>31</v>
      </c>
      <c r="G1186" s="2" t="s">
        <v>19</v>
      </c>
      <c r="H1186" s="4">
        <v>4</v>
      </c>
      <c r="I1186" s="5">
        <v>134531.26</v>
      </c>
      <c r="J1186" s="6">
        <v>0.05</v>
      </c>
      <c r="K1186" s="5">
        <v>511218.79</v>
      </c>
      <c r="L1186" s="5">
        <v>394238.16</v>
      </c>
      <c r="M1186" s="5">
        <v>116980.63</v>
      </c>
      <c r="N1186" s="2" t="s">
        <v>26</v>
      </c>
    </row>
    <row r="1187" spans="1:14" ht="12" customHeight="1">
      <c r="A1187" s="2" t="s">
        <v>1294</v>
      </c>
      <c r="B1187" s="3">
        <v>45884</v>
      </c>
      <c r="C1187" s="2" t="s">
        <v>15</v>
      </c>
      <c r="D1187" s="2" t="s">
        <v>63</v>
      </c>
      <c r="E1187" s="2" t="s">
        <v>30</v>
      </c>
      <c r="F1187" s="2" t="s">
        <v>31</v>
      </c>
      <c r="G1187" s="2" t="s">
        <v>47</v>
      </c>
      <c r="H1187" s="4">
        <v>7</v>
      </c>
      <c r="I1187" s="5">
        <v>142800.6</v>
      </c>
      <c r="J1187" s="6">
        <v>0</v>
      </c>
      <c r="K1187" s="5">
        <v>999604.2</v>
      </c>
      <c r="L1187" s="5">
        <v>721421.88</v>
      </c>
      <c r="M1187" s="5">
        <v>278182.32</v>
      </c>
      <c r="N1187" s="2" t="s">
        <v>20</v>
      </c>
    </row>
    <row r="1188" spans="1:14" ht="12" customHeight="1">
      <c r="A1188" s="2" t="s">
        <v>1295</v>
      </c>
      <c r="B1188" s="3">
        <v>45921</v>
      </c>
      <c r="C1188" s="2" t="s">
        <v>22</v>
      </c>
      <c r="D1188" s="2" t="s">
        <v>35</v>
      </c>
      <c r="E1188" s="2" t="s">
        <v>49</v>
      </c>
      <c r="F1188" s="2" t="s">
        <v>57</v>
      </c>
      <c r="G1188" s="2" t="s">
        <v>58</v>
      </c>
      <c r="H1188" s="4">
        <v>8</v>
      </c>
      <c r="I1188" s="5">
        <v>11741.28</v>
      </c>
      <c r="J1188" s="6">
        <v>0.05</v>
      </c>
      <c r="K1188" s="5">
        <v>89233.73</v>
      </c>
      <c r="L1188" s="5">
        <v>52286.55</v>
      </c>
      <c r="M1188" s="5">
        <v>36947.18</v>
      </c>
      <c r="N1188" s="2" t="s">
        <v>59</v>
      </c>
    </row>
    <row r="1189" spans="1:14" ht="12" customHeight="1">
      <c r="A1189" s="2" t="s">
        <v>1296</v>
      </c>
      <c r="B1189" s="3">
        <v>45883</v>
      </c>
      <c r="C1189" s="2" t="s">
        <v>28</v>
      </c>
      <c r="D1189" s="2" t="s">
        <v>29</v>
      </c>
      <c r="E1189" s="2" t="s">
        <v>44</v>
      </c>
      <c r="F1189" s="2" t="s">
        <v>69</v>
      </c>
      <c r="G1189" s="2" t="s">
        <v>19</v>
      </c>
      <c r="H1189" s="4">
        <v>5</v>
      </c>
      <c r="I1189" s="5">
        <v>39081.279999999999</v>
      </c>
      <c r="J1189" s="6">
        <v>0.1</v>
      </c>
      <c r="K1189" s="5">
        <v>175865.76</v>
      </c>
      <c r="L1189" s="5">
        <v>128910.12</v>
      </c>
      <c r="M1189" s="5">
        <v>46955.64</v>
      </c>
      <c r="N1189" s="2" t="s">
        <v>26</v>
      </c>
    </row>
    <row r="1190" spans="1:14" ht="12" customHeight="1">
      <c r="A1190" s="2" t="s">
        <v>1297</v>
      </c>
      <c r="B1190" s="3">
        <v>46002</v>
      </c>
      <c r="C1190" s="2" t="s">
        <v>28</v>
      </c>
      <c r="D1190" s="2" t="s">
        <v>52</v>
      </c>
      <c r="E1190" s="2" t="s">
        <v>30</v>
      </c>
      <c r="F1190" s="2" t="s">
        <v>40</v>
      </c>
      <c r="G1190" s="2" t="s">
        <v>58</v>
      </c>
      <c r="H1190" s="4">
        <v>8</v>
      </c>
      <c r="I1190" s="5">
        <v>23179.47</v>
      </c>
      <c r="J1190" s="6">
        <v>0</v>
      </c>
      <c r="K1190" s="5">
        <v>185435.76</v>
      </c>
      <c r="L1190" s="5">
        <v>129336.35</v>
      </c>
      <c r="M1190" s="5">
        <v>56099.41</v>
      </c>
      <c r="N1190" s="2" t="s">
        <v>33</v>
      </c>
    </row>
    <row r="1191" spans="1:14" ht="12" customHeight="1">
      <c r="A1191" s="2" t="s">
        <v>1298</v>
      </c>
      <c r="B1191" s="3">
        <v>45814</v>
      </c>
      <c r="C1191" s="2" t="s">
        <v>28</v>
      </c>
      <c r="D1191" s="2" t="s">
        <v>56</v>
      </c>
      <c r="E1191" s="2" t="s">
        <v>316</v>
      </c>
      <c r="F1191" s="2" t="s">
        <v>45</v>
      </c>
      <c r="G1191" s="2" t="s">
        <v>32</v>
      </c>
      <c r="H1191" s="4">
        <v>2</v>
      </c>
      <c r="I1191" s="5">
        <v>29698.61</v>
      </c>
      <c r="J1191" s="6">
        <v>0</v>
      </c>
      <c r="K1191" s="5">
        <v>59397.22</v>
      </c>
      <c r="L1191" s="5">
        <v>37677.15</v>
      </c>
      <c r="M1191" s="5">
        <v>21720.07</v>
      </c>
      <c r="N1191" s="2" t="s">
        <v>20</v>
      </c>
    </row>
    <row r="1192" spans="1:14" ht="12" customHeight="1">
      <c r="A1192" s="2" t="s">
        <v>1299</v>
      </c>
      <c r="B1192" s="3">
        <v>45745</v>
      </c>
      <c r="C1192" s="2" t="s">
        <v>22</v>
      </c>
      <c r="D1192" s="2" t="s">
        <v>37</v>
      </c>
      <c r="E1192" s="2" t="s">
        <v>30</v>
      </c>
      <c r="F1192" s="2" t="s">
        <v>86</v>
      </c>
      <c r="G1192" s="2" t="s">
        <v>61</v>
      </c>
      <c r="H1192" s="4">
        <v>3</v>
      </c>
      <c r="I1192" s="5">
        <v>32069.48</v>
      </c>
      <c r="J1192" s="6">
        <v>0</v>
      </c>
      <c r="K1192" s="5">
        <v>96208.44</v>
      </c>
      <c r="L1192" s="5">
        <v>69096.23</v>
      </c>
      <c r="M1192" s="5">
        <v>27112.21</v>
      </c>
      <c r="N1192" s="2" t="s">
        <v>26</v>
      </c>
    </row>
    <row r="1193" spans="1:14" ht="12" customHeight="1">
      <c r="A1193" s="2" t="s">
        <v>1300</v>
      </c>
      <c r="B1193" s="3">
        <v>45813</v>
      </c>
      <c r="C1193" s="2" t="s">
        <v>28</v>
      </c>
      <c r="D1193" s="2" t="s">
        <v>29</v>
      </c>
      <c r="E1193" s="2" t="s">
        <v>49</v>
      </c>
      <c r="F1193" s="2" t="s">
        <v>107</v>
      </c>
      <c r="G1193" s="2" t="s">
        <v>32</v>
      </c>
      <c r="H1193" s="4">
        <v>5</v>
      </c>
      <c r="I1193" s="5">
        <v>4974.3</v>
      </c>
      <c r="J1193" s="6">
        <v>0.05</v>
      </c>
      <c r="K1193" s="5">
        <v>23627.919999999998</v>
      </c>
      <c r="L1193" s="5">
        <v>13541.02</v>
      </c>
      <c r="M1193" s="5">
        <v>10086.9</v>
      </c>
      <c r="N1193" s="2" t="s">
        <v>26</v>
      </c>
    </row>
    <row r="1194" spans="1:14" ht="12" customHeight="1">
      <c r="A1194" s="2" t="s">
        <v>1301</v>
      </c>
      <c r="B1194" s="3">
        <v>45871</v>
      </c>
      <c r="C1194" s="2" t="s">
        <v>28</v>
      </c>
      <c r="D1194" s="2" t="s">
        <v>56</v>
      </c>
      <c r="E1194" s="2" t="s">
        <v>30</v>
      </c>
      <c r="F1194" s="2" t="s">
        <v>38</v>
      </c>
      <c r="G1194" s="2" t="s">
        <v>64</v>
      </c>
      <c r="H1194" s="4">
        <v>8</v>
      </c>
      <c r="I1194" s="5">
        <v>26170.63</v>
      </c>
      <c r="J1194" s="6">
        <v>0.1</v>
      </c>
      <c r="K1194" s="5">
        <v>188428.54</v>
      </c>
      <c r="L1194" s="5">
        <v>143646.91</v>
      </c>
      <c r="M1194" s="5">
        <v>44781.63</v>
      </c>
      <c r="N1194" s="2" t="s">
        <v>20</v>
      </c>
    </row>
    <row r="1195" spans="1:14" ht="12" customHeight="1">
      <c r="A1195" s="2" t="s">
        <v>1302</v>
      </c>
      <c r="B1195" s="3">
        <v>45761</v>
      </c>
      <c r="C1195" s="2" t="s">
        <v>22</v>
      </c>
      <c r="D1195" s="2" t="s">
        <v>35</v>
      </c>
      <c r="E1195" s="2" t="s">
        <v>30</v>
      </c>
      <c r="F1195" s="2" t="s">
        <v>86</v>
      </c>
      <c r="G1195" s="2" t="s">
        <v>47</v>
      </c>
      <c r="H1195" s="4">
        <v>8</v>
      </c>
      <c r="I1195" s="5">
        <v>34410.019999999997</v>
      </c>
      <c r="J1195" s="6">
        <v>0</v>
      </c>
      <c r="K1195" s="5">
        <v>275280.15999999997</v>
      </c>
      <c r="L1195" s="5">
        <v>184913.52</v>
      </c>
      <c r="M1195" s="5">
        <v>90366.64</v>
      </c>
      <c r="N1195" s="2" t="s">
        <v>59</v>
      </c>
    </row>
    <row r="1196" spans="1:14" ht="12" customHeight="1">
      <c r="A1196" s="2" t="s">
        <v>1303</v>
      </c>
      <c r="B1196" s="3">
        <v>45760</v>
      </c>
      <c r="C1196" s="2" t="s">
        <v>28</v>
      </c>
      <c r="D1196" s="2" t="s">
        <v>56</v>
      </c>
      <c r="E1196" s="2" t="s">
        <v>17</v>
      </c>
      <c r="F1196" s="2" t="s">
        <v>18</v>
      </c>
      <c r="G1196" s="2" t="s">
        <v>47</v>
      </c>
      <c r="H1196" s="4">
        <v>7</v>
      </c>
      <c r="I1196" s="5">
        <v>15174.93</v>
      </c>
      <c r="J1196" s="6">
        <v>0.05</v>
      </c>
      <c r="K1196" s="5">
        <v>100913.28</v>
      </c>
      <c r="L1196" s="5">
        <v>57920.32</v>
      </c>
      <c r="M1196" s="5">
        <v>42992.959999999999</v>
      </c>
      <c r="N1196" s="2" t="s">
        <v>20</v>
      </c>
    </row>
    <row r="1197" spans="1:14" ht="12" customHeight="1">
      <c r="A1197" s="2" t="s">
        <v>1304</v>
      </c>
      <c r="B1197" s="3">
        <v>45961</v>
      </c>
      <c r="C1197" s="2" t="s">
        <v>28</v>
      </c>
      <c r="D1197" s="2" t="s">
        <v>52</v>
      </c>
      <c r="E1197" s="2" t="s">
        <v>17</v>
      </c>
      <c r="F1197" s="2" t="s">
        <v>24</v>
      </c>
      <c r="G1197" s="2" t="s">
        <v>70</v>
      </c>
      <c r="H1197" s="4">
        <v>3</v>
      </c>
      <c r="I1197" s="5">
        <v>89431.11</v>
      </c>
      <c r="J1197" s="6">
        <v>0.05</v>
      </c>
      <c r="K1197" s="5">
        <v>254878.66</v>
      </c>
      <c r="L1197" s="5">
        <v>211324.54</v>
      </c>
      <c r="M1197" s="5">
        <v>43554.12</v>
      </c>
      <c r="N1197" s="2" t="s">
        <v>33</v>
      </c>
    </row>
    <row r="1198" spans="1:14" ht="12" customHeight="1">
      <c r="A1198" s="2" t="s">
        <v>1305</v>
      </c>
      <c r="B1198" s="3">
        <v>45709</v>
      </c>
      <c r="C1198" s="2" t="s">
        <v>15</v>
      </c>
      <c r="D1198" s="2" t="s">
        <v>63</v>
      </c>
      <c r="E1198" s="2" t="s">
        <v>49</v>
      </c>
      <c r="F1198" s="2" t="s">
        <v>50</v>
      </c>
      <c r="G1198" s="2" t="s">
        <v>64</v>
      </c>
      <c r="H1198" s="4">
        <v>5</v>
      </c>
      <c r="I1198" s="5">
        <v>4527.22</v>
      </c>
      <c r="J1198" s="6">
        <v>0.1</v>
      </c>
      <c r="K1198" s="5">
        <v>20372.490000000002</v>
      </c>
      <c r="L1198" s="5">
        <v>10460.64</v>
      </c>
      <c r="M1198" s="5">
        <v>9911.85</v>
      </c>
      <c r="N1198" s="2" t="s">
        <v>59</v>
      </c>
    </row>
    <row r="1199" spans="1:14" ht="12" customHeight="1">
      <c r="A1199" s="2" t="s">
        <v>1306</v>
      </c>
      <c r="B1199" s="3">
        <v>45695</v>
      </c>
      <c r="C1199" s="2" t="s">
        <v>28</v>
      </c>
      <c r="D1199" s="2" t="s">
        <v>29</v>
      </c>
      <c r="E1199" s="2" t="s">
        <v>30</v>
      </c>
      <c r="F1199" s="2" t="s">
        <v>40</v>
      </c>
      <c r="G1199" s="2" t="s">
        <v>32</v>
      </c>
      <c r="H1199" s="4">
        <v>5</v>
      </c>
      <c r="I1199" s="5">
        <v>22975.24</v>
      </c>
      <c r="J1199" s="6">
        <v>0</v>
      </c>
      <c r="K1199" s="5">
        <v>114876.2</v>
      </c>
      <c r="L1199" s="5">
        <v>81501.100000000006</v>
      </c>
      <c r="M1199" s="5">
        <v>33375.1</v>
      </c>
      <c r="N1199" s="2" t="s">
        <v>20</v>
      </c>
    </row>
    <row r="1200" spans="1:14" ht="12" customHeight="1">
      <c r="A1200" s="2" t="s">
        <v>1307</v>
      </c>
      <c r="B1200" s="3">
        <v>45996</v>
      </c>
      <c r="C1200" s="2" t="s">
        <v>22</v>
      </c>
      <c r="D1200" s="2" t="s">
        <v>23</v>
      </c>
      <c r="E1200" s="2" t="s">
        <v>30</v>
      </c>
      <c r="F1200" s="2" t="s">
        <v>86</v>
      </c>
      <c r="G1200" s="2" t="s">
        <v>58</v>
      </c>
      <c r="H1200" s="4">
        <v>2</v>
      </c>
      <c r="I1200" s="5">
        <v>32674.02</v>
      </c>
      <c r="J1200" s="6">
        <v>0.05</v>
      </c>
      <c r="K1200" s="5">
        <v>62080.639999999999</v>
      </c>
      <c r="L1200" s="5">
        <v>45454.11</v>
      </c>
      <c r="M1200" s="5">
        <v>16626.53</v>
      </c>
      <c r="N1200" s="2" t="s">
        <v>59</v>
      </c>
    </row>
    <row r="1201" spans="1:14" ht="12" customHeight="1">
      <c r="A1201" s="2" t="s">
        <v>1308</v>
      </c>
      <c r="B1201" s="3">
        <v>45886</v>
      </c>
      <c r="C1201" s="2" t="s">
        <v>15</v>
      </c>
      <c r="D1201" s="2" t="s">
        <v>16</v>
      </c>
      <c r="E1201" s="2" t="s">
        <v>44</v>
      </c>
      <c r="F1201" s="2" t="s">
        <v>80</v>
      </c>
      <c r="G1201" s="2" t="s">
        <v>243</v>
      </c>
      <c r="H1201" s="4">
        <v>6</v>
      </c>
      <c r="I1201" s="5">
        <v>46145.54</v>
      </c>
      <c r="J1201" s="6">
        <v>0.05</v>
      </c>
      <c r="K1201" s="5">
        <v>263029.58</v>
      </c>
      <c r="L1201" s="5">
        <v>192204.45</v>
      </c>
      <c r="M1201" s="5">
        <v>70825.13</v>
      </c>
      <c r="N1201" s="2" t="s">
        <v>26</v>
      </c>
    </row>
    <row r="1202" spans="1:14" ht="12" customHeight="1">
      <c r="A1202" s="2" t="s">
        <v>1309</v>
      </c>
      <c r="B1202" s="3">
        <v>45790</v>
      </c>
      <c r="C1202" s="2" t="s">
        <v>28</v>
      </c>
      <c r="D1202" s="2" t="s">
        <v>56</v>
      </c>
      <c r="E1202" s="2" t="s">
        <v>44</v>
      </c>
      <c r="F1202" s="2" t="s">
        <v>53</v>
      </c>
      <c r="G1202" s="2" t="s">
        <v>58</v>
      </c>
      <c r="H1202" s="4">
        <v>6</v>
      </c>
      <c r="I1202" s="5">
        <v>8272.9</v>
      </c>
      <c r="J1202" s="6">
        <v>0.15</v>
      </c>
      <c r="K1202" s="5">
        <v>42191.79</v>
      </c>
      <c r="L1202" s="5">
        <v>30517.22</v>
      </c>
      <c r="M1202" s="5">
        <v>11674.57</v>
      </c>
      <c r="N1202" s="2" t="s">
        <v>33</v>
      </c>
    </row>
    <row r="1203" spans="1:14" ht="12" customHeight="1">
      <c r="A1203" s="2" t="s">
        <v>1310</v>
      </c>
      <c r="B1203" s="3">
        <v>45688</v>
      </c>
      <c r="C1203" s="2" t="s">
        <v>22</v>
      </c>
      <c r="D1203" s="2" t="s">
        <v>23</v>
      </c>
      <c r="E1203" s="2" t="s">
        <v>49</v>
      </c>
      <c r="F1203" s="2" t="s">
        <v>107</v>
      </c>
      <c r="G1203" s="2" t="s">
        <v>32</v>
      </c>
      <c r="H1203" s="4">
        <v>7</v>
      </c>
      <c r="I1203" s="5">
        <v>5454.65</v>
      </c>
      <c r="J1203" s="6">
        <v>0</v>
      </c>
      <c r="K1203" s="5">
        <v>38182.550000000003</v>
      </c>
      <c r="L1203" s="5">
        <v>19433.310000000001</v>
      </c>
      <c r="M1203" s="5">
        <v>18749.240000000002</v>
      </c>
      <c r="N1203" s="2" t="s">
        <v>33</v>
      </c>
    </row>
    <row r="1204" spans="1:14" ht="12" customHeight="1">
      <c r="A1204" s="2" t="s">
        <v>1311</v>
      </c>
      <c r="B1204" s="3">
        <v>45696</v>
      </c>
      <c r="C1204" s="2" t="s">
        <v>15</v>
      </c>
      <c r="D1204" s="2" t="s">
        <v>63</v>
      </c>
      <c r="E1204" s="2" t="s">
        <v>17</v>
      </c>
      <c r="F1204" s="2" t="s">
        <v>18</v>
      </c>
      <c r="G1204" s="2" t="s">
        <v>19</v>
      </c>
      <c r="H1204" s="4">
        <v>8</v>
      </c>
      <c r="I1204" s="5">
        <v>13995.74</v>
      </c>
      <c r="J1204" s="6">
        <v>0.05</v>
      </c>
      <c r="K1204" s="5">
        <v>106367.62</v>
      </c>
      <c r="L1204" s="5">
        <v>66545.039999999994</v>
      </c>
      <c r="M1204" s="5">
        <v>39822.58</v>
      </c>
      <c r="N1204" s="2" t="s">
        <v>33</v>
      </c>
    </row>
    <row r="1205" spans="1:14" ht="12" customHeight="1">
      <c r="A1205" s="2" t="s">
        <v>1312</v>
      </c>
      <c r="B1205" s="3">
        <v>45799</v>
      </c>
      <c r="C1205" s="2" t="s">
        <v>15</v>
      </c>
      <c r="D1205" s="2" t="s">
        <v>16</v>
      </c>
      <c r="E1205" s="2" t="s">
        <v>17</v>
      </c>
      <c r="F1205" s="2" t="s">
        <v>114</v>
      </c>
      <c r="G1205" s="2" t="s">
        <v>70</v>
      </c>
      <c r="H1205" s="4">
        <v>4</v>
      </c>
      <c r="I1205" s="5">
        <v>54095.87</v>
      </c>
      <c r="J1205" s="6">
        <v>0.15</v>
      </c>
      <c r="K1205" s="5">
        <v>183925.96</v>
      </c>
      <c r="L1205" s="5">
        <v>146024.28</v>
      </c>
      <c r="M1205" s="5">
        <v>37901.68</v>
      </c>
      <c r="N1205" s="2" t="s">
        <v>20</v>
      </c>
    </row>
    <row r="1206" spans="1:14" ht="12" customHeight="1">
      <c r="A1206" s="2" t="s">
        <v>1313</v>
      </c>
      <c r="B1206" s="3">
        <v>46012</v>
      </c>
      <c r="C1206" s="2" t="s">
        <v>15</v>
      </c>
      <c r="D1206" s="2" t="s">
        <v>16</v>
      </c>
      <c r="E1206" s="2" t="s">
        <v>30</v>
      </c>
      <c r="F1206" s="2" t="s">
        <v>31</v>
      </c>
      <c r="G1206" s="2" t="s">
        <v>25</v>
      </c>
      <c r="H1206" s="4">
        <v>3</v>
      </c>
      <c r="I1206" s="5">
        <v>138193.34</v>
      </c>
      <c r="J1206" s="6">
        <v>0.05</v>
      </c>
      <c r="K1206" s="5">
        <v>393851.02</v>
      </c>
      <c r="L1206" s="5">
        <v>303540.34000000003</v>
      </c>
      <c r="M1206" s="5">
        <v>90310.68</v>
      </c>
      <c r="N1206" s="2" t="s">
        <v>33</v>
      </c>
    </row>
    <row r="1207" spans="1:14" ht="12" customHeight="1">
      <c r="A1207" s="2" t="s">
        <v>1314</v>
      </c>
      <c r="B1207" s="3">
        <v>45735</v>
      </c>
      <c r="C1207" s="2" t="s">
        <v>28</v>
      </c>
      <c r="D1207" s="2" t="s">
        <v>29</v>
      </c>
      <c r="E1207" s="2" t="s">
        <v>30</v>
      </c>
      <c r="F1207" s="2" t="s">
        <v>31</v>
      </c>
      <c r="G1207" s="2" t="s">
        <v>58</v>
      </c>
      <c r="H1207" s="4">
        <v>7</v>
      </c>
      <c r="I1207" s="5">
        <v>124607.63</v>
      </c>
      <c r="J1207" s="6">
        <v>0</v>
      </c>
      <c r="K1207" s="5">
        <v>872253.41</v>
      </c>
      <c r="L1207" s="5">
        <v>701744.8</v>
      </c>
      <c r="M1207" s="5">
        <v>170508.61</v>
      </c>
      <c r="N1207" s="2" t="s">
        <v>26</v>
      </c>
    </row>
    <row r="1208" spans="1:14" ht="12" customHeight="1">
      <c r="A1208" s="2" t="s">
        <v>1315</v>
      </c>
      <c r="B1208" s="3">
        <v>45953</v>
      </c>
      <c r="C1208" s="2" t="s">
        <v>15</v>
      </c>
      <c r="D1208" s="2" t="s">
        <v>43</v>
      </c>
      <c r="E1208" s="2" t="s">
        <v>30</v>
      </c>
      <c r="F1208" s="2" t="s">
        <v>40</v>
      </c>
      <c r="G1208" s="2" t="s">
        <v>61</v>
      </c>
      <c r="H1208" s="4">
        <v>4</v>
      </c>
      <c r="I1208" s="5">
        <v>25558.12</v>
      </c>
      <c r="J1208" s="6">
        <v>0.1</v>
      </c>
      <c r="K1208" s="5">
        <v>92009.23</v>
      </c>
      <c r="L1208" s="5">
        <v>65397.78</v>
      </c>
      <c r="M1208" s="5">
        <v>26611.45</v>
      </c>
      <c r="N1208" s="2" t="s">
        <v>26</v>
      </c>
    </row>
    <row r="1209" spans="1:14" ht="12" customHeight="1">
      <c r="A1209" s="2" t="s">
        <v>1316</v>
      </c>
      <c r="B1209" s="3">
        <v>45678</v>
      </c>
      <c r="C1209" s="2" t="s">
        <v>22</v>
      </c>
      <c r="D1209" s="2" t="s">
        <v>23</v>
      </c>
      <c r="E1209" s="2" t="s">
        <v>30</v>
      </c>
      <c r="F1209" s="2" t="s">
        <v>86</v>
      </c>
      <c r="G1209" s="2" t="s">
        <v>61</v>
      </c>
      <c r="H1209" s="4">
        <v>2</v>
      </c>
      <c r="I1209" s="5">
        <v>30498.47</v>
      </c>
      <c r="J1209" s="6">
        <v>0.1</v>
      </c>
      <c r="K1209" s="5">
        <v>54897.25</v>
      </c>
      <c r="L1209" s="5">
        <v>46625.16</v>
      </c>
      <c r="M1209" s="5">
        <v>8272.09</v>
      </c>
      <c r="N1209" s="2" t="s">
        <v>59</v>
      </c>
    </row>
    <row r="1210" spans="1:14" ht="12" customHeight="1">
      <c r="A1210" s="2" t="s">
        <v>1317</v>
      </c>
      <c r="B1210" s="3">
        <v>45796</v>
      </c>
      <c r="C1210" s="2" t="s">
        <v>22</v>
      </c>
      <c r="D1210" s="2" t="s">
        <v>35</v>
      </c>
      <c r="E1210" s="2" t="s">
        <v>30</v>
      </c>
      <c r="F1210" s="2" t="s">
        <v>86</v>
      </c>
      <c r="G1210" s="2" t="s">
        <v>47</v>
      </c>
      <c r="H1210" s="4">
        <v>4</v>
      </c>
      <c r="I1210" s="5">
        <v>31424.98</v>
      </c>
      <c r="J1210" s="6">
        <v>0</v>
      </c>
      <c r="K1210" s="5">
        <v>125699.92</v>
      </c>
      <c r="L1210" s="5">
        <v>89972.99</v>
      </c>
      <c r="M1210" s="5">
        <v>35726.93</v>
      </c>
      <c r="N1210" s="2" t="s">
        <v>26</v>
      </c>
    </row>
    <row r="1211" spans="1:14" ht="12" customHeight="1">
      <c r="A1211" s="2" t="s">
        <v>1318</v>
      </c>
      <c r="B1211" s="3">
        <v>45764</v>
      </c>
      <c r="C1211" s="2" t="s">
        <v>28</v>
      </c>
      <c r="D1211" s="2" t="s">
        <v>52</v>
      </c>
      <c r="E1211" s="2" t="s">
        <v>44</v>
      </c>
      <c r="F1211" s="2" t="s">
        <v>53</v>
      </c>
      <c r="G1211" s="2" t="s">
        <v>25</v>
      </c>
      <c r="H1211" s="4">
        <v>2</v>
      </c>
      <c r="I1211" s="5">
        <v>8954.4500000000007</v>
      </c>
      <c r="J1211" s="6">
        <v>0.05</v>
      </c>
      <c r="K1211" s="5">
        <v>17013.46</v>
      </c>
      <c r="L1211" s="5">
        <v>9523.44</v>
      </c>
      <c r="M1211" s="5">
        <v>7490.02</v>
      </c>
      <c r="N1211" s="2" t="s">
        <v>33</v>
      </c>
    </row>
    <row r="1212" spans="1:14" ht="12" customHeight="1">
      <c r="A1212" s="2" t="s">
        <v>1319</v>
      </c>
      <c r="B1212" s="3">
        <v>45705</v>
      </c>
      <c r="C1212" s="2" t="s">
        <v>28</v>
      </c>
      <c r="D1212" s="2" t="s">
        <v>56</v>
      </c>
      <c r="E1212" s="2" t="s">
        <v>49</v>
      </c>
      <c r="F1212" s="2" t="s">
        <v>50</v>
      </c>
      <c r="G1212" s="2" t="s">
        <v>61</v>
      </c>
      <c r="H1212" s="4">
        <v>4</v>
      </c>
      <c r="I1212" s="5">
        <v>4382.1000000000004</v>
      </c>
      <c r="J1212" s="6">
        <v>0.1</v>
      </c>
      <c r="K1212" s="5">
        <v>15775.56</v>
      </c>
      <c r="L1212" s="5">
        <v>8626.93</v>
      </c>
      <c r="M1212" s="5">
        <v>7148.63</v>
      </c>
      <c r="N1212" s="2" t="s">
        <v>33</v>
      </c>
    </row>
    <row r="1213" spans="1:14" ht="12" customHeight="1">
      <c r="A1213" s="2" t="s">
        <v>1320</v>
      </c>
      <c r="B1213" s="3">
        <v>45765</v>
      </c>
      <c r="C1213" s="2" t="s">
        <v>22</v>
      </c>
      <c r="D1213" s="2" t="s">
        <v>23</v>
      </c>
      <c r="E1213" s="2" t="s">
        <v>17</v>
      </c>
      <c r="F1213" s="2" t="s">
        <v>114</v>
      </c>
      <c r="G1213" s="2" t="s">
        <v>19</v>
      </c>
      <c r="H1213" s="4">
        <v>6</v>
      </c>
      <c r="I1213" s="5">
        <v>54077.36</v>
      </c>
      <c r="J1213" s="6">
        <v>0.05</v>
      </c>
      <c r="K1213" s="5">
        <v>308240.95</v>
      </c>
      <c r="L1213" s="5">
        <v>218793.91</v>
      </c>
      <c r="M1213" s="5">
        <v>89447.039999999994</v>
      </c>
      <c r="N1213" s="2" t="s">
        <v>59</v>
      </c>
    </row>
    <row r="1214" spans="1:14" ht="12" customHeight="1">
      <c r="A1214" s="2" t="s">
        <v>1321</v>
      </c>
      <c r="B1214" s="3">
        <v>45709</v>
      </c>
      <c r="C1214" s="2" t="s">
        <v>28</v>
      </c>
      <c r="D1214" s="2" t="s">
        <v>56</v>
      </c>
      <c r="E1214" s="2" t="s">
        <v>17</v>
      </c>
      <c r="F1214" s="2" t="s">
        <v>114</v>
      </c>
      <c r="G1214" s="2" t="s">
        <v>32</v>
      </c>
      <c r="H1214" s="4">
        <v>1</v>
      </c>
      <c r="I1214" s="5">
        <v>47900.37</v>
      </c>
      <c r="J1214" s="6">
        <v>0.05</v>
      </c>
      <c r="K1214" s="5">
        <v>45505.35</v>
      </c>
      <c r="L1214" s="5">
        <v>36427.79</v>
      </c>
      <c r="M1214" s="5">
        <v>9077.56</v>
      </c>
      <c r="N1214" s="2" t="s">
        <v>59</v>
      </c>
    </row>
    <row r="1215" spans="1:14" ht="12" customHeight="1">
      <c r="A1215" s="2" t="s">
        <v>1322</v>
      </c>
      <c r="B1215" s="3">
        <v>45857</v>
      </c>
      <c r="C1215" s="2" t="s">
        <v>28</v>
      </c>
      <c r="D1215" s="2" t="s">
        <v>52</v>
      </c>
      <c r="E1215" s="2" t="s">
        <v>49</v>
      </c>
      <c r="F1215" s="2" t="s">
        <v>57</v>
      </c>
      <c r="G1215" s="2" t="s">
        <v>70</v>
      </c>
      <c r="H1215" s="4">
        <v>4</v>
      </c>
      <c r="I1215" s="5">
        <v>12419.46</v>
      </c>
      <c r="J1215" s="6">
        <v>0</v>
      </c>
      <c r="K1215" s="5">
        <v>49677.84</v>
      </c>
      <c r="L1215" s="5">
        <v>26403.79</v>
      </c>
      <c r="M1215" s="5">
        <v>23274.05</v>
      </c>
      <c r="N1215" s="2" t="s">
        <v>33</v>
      </c>
    </row>
    <row r="1216" spans="1:14" ht="12" customHeight="1">
      <c r="A1216" s="2" t="s">
        <v>1323</v>
      </c>
      <c r="B1216" s="3">
        <v>45723</v>
      </c>
      <c r="C1216" s="2" t="s">
        <v>28</v>
      </c>
      <c r="D1216" s="2" t="s">
        <v>29</v>
      </c>
      <c r="E1216" s="2" t="s">
        <v>30</v>
      </c>
      <c r="F1216" s="2" t="s">
        <v>31</v>
      </c>
      <c r="G1216" s="2" t="s">
        <v>61</v>
      </c>
      <c r="H1216" s="4">
        <v>3</v>
      </c>
      <c r="I1216" s="5">
        <v>142504.16</v>
      </c>
      <c r="J1216" s="6">
        <v>0</v>
      </c>
      <c r="K1216" s="5">
        <v>427512.48</v>
      </c>
      <c r="L1216" s="5">
        <v>305884.73</v>
      </c>
      <c r="M1216" s="5">
        <v>121627.75</v>
      </c>
      <c r="N1216" s="2" t="s">
        <v>26</v>
      </c>
    </row>
    <row r="1217" spans="1:14" ht="12" customHeight="1">
      <c r="A1217" s="2" t="s">
        <v>1324</v>
      </c>
      <c r="B1217" s="3">
        <v>45974</v>
      </c>
      <c r="C1217" s="2" t="s">
        <v>15</v>
      </c>
      <c r="D1217" s="2" t="s">
        <v>63</v>
      </c>
      <c r="E1217" s="2" t="s">
        <v>17</v>
      </c>
      <c r="F1217" s="2" t="s">
        <v>75</v>
      </c>
      <c r="G1217" s="2" t="s">
        <v>25</v>
      </c>
      <c r="H1217" s="4">
        <v>4</v>
      </c>
      <c r="I1217" s="5">
        <v>195843.81</v>
      </c>
      <c r="J1217" s="6">
        <v>0.15</v>
      </c>
      <c r="K1217" s="5">
        <v>665868.94999999995</v>
      </c>
      <c r="L1217" s="5">
        <v>562613.04</v>
      </c>
      <c r="M1217" s="5">
        <v>103255.91</v>
      </c>
      <c r="N1217" s="2" t="s">
        <v>26</v>
      </c>
    </row>
    <row r="1218" spans="1:14" ht="12" customHeight="1">
      <c r="A1218" s="2" t="s">
        <v>1325</v>
      </c>
      <c r="B1218" s="3">
        <v>45673</v>
      </c>
      <c r="C1218" s="2" t="s">
        <v>28</v>
      </c>
      <c r="D1218" s="2" t="s">
        <v>52</v>
      </c>
      <c r="E1218" s="2" t="s">
        <v>44</v>
      </c>
      <c r="F1218" s="2" t="s">
        <v>45</v>
      </c>
      <c r="G1218" s="2" t="s">
        <v>70</v>
      </c>
      <c r="H1218" s="4">
        <v>3</v>
      </c>
      <c r="I1218" s="5">
        <v>27884.71</v>
      </c>
      <c r="J1218" s="6">
        <v>0</v>
      </c>
      <c r="K1218" s="5">
        <v>83654.13</v>
      </c>
      <c r="L1218" s="5">
        <v>58428.36</v>
      </c>
      <c r="M1218" s="5">
        <v>25225.77</v>
      </c>
      <c r="N1218" s="2" t="s">
        <v>26</v>
      </c>
    </row>
    <row r="1219" spans="1:14" ht="12" customHeight="1">
      <c r="A1219" s="2" t="s">
        <v>1326</v>
      </c>
      <c r="B1219" s="3">
        <v>45898</v>
      </c>
      <c r="C1219" s="2" t="s">
        <v>28</v>
      </c>
      <c r="D1219" s="2" t="s">
        <v>56</v>
      </c>
      <c r="E1219" s="2" t="s">
        <v>30</v>
      </c>
      <c r="F1219" s="2" t="s">
        <v>38</v>
      </c>
      <c r="G1219" s="2" t="s">
        <v>64</v>
      </c>
      <c r="H1219" s="4">
        <v>6</v>
      </c>
      <c r="I1219" s="5">
        <v>24963.03</v>
      </c>
      <c r="J1219" s="6">
        <v>0</v>
      </c>
      <c r="K1219" s="5">
        <v>149778.18</v>
      </c>
      <c r="L1219" s="5">
        <v>107266.76</v>
      </c>
      <c r="M1219" s="5">
        <v>42511.42</v>
      </c>
      <c r="N1219" s="2" t="s">
        <v>26</v>
      </c>
    </row>
    <row r="1220" spans="1:14" ht="12" customHeight="1">
      <c r="A1220" s="2" t="s">
        <v>1327</v>
      </c>
      <c r="B1220" s="3">
        <v>45705</v>
      </c>
      <c r="C1220" s="2" t="s">
        <v>28</v>
      </c>
      <c r="D1220" s="2" t="s">
        <v>52</v>
      </c>
      <c r="E1220" s="2" t="s">
        <v>49</v>
      </c>
      <c r="F1220" s="2" t="s">
        <v>50</v>
      </c>
      <c r="G1220" s="2" t="s">
        <v>25</v>
      </c>
      <c r="H1220" s="4">
        <v>3</v>
      </c>
      <c r="I1220" s="5">
        <v>3931.28</v>
      </c>
      <c r="J1220" s="6">
        <v>0.05</v>
      </c>
      <c r="K1220" s="5">
        <v>11204.15</v>
      </c>
      <c r="L1220" s="5">
        <v>6506.66</v>
      </c>
      <c r="M1220" s="5">
        <v>4697.49</v>
      </c>
      <c r="N1220" s="2" t="s">
        <v>33</v>
      </c>
    </row>
    <row r="1221" spans="1:14" ht="12" customHeight="1">
      <c r="A1221" s="2" t="s">
        <v>1328</v>
      </c>
      <c r="B1221" s="3">
        <v>45658</v>
      </c>
      <c r="C1221" s="2" t="s">
        <v>22</v>
      </c>
      <c r="D1221" s="2" t="s">
        <v>35</v>
      </c>
      <c r="E1221" s="2" t="s">
        <v>49</v>
      </c>
      <c r="F1221" s="2" t="s">
        <v>107</v>
      </c>
      <c r="G1221" s="2" t="s">
        <v>58</v>
      </c>
      <c r="H1221" s="4">
        <v>8</v>
      </c>
      <c r="I1221" s="5">
        <v>4895.83</v>
      </c>
      <c r="J1221" s="6">
        <v>0.1</v>
      </c>
      <c r="K1221" s="5">
        <v>35249.980000000003</v>
      </c>
      <c r="L1221" s="5">
        <v>22175.85</v>
      </c>
      <c r="M1221" s="5">
        <v>13074.13</v>
      </c>
      <c r="N1221" s="2" t="s">
        <v>20</v>
      </c>
    </row>
    <row r="1222" spans="1:14" ht="12" customHeight="1">
      <c r="A1222" s="2" t="s">
        <v>1329</v>
      </c>
      <c r="B1222" s="3">
        <v>45902</v>
      </c>
      <c r="C1222" s="2" t="s">
        <v>28</v>
      </c>
      <c r="D1222" s="2" t="s">
        <v>56</v>
      </c>
      <c r="E1222" s="2" t="s">
        <v>44</v>
      </c>
      <c r="F1222" s="2" t="s">
        <v>69</v>
      </c>
      <c r="G1222" s="2" t="s">
        <v>70</v>
      </c>
      <c r="H1222" s="4">
        <v>6</v>
      </c>
      <c r="I1222" s="5">
        <v>40777.980000000003</v>
      </c>
      <c r="J1222" s="6">
        <v>0.15</v>
      </c>
      <c r="K1222" s="5">
        <v>207967.7</v>
      </c>
      <c r="L1222" s="5">
        <v>159142.16</v>
      </c>
      <c r="M1222" s="5">
        <v>48825.54</v>
      </c>
      <c r="N1222" s="2" t="s">
        <v>26</v>
      </c>
    </row>
    <row r="1223" spans="1:14" ht="12" customHeight="1">
      <c r="A1223" s="2" t="s">
        <v>1330</v>
      </c>
      <c r="B1223" s="3">
        <v>45864</v>
      </c>
      <c r="C1223" s="2" t="s">
        <v>22</v>
      </c>
      <c r="D1223" s="2" t="s">
        <v>23</v>
      </c>
      <c r="E1223" s="2" t="s">
        <v>44</v>
      </c>
      <c r="F1223" s="2" t="s">
        <v>45</v>
      </c>
      <c r="G1223" s="2" t="s">
        <v>58</v>
      </c>
      <c r="H1223" s="4">
        <v>4</v>
      </c>
      <c r="I1223" s="5">
        <v>29226</v>
      </c>
      <c r="J1223" s="6">
        <v>0.15</v>
      </c>
      <c r="K1223" s="5">
        <v>99368.4</v>
      </c>
      <c r="L1223" s="5">
        <v>74224.28</v>
      </c>
      <c r="M1223" s="5">
        <v>25144.12</v>
      </c>
      <c r="N1223" s="2" t="s">
        <v>33</v>
      </c>
    </row>
    <row r="1224" spans="1:14" ht="12" customHeight="1">
      <c r="A1224" s="2" t="s">
        <v>1331</v>
      </c>
      <c r="B1224" s="3">
        <v>45924</v>
      </c>
      <c r="C1224" s="2" t="s">
        <v>22</v>
      </c>
      <c r="D1224" s="2" t="s">
        <v>23</v>
      </c>
      <c r="E1224" s="2" t="s">
        <v>30</v>
      </c>
      <c r="F1224" s="2" t="s">
        <v>86</v>
      </c>
      <c r="G1224" s="2" t="s">
        <v>58</v>
      </c>
      <c r="H1224" s="4">
        <v>5</v>
      </c>
      <c r="I1224" s="5">
        <v>32095.14</v>
      </c>
      <c r="J1224" s="6">
        <v>0.05</v>
      </c>
      <c r="K1224" s="5">
        <v>152451.92000000001</v>
      </c>
      <c r="L1224" s="5">
        <v>114388.31</v>
      </c>
      <c r="M1224" s="5">
        <v>38063.61</v>
      </c>
      <c r="N1224" s="2" t="s">
        <v>26</v>
      </c>
    </row>
    <row r="1225" spans="1:14" ht="12" customHeight="1">
      <c r="A1225" s="2" t="s">
        <v>1332</v>
      </c>
      <c r="B1225" s="3">
        <v>45759</v>
      </c>
      <c r="C1225" s="2" t="s">
        <v>28</v>
      </c>
      <c r="D1225" s="2" t="s">
        <v>56</v>
      </c>
      <c r="E1225" s="2" t="s">
        <v>30</v>
      </c>
      <c r="F1225" s="2" t="s">
        <v>86</v>
      </c>
      <c r="G1225" s="2" t="s">
        <v>61</v>
      </c>
      <c r="H1225" s="4">
        <v>1</v>
      </c>
      <c r="I1225" s="5">
        <v>34309.1</v>
      </c>
      <c r="J1225" s="6">
        <v>0.05</v>
      </c>
      <c r="K1225" s="5">
        <v>32593.64</v>
      </c>
      <c r="L1225" s="5">
        <v>22820.21</v>
      </c>
      <c r="M1225" s="5">
        <v>9773.43</v>
      </c>
      <c r="N1225" s="2" t="s">
        <v>33</v>
      </c>
    </row>
    <row r="1226" spans="1:14" ht="12" customHeight="1">
      <c r="A1226" s="2" t="s">
        <v>1333</v>
      </c>
      <c r="B1226" s="3">
        <v>45905</v>
      </c>
      <c r="C1226" s="2" t="s">
        <v>22</v>
      </c>
      <c r="D1226" s="2" t="s">
        <v>37</v>
      </c>
      <c r="E1226" s="2" t="s">
        <v>17</v>
      </c>
      <c r="F1226" s="2" t="s">
        <v>24</v>
      </c>
      <c r="G1226" s="2" t="s">
        <v>32</v>
      </c>
      <c r="H1226" s="4">
        <v>3</v>
      </c>
      <c r="I1226" s="5">
        <v>90480.36</v>
      </c>
      <c r="J1226" s="6">
        <v>0</v>
      </c>
      <c r="K1226" s="5">
        <v>271441.08</v>
      </c>
      <c r="L1226" s="5">
        <v>206049.4</v>
      </c>
      <c r="M1226" s="5">
        <v>65391.68</v>
      </c>
      <c r="N1226" s="2" t="s">
        <v>26</v>
      </c>
    </row>
    <row r="1227" spans="1:14" ht="12" customHeight="1">
      <c r="A1227" s="2" t="s">
        <v>1334</v>
      </c>
      <c r="B1227" s="3">
        <v>45718</v>
      </c>
      <c r="C1227" s="2" t="s">
        <v>15</v>
      </c>
      <c r="D1227" s="2" t="s">
        <v>43</v>
      </c>
      <c r="E1227" s="2" t="s">
        <v>49</v>
      </c>
      <c r="F1227" s="2" t="s">
        <v>107</v>
      </c>
      <c r="G1227" s="2" t="s">
        <v>58</v>
      </c>
      <c r="H1227" s="4">
        <v>4</v>
      </c>
      <c r="I1227" s="5">
        <v>5161.0600000000004</v>
      </c>
      <c r="J1227" s="6">
        <v>0.05</v>
      </c>
      <c r="K1227" s="5">
        <v>19612.03</v>
      </c>
      <c r="L1227" s="5">
        <v>10888.68</v>
      </c>
      <c r="M1227" s="5">
        <v>8723.35</v>
      </c>
      <c r="N1227" s="2" t="s">
        <v>59</v>
      </c>
    </row>
    <row r="1228" spans="1:14" ht="12" customHeight="1">
      <c r="A1228" s="2" t="s">
        <v>1335</v>
      </c>
      <c r="B1228" s="3">
        <v>46000</v>
      </c>
      <c r="C1228" s="2" t="s">
        <v>28</v>
      </c>
      <c r="D1228" s="2" t="s">
        <v>52</v>
      </c>
      <c r="E1228" s="2" t="s">
        <v>30</v>
      </c>
      <c r="F1228" s="2" t="s">
        <v>38</v>
      </c>
      <c r="G1228" s="2" t="s">
        <v>32</v>
      </c>
      <c r="H1228" s="4">
        <v>8</v>
      </c>
      <c r="I1228" s="5">
        <v>28175.07</v>
      </c>
      <c r="J1228" s="6">
        <v>0.05</v>
      </c>
      <c r="K1228" s="5">
        <v>214130.53</v>
      </c>
      <c r="L1228" s="5">
        <v>146365.54</v>
      </c>
      <c r="M1228" s="5">
        <v>67764.990000000005</v>
      </c>
      <c r="N1228" s="2" t="s">
        <v>59</v>
      </c>
    </row>
    <row r="1229" spans="1:14" ht="12" customHeight="1">
      <c r="A1229" s="2" t="s">
        <v>1336</v>
      </c>
      <c r="B1229" s="3">
        <v>45719</v>
      </c>
      <c r="C1229" s="2" t="s">
        <v>22</v>
      </c>
      <c r="D1229" s="2" t="s">
        <v>35</v>
      </c>
      <c r="E1229" s="2" t="s">
        <v>49</v>
      </c>
      <c r="F1229" s="2" t="s">
        <v>91</v>
      </c>
      <c r="G1229" s="2" t="s">
        <v>58</v>
      </c>
      <c r="H1229" s="4">
        <v>3</v>
      </c>
      <c r="I1229" s="5">
        <v>6078.37</v>
      </c>
      <c r="J1229" s="6">
        <v>0.05</v>
      </c>
      <c r="K1229" s="5">
        <v>17323.349999999999</v>
      </c>
      <c r="L1229" s="5">
        <v>11103.54</v>
      </c>
      <c r="M1229" s="5">
        <v>6219.81</v>
      </c>
      <c r="N1229" s="2" t="s">
        <v>41</v>
      </c>
    </row>
    <row r="1230" spans="1:14" ht="12" customHeight="1">
      <c r="A1230" s="2" t="s">
        <v>1337</v>
      </c>
      <c r="B1230" s="3">
        <v>45919</v>
      </c>
      <c r="C1230" s="2" t="s">
        <v>28</v>
      </c>
      <c r="D1230" s="2" t="s">
        <v>56</v>
      </c>
      <c r="E1230" s="2" t="s">
        <v>49</v>
      </c>
      <c r="F1230" s="2" t="s">
        <v>107</v>
      </c>
      <c r="G1230" s="2" t="s">
        <v>47</v>
      </c>
      <c r="H1230" s="4">
        <v>2</v>
      </c>
      <c r="I1230" s="5">
        <v>5587.96</v>
      </c>
      <c r="J1230" s="6">
        <v>0.1</v>
      </c>
      <c r="K1230" s="5">
        <v>10058.33</v>
      </c>
      <c r="L1230" s="5">
        <v>5307.03</v>
      </c>
      <c r="M1230" s="5">
        <v>4751.3</v>
      </c>
      <c r="N1230" s="2" t="s">
        <v>26</v>
      </c>
    </row>
    <row r="1231" spans="1:14" ht="12" customHeight="1">
      <c r="A1231" s="2" t="s">
        <v>1338</v>
      </c>
      <c r="B1231" s="3">
        <v>45929</v>
      </c>
      <c r="C1231" s="2" t="s">
        <v>15</v>
      </c>
      <c r="D1231" s="2" t="s">
        <v>16</v>
      </c>
      <c r="E1231" s="2" t="s">
        <v>17</v>
      </c>
      <c r="F1231" s="2" t="s">
        <v>24</v>
      </c>
      <c r="G1231" s="2" t="s">
        <v>64</v>
      </c>
      <c r="H1231" s="4">
        <v>6</v>
      </c>
      <c r="I1231" s="5">
        <v>92376.46</v>
      </c>
      <c r="J1231" s="6">
        <v>0</v>
      </c>
      <c r="K1231" s="5">
        <v>554258.76</v>
      </c>
      <c r="L1231" s="5">
        <v>411835.94</v>
      </c>
      <c r="M1231" s="5">
        <v>142422.82</v>
      </c>
      <c r="N1231" s="2" t="s">
        <v>59</v>
      </c>
    </row>
    <row r="1232" spans="1:14" ht="12" customHeight="1">
      <c r="A1232" s="2" t="s">
        <v>1339</v>
      </c>
      <c r="B1232" s="3">
        <v>45974</v>
      </c>
      <c r="C1232" s="2" t="s">
        <v>15</v>
      </c>
      <c r="D1232" s="2" t="s">
        <v>16</v>
      </c>
      <c r="E1232" s="2" t="s">
        <v>44</v>
      </c>
      <c r="F1232" s="2" t="s">
        <v>69</v>
      </c>
      <c r="G1232" s="2" t="s">
        <v>47</v>
      </c>
      <c r="H1232" s="4">
        <v>3</v>
      </c>
      <c r="I1232" s="5">
        <v>35568.839999999997</v>
      </c>
      <c r="J1232" s="6">
        <v>0</v>
      </c>
      <c r="K1232" s="5">
        <v>106706.52</v>
      </c>
      <c r="L1232" s="5">
        <v>79126.59</v>
      </c>
      <c r="M1232" s="5">
        <v>27579.93</v>
      </c>
      <c r="N1232" s="2" t="s">
        <v>26</v>
      </c>
    </row>
    <row r="1233" spans="1:14" ht="12" customHeight="1">
      <c r="A1233" s="2" t="s">
        <v>1340</v>
      </c>
      <c r="B1233" s="3">
        <v>45925</v>
      </c>
      <c r="C1233" s="2" t="s">
        <v>15</v>
      </c>
      <c r="D1233" s="2" t="s">
        <v>43</v>
      </c>
      <c r="E1233" s="2" t="s">
        <v>49</v>
      </c>
      <c r="F1233" s="2" t="s">
        <v>50</v>
      </c>
      <c r="G1233" s="2" t="s">
        <v>25</v>
      </c>
      <c r="H1233" s="4">
        <v>5</v>
      </c>
      <c r="I1233" s="5">
        <v>3896.87</v>
      </c>
      <c r="J1233" s="6">
        <v>0.05</v>
      </c>
      <c r="K1233" s="5">
        <v>18510.13</v>
      </c>
      <c r="L1233" s="5">
        <v>10402.92</v>
      </c>
      <c r="M1233" s="5">
        <v>8107.21</v>
      </c>
      <c r="N1233" s="2" t="s">
        <v>20</v>
      </c>
    </row>
    <row r="1234" spans="1:14" ht="12" customHeight="1">
      <c r="A1234" s="2" t="s">
        <v>1341</v>
      </c>
      <c r="B1234" s="3">
        <v>45817</v>
      </c>
      <c r="C1234" s="2" t="s">
        <v>28</v>
      </c>
      <c r="D1234" s="2" t="s">
        <v>56</v>
      </c>
      <c r="E1234" s="2" t="s">
        <v>44</v>
      </c>
      <c r="F1234" s="2" t="s">
        <v>69</v>
      </c>
      <c r="G1234" s="2" t="s">
        <v>47</v>
      </c>
      <c r="H1234" s="4">
        <v>1</v>
      </c>
      <c r="I1234" s="5">
        <v>35415.21</v>
      </c>
      <c r="J1234" s="6">
        <v>0.15</v>
      </c>
      <c r="K1234" s="5">
        <v>30102.93</v>
      </c>
      <c r="L1234" s="5">
        <v>26231.48</v>
      </c>
      <c r="M1234" s="5">
        <v>3871.45</v>
      </c>
      <c r="N1234" s="2" t="s">
        <v>33</v>
      </c>
    </row>
    <row r="1235" spans="1:14" ht="12" customHeight="1">
      <c r="A1235" s="2" t="s">
        <v>1342</v>
      </c>
      <c r="B1235" s="3">
        <v>45739</v>
      </c>
      <c r="C1235" s="2" t="s">
        <v>22</v>
      </c>
      <c r="D1235" s="2" t="s">
        <v>35</v>
      </c>
      <c r="E1235" s="2" t="s">
        <v>44</v>
      </c>
      <c r="F1235" s="2" t="s">
        <v>45</v>
      </c>
      <c r="G1235" s="2" t="s">
        <v>25</v>
      </c>
      <c r="H1235" s="4">
        <v>8</v>
      </c>
      <c r="I1235" s="5">
        <v>29970.33</v>
      </c>
      <c r="J1235" s="6">
        <v>0</v>
      </c>
      <c r="K1235" s="5">
        <v>239762.64</v>
      </c>
      <c r="L1235" s="5">
        <v>151602.78</v>
      </c>
      <c r="M1235" s="5">
        <v>88159.86</v>
      </c>
      <c r="N1235" s="2"/>
    </row>
    <row r="1236" spans="1:14" ht="12" customHeight="1">
      <c r="A1236" s="2" t="s">
        <v>1343</v>
      </c>
      <c r="B1236" s="3">
        <v>45863</v>
      </c>
      <c r="C1236" s="2" t="s">
        <v>15</v>
      </c>
      <c r="D1236" s="2" t="s">
        <v>16</v>
      </c>
      <c r="E1236" s="2" t="s">
        <v>44</v>
      </c>
      <c r="F1236" s="2" t="s">
        <v>69</v>
      </c>
      <c r="G1236" s="2" t="s">
        <v>19</v>
      </c>
      <c r="H1236" s="4">
        <v>2</v>
      </c>
      <c r="I1236" s="5">
        <v>36335.93</v>
      </c>
      <c r="J1236" s="6">
        <v>0.05</v>
      </c>
      <c r="K1236" s="5">
        <v>69038.27</v>
      </c>
      <c r="L1236" s="5">
        <v>50951.199999999997</v>
      </c>
      <c r="M1236" s="5">
        <v>18087.07</v>
      </c>
      <c r="N1236" s="2" t="s">
        <v>26</v>
      </c>
    </row>
    <row r="1237" spans="1:14" ht="12" customHeight="1">
      <c r="A1237" s="2" t="s">
        <v>1344</v>
      </c>
      <c r="B1237" s="3">
        <v>45926</v>
      </c>
      <c r="C1237" s="2" t="s">
        <v>22</v>
      </c>
      <c r="D1237" s="2" t="s">
        <v>35</v>
      </c>
      <c r="E1237" s="2" t="s">
        <v>44</v>
      </c>
      <c r="F1237" s="2" t="s">
        <v>69</v>
      </c>
      <c r="G1237" s="2" t="s">
        <v>19</v>
      </c>
      <c r="H1237" s="4">
        <v>6</v>
      </c>
      <c r="I1237" s="5">
        <v>35025.480000000003</v>
      </c>
      <c r="J1237" s="6">
        <v>0</v>
      </c>
      <c r="K1237" s="5">
        <v>210152.88</v>
      </c>
      <c r="L1237" s="5">
        <v>157005.17000000001</v>
      </c>
      <c r="M1237" s="5">
        <v>53147.71</v>
      </c>
      <c r="N1237" s="2" t="s">
        <v>20</v>
      </c>
    </row>
    <row r="1238" spans="1:14" ht="12" customHeight="1">
      <c r="A1238" s="2" t="s">
        <v>1345</v>
      </c>
      <c r="B1238" s="3">
        <v>45694</v>
      </c>
      <c r="C1238" s="2" t="s">
        <v>22</v>
      </c>
      <c r="D1238" s="2" t="s">
        <v>37</v>
      </c>
      <c r="E1238" s="2" t="s">
        <v>49</v>
      </c>
      <c r="F1238" s="2" t="s">
        <v>57</v>
      </c>
      <c r="G1238" s="2" t="s">
        <v>32</v>
      </c>
      <c r="H1238" s="4">
        <v>2</v>
      </c>
      <c r="I1238" s="5">
        <v>11575.92</v>
      </c>
      <c r="J1238" s="6">
        <v>0.1</v>
      </c>
      <c r="K1238" s="5">
        <v>20836.66</v>
      </c>
      <c r="L1238" s="5">
        <v>13023.47</v>
      </c>
      <c r="M1238" s="5">
        <v>7813.19</v>
      </c>
      <c r="N1238" s="2" t="s">
        <v>59</v>
      </c>
    </row>
    <row r="1239" spans="1:14" ht="12" customHeight="1">
      <c r="A1239" s="2" t="s">
        <v>1346</v>
      </c>
      <c r="B1239" s="3">
        <v>46012</v>
      </c>
      <c r="C1239" s="2" t="s">
        <v>22</v>
      </c>
      <c r="D1239" s="2" t="s">
        <v>35</v>
      </c>
      <c r="E1239" s="2" t="s">
        <v>30</v>
      </c>
      <c r="F1239" s="2" t="s">
        <v>31</v>
      </c>
      <c r="G1239" s="2" t="s">
        <v>70</v>
      </c>
      <c r="H1239" s="4">
        <v>8</v>
      </c>
      <c r="I1239" s="5">
        <v>133399.67000000001</v>
      </c>
      <c r="J1239" s="6">
        <v>0</v>
      </c>
      <c r="K1239" s="5">
        <v>1067197.3600000001</v>
      </c>
      <c r="L1239" s="5">
        <v>833320.27</v>
      </c>
      <c r="M1239" s="5">
        <v>233877.09</v>
      </c>
      <c r="N1239" s="2" t="s">
        <v>59</v>
      </c>
    </row>
    <row r="1240" spans="1:14" ht="12" customHeight="1">
      <c r="A1240" s="2" t="s">
        <v>1347</v>
      </c>
      <c r="B1240" s="3">
        <v>46017</v>
      </c>
      <c r="C1240" s="2" t="s">
        <v>22</v>
      </c>
      <c r="D1240" s="2" t="s">
        <v>37</v>
      </c>
      <c r="E1240" s="2" t="s">
        <v>17</v>
      </c>
      <c r="F1240" s="2" t="s">
        <v>75</v>
      </c>
      <c r="G1240" s="2" t="s">
        <v>25</v>
      </c>
      <c r="H1240" s="4">
        <v>6</v>
      </c>
      <c r="I1240" s="5">
        <v>177342.26</v>
      </c>
      <c r="J1240" s="6">
        <v>0.15</v>
      </c>
      <c r="K1240" s="5">
        <v>904445.53</v>
      </c>
      <c r="L1240" s="5">
        <v>855933.88</v>
      </c>
      <c r="M1240" s="5">
        <v>48511.65</v>
      </c>
      <c r="N1240" s="2" t="s">
        <v>20</v>
      </c>
    </row>
    <row r="1241" spans="1:14" ht="12" customHeight="1">
      <c r="A1241" s="2" t="s">
        <v>1348</v>
      </c>
      <c r="B1241" s="3">
        <v>45872</v>
      </c>
      <c r="C1241" s="2" t="s">
        <v>22</v>
      </c>
      <c r="D1241" s="2" t="s">
        <v>37</v>
      </c>
      <c r="E1241" s="2" t="s">
        <v>17</v>
      </c>
      <c r="F1241" s="2" t="s">
        <v>18</v>
      </c>
      <c r="G1241" s="2" t="s">
        <v>58</v>
      </c>
      <c r="H1241" s="4">
        <v>5</v>
      </c>
      <c r="I1241" s="5">
        <v>15438.98</v>
      </c>
      <c r="J1241" s="6">
        <v>0.15</v>
      </c>
      <c r="K1241" s="5">
        <v>65615.66</v>
      </c>
      <c r="L1241" s="5">
        <v>41227.449999999997</v>
      </c>
      <c r="M1241" s="5">
        <v>24388.21</v>
      </c>
      <c r="N1241" s="2" t="s">
        <v>59</v>
      </c>
    </row>
    <row r="1242" spans="1:14" ht="12" customHeight="1">
      <c r="A1242" s="2" t="s">
        <v>1349</v>
      </c>
      <c r="B1242" s="3">
        <v>45998</v>
      </c>
      <c r="C1242" s="2" t="s">
        <v>22</v>
      </c>
      <c r="D1242" s="2" t="s">
        <v>23</v>
      </c>
      <c r="E1242" s="2" t="s">
        <v>17</v>
      </c>
      <c r="F1242" s="2" t="s">
        <v>114</v>
      </c>
      <c r="G1242" s="2" t="s">
        <v>58</v>
      </c>
      <c r="H1242" s="4">
        <v>4</v>
      </c>
      <c r="I1242" s="5">
        <v>52713.72</v>
      </c>
      <c r="J1242" s="6">
        <v>0</v>
      </c>
      <c r="K1242" s="5">
        <v>210854.88</v>
      </c>
      <c r="L1242" s="5">
        <v>147660.88</v>
      </c>
      <c r="M1242" s="5">
        <v>63194</v>
      </c>
      <c r="N1242" s="2" t="s">
        <v>33</v>
      </c>
    </row>
    <row r="1243" spans="1:14" ht="12" customHeight="1">
      <c r="A1243" s="2" t="s">
        <v>1350</v>
      </c>
      <c r="B1243" s="3">
        <v>45987</v>
      </c>
      <c r="C1243" s="2" t="s">
        <v>15</v>
      </c>
      <c r="D1243" s="2" t="s">
        <v>63</v>
      </c>
      <c r="E1243" s="2" t="s">
        <v>49</v>
      </c>
      <c r="F1243" s="2" t="s">
        <v>107</v>
      </c>
      <c r="G1243" s="2" t="s">
        <v>19</v>
      </c>
      <c r="H1243" s="4">
        <v>1</v>
      </c>
      <c r="I1243" s="5">
        <v>5284.58</v>
      </c>
      <c r="J1243" s="6">
        <v>0.1</v>
      </c>
      <c r="K1243" s="5">
        <v>4756.12</v>
      </c>
      <c r="L1243" s="5">
        <v>2777.42</v>
      </c>
      <c r="M1243" s="5">
        <v>1978.7</v>
      </c>
      <c r="N1243" s="2" t="s">
        <v>33</v>
      </c>
    </row>
    <row r="1244" spans="1:14" ht="12" customHeight="1">
      <c r="A1244" s="2" t="s">
        <v>1351</v>
      </c>
      <c r="B1244" s="3">
        <v>45883</v>
      </c>
      <c r="C1244" s="2" t="s">
        <v>22</v>
      </c>
      <c r="D1244" s="2" t="s">
        <v>23</v>
      </c>
      <c r="E1244" s="2" t="s">
        <v>175</v>
      </c>
      <c r="F1244" s="2" t="s">
        <v>40</v>
      </c>
      <c r="G1244" s="2" t="s">
        <v>70</v>
      </c>
      <c r="H1244" s="4">
        <v>7</v>
      </c>
      <c r="I1244" s="5">
        <v>25355.69</v>
      </c>
      <c r="J1244" s="6">
        <v>0</v>
      </c>
      <c r="K1244" s="5">
        <v>177489.83</v>
      </c>
      <c r="L1244" s="5">
        <v>109970.83</v>
      </c>
      <c r="M1244" s="5">
        <v>67519</v>
      </c>
      <c r="N1244" s="2" t="s">
        <v>33</v>
      </c>
    </row>
    <row r="1245" spans="1:14" ht="12" customHeight="1">
      <c r="A1245" s="2" t="s">
        <v>1352</v>
      </c>
      <c r="B1245" s="3">
        <v>45826</v>
      </c>
      <c r="C1245" s="2" t="s">
        <v>28</v>
      </c>
      <c r="D1245" s="2" t="s">
        <v>29</v>
      </c>
      <c r="E1245" s="2" t="s">
        <v>49</v>
      </c>
      <c r="F1245" s="2" t="s">
        <v>91</v>
      </c>
      <c r="G1245" s="2" t="s">
        <v>19</v>
      </c>
      <c r="H1245" s="4">
        <v>4</v>
      </c>
      <c r="I1245" s="5">
        <v>6569.61</v>
      </c>
      <c r="J1245" s="6">
        <v>0</v>
      </c>
      <c r="K1245" s="5">
        <v>26278.44</v>
      </c>
      <c r="L1245" s="5">
        <v>14603.57</v>
      </c>
      <c r="M1245" s="5">
        <v>11674.87</v>
      </c>
      <c r="N1245" s="2" t="s">
        <v>59</v>
      </c>
    </row>
    <row r="1246" spans="1:14" ht="12" customHeight="1">
      <c r="A1246" s="2" t="s">
        <v>1353</v>
      </c>
      <c r="B1246" s="3">
        <v>45785</v>
      </c>
      <c r="C1246" s="2" t="s">
        <v>28</v>
      </c>
      <c r="D1246" s="2" t="s">
        <v>52</v>
      </c>
      <c r="E1246" s="2" t="s">
        <v>49</v>
      </c>
      <c r="F1246" s="2" t="s">
        <v>57</v>
      </c>
      <c r="G1246" s="2" t="s">
        <v>58</v>
      </c>
      <c r="H1246" s="4">
        <v>6</v>
      </c>
      <c r="I1246" s="5">
        <v>12085.8</v>
      </c>
      <c r="J1246" s="6">
        <v>0.05</v>
      </c>
      <c r="K1246" s="5">
        <v>68889.06</v>
      </c>
      <c r="L1246" s="5">
        <v>38791.99</v>
      </c>
      <c r="M1246" s="5">
        <v>30097.07</v>
      </c>
      <c r="N1246" s="2" t="s">
        <v>20</v>
      </c>
    </row>
    <row r="1247" spans="1:14" ht="12" customHeight="1">
      <c r="A1247" s="2" t="s">
        <v>1354</v>
      </c>
      <c r="B1247" s="3">
        <v>45863</v>
      </c>
      <c r="C1247" s="2" t="s">
        <v>22</v>
      </c>
      <c r="D1247" s="2" t="s">
        <v>35</v>
      </c>
      <c r="E1247" s="2" t="s">
        <v>49</v>
      </c>
      <c r="F1247" s="2" t="s">
        <v>57</v>
      </c>
      <c r="G1247" s="2" t="s">
        <v>32</v>
      </c>
      <c r="H1247" s="4">
        <v>3</v>
      </c>
      <c r="I1247" s="5">
        <v>10965.26</v>
      </c>
      <c r="J1247" s="6">
        <v>0.1</v>
      </c>
      <c r="K1247" s="5">
        <v>29606.2</v>
      </c>
      <c r="L1247" s="5">
        <v>19799.91</v>
      </c>
      <c r="M1247" s="5">
        <v>9806.2900000000009</v>
      </c>
      <c r="N1247" s="2" t="s">
        <v>26</v>
      </c>
    </row>
    <row r="1248" spans="1:14" ht="12" customHeight="1">
      <c r="A1248" s="2" t="s">
        <v>1355</v>
      </c>
      <c r="B1248" s="3">
        <v>45704</v>
      </c>
      <c r="C1248" s="2" t="s">
        <v>28</v>
      </c>
      <c r="D1248" s="2" t="s">
        <v>52</v>
      </c>
      <c r="E1248" s="2" t="s">
        <v>30</v>
      </c>
      <c r="F1248" s="2" t="s">
        <v>38</v>
      </c>
      <c r="G1248" s="2" t="s">
        <v>25</v>
      </c>
      <c r="H1248" s="4">
        <v>4</v>
      </c>
      <c r="I1248" s="5">
        <v>26207.43</v>
      </c>
      <c r="J1248" s="6">
        <v>0.05</v>
      </c>
      <c r="K1248" s="5">
        <v>99588.23</v>
      </c>
      <c r="L1248" s="5">
        <v>70350.539999999994</v>
      </c>
      <c r="M1248" s="5">
        <v>29237.69</v>
      </c>
      <c r="N1248" s="2" t="s">
        <v>59</v>
      </c>
    </row>
    <row r="1249" spans="1:14" ht="12" customHeight="1">
      <c r="A1249" s="2" t="s">
        <v>1356</v>
      </c>
      <c r="B1249" s="3">
        <v>45830</v>
      </c>
      <c r="C1249" s="2" t="s">
        <v>15</v>
      </c>
      <c r="D1249" s="2" t="s">
        <v>63</v>
      </c>
      <c r="E1249" s="2" t="s">
        <v>44</v>
      </c>
      <c r="F1249" s="2" t="s">
        <v>53</v>
      </c>
      <c r="G1249" s="2" t="s">
        <v>70</v>
      </c>
      <c r="H1249" s="4">
        <v>4</v>
      </c>
      <c r="I1249" s="5">
        <v>8179.97</v>
      </c>
      <c r="J1249" s="6">
        <v>0.15</v>
      </c>
      <c r="K1249" s="5">
        <v>27811.9</v>
      </c>
      <c r="L1249" s="5">
        <v>19678.02</v>
      </c>
      <c r="M1249" s="5">
        <v>8133.88</v>
      </c>
      <c r="N1249" s="2" t="s">
        <v>59</v>
      </c>
    </row>
    <row r="1250" spans="1:14" ht="12" customHeight="1">
      <c r="A1250" s="2" t="s">
        <v>1357</v>
      </c>
      <c r="B1250" s="3">
        <v>46016</v>
      </c>
      <c r="C1250" s="2" t="s">
        <v>22</v>
      </c>
      <c r="D1250" s="2" t="s">
        <v>23</v>
      </c>
      <c r="E1250" s="2" t="s">
        <v>30</v>
      </c>
      <c r="F1250" s="2" t="s">
        <v>31</v>
      </c>
      <c r="G1250" s="2" t="s">
        <v>58</v>
      </c>
      <c r="H1250" s="4">
        <v>2</v>
      </c>
      <c r="I1250" s="5">
        <v>128299.46</v>
      </c>
      <c r="J1250" s="6">
        <v>0.05</v>
      </c>
      <c r="K1250" s="5">
        <v>243768.97</v>
      </c>
      <c r="L1250" s="5">
        <v>208790.86</v>
      </c>
      <c r="M1250" s="5">
        <v>34978.11</v>
      </c>
      <c r="N1250" s="2" t="s">
        <v>26</v>
      </c>
    </row>
    <row r="1251" spans="1:14" ht="12" customHeight="1">
      <c r="A1251" s="2" t="s">
        <v>1358</v>
      </c>
      <c r="B1251" s="3">
        <v>45997</v>
      </c>
      <c r="C1251" s="2" t="s">
        <v>28</v>
      </c>
      <c r="D1251" s="2" t="s">
        <v>29</v>
      </c>
      <c r="E1251" s="2" t="s">
        <v>17</v>
      </c>
      <c r="F1251" s="2" t="s">
        <v>24</v>
      </c>
      <c r="G1251" s="2" t="s">
        <v>25</v>
      </c>
      <c r="H1251" s="4">
        <v>2</v>
      </c>
      <c r="I1251" s="5">
        <v>85972.78</v>
      </c>
      <c r="J1251" s="6">
        <v>0.1</v>
      </c>
      <c r="K1251" s="5">
        <v>154751</v>
      </c>
      <c r="L1251" s="5">
        <v>140627.92000000001</v>
      </c>
      <c r="M1251" s="5">
        <v>14123.08</v>
      </c>
      <c r="N1251" s="2" t="s">
        <v>59</v>
      </c>
    </row>
    <row r="1252" spans="1:14" ht="12" customHeight="1">
      <c r="A1252" s="2" t="s">
        <v>1359</v>
      </c>
      <c r="B1252" s="3">
        <v>45808</v>
      </c>
      <c r="C1252" s="2" t="s">
        <v>22</v>
      </c>
      <c r="D1252" s="2" t="s">
        <v>37</v>
      </c>
      <c r="E1252" s="2" t="s">
        <v>30</v>
      </c>
      <c r="F1252" s="2" t="s">
        <v>38</v>
      </c>
      <c r="G1252" s="2" t="s">
        <v>19</v>
      </c>
      <c r="H1252" s="4">
        <v>7</v>
      </c>
      <c r="I1252" s="5">
        <v>25414.7</v>
      </c>
      <c r="J1252" s="6">
        <v>0.05</v>
      </c>
      <c r="K1252" s="5">
        <v>169007.75</v>
      </c>
      <c r="L1252" s="5">
        <v>123133.98</v>
      </c>
      <c r="M1252" s="5">
        <v>45873.77</v>
      </c>
      <c r="N1252" s="2" t="s">
        <v>59</v>
      </c>
    </row>
    <row r="1253" spans="1:14" ht="12" customHeight="1">
      <c r="A1253" s="2" t="s">
        <v>1360</v>
      </c>
      <c r="B1253" s="3">
        <v>45772</v>
      </c>
      <c r="C1253" s="2" t="s">
        <v>22</v>
      </c>
      <c r="D1253" s="2" t="s">
        <v>35</v>
      </c>
      <c r="E1253" s="2" t="s">
        <v>17</v>
      </c>
      <c r="F1253" s="2" t="s">
        <v>24</v>
      </c>
      <c r="G1253" s="2" t="s">
        <v>47</v>
      </c>
      <c r="H1253" s="4">
        <v>3</v>
      </c>
      <c r="I1253" s="5">
        <v>94465.91</v>
      </c>
      <c r="J1253" s="6">
        <v>0.05</v>
      </c>
      <c r="K1253" s="5">
        <v>269227.84000000003</v>
      </c>
      <c r="L1253" s="5">
        <v>198256.41</v>
      </c>
      <c r="M1253" s="5">
        <v>70971.429999999993</v>
      </c>
      <c r="N1253" s="2" t="s">
        <v>26</v>
      </c>
    </row>
    <row r="1254" spans="1:14" ht="12" customHeight="1">
      <c r="A1254" s="2" t="s">
        <v>1361</v>
      </c>
      <c r="B1254" s="3">
        <v>45905</v>
      </c>
      <c r="C1254" s="2" t="s">
        <v>22</v>
      </c>
      <c r="D1254" s="2" t="s">
        <v>35</v>
      </c>
      <c r="E1254" s="2" t="s">
        <v>44</v>
      </c>
      <c r="F1254" s="2" t="s">
        <v>45</v>
      </c>
      <c r="G1254" s="2" t="s">
        <v>70</v>
      </c>
      <c r="H1254" s="4">
        <v>1</v>
      </c>
      <c r="I1254" s="5">
        <v>27573.38</v>
      </c>
      <c r="J1254" s="6">
        <v>0</v>
      </c>
      <c r="K1254" s="5">
        <v>27573.38</v>
      </c>
      <c r="L1254" s="5">
        <v>19570.52</v>
      </c>
      <c r="M1254" s="5">
        <v>8002.86</v>
      </c>
      <c r="N1254" s="2" t="s">
        <v>20</v>
      </c>
    </row>
    <row r="1255" spans="1:14" ht="12" customHeight="1">
      <c r="A1255" s="2" t="s">
        <v>1362</v>
      </c>
      <c r="B1255" s="3">
        <v>45952</v>
      </c>
      <c r="C1255" s="2" t="s">
        <v>15</v>
      </c>
      <c r="D1255" s="2" t="s">
        <v>43</v>
      </c>
      <c r="E1255" s="2" t="s">
        <v>44</v>
      </c>
      <c r="F1255" s="2" t="s">
        <v>53</v>
      </c>
      <c r="G1255" s="2" t="s">
        <v>25</v>
      </c>
      <c r="H1255" s="4">
        <v>3</v>
      </c>
      <c r="I1255" s="5">
        <v>8973.15</v>
      </c>
      <c r="J1255" s="6">
        <v>0.1</v>
      </c>
      <c r="K1255" s="5">
        <v>24227.5</v>
      </c>
      <c r="L1255" s="5">
        <v>14670.21</v>
      </c>
      <c r="M1255" s="5">
        <v>9557.2900000000009</v>
      </c>
      <c r="N1255" s="2" t="s">
        <v>59</v>
      </c>
    </row>
    <row r="1256" spans="1:14" ht="12" customHeight="1">
      <c r="A1256" s="2" t="s">
        <v>1363</v>
      </c>
      <c r="B1256" s="3">
        <v>45840</v>
      </c>
      <c r="C1256" s="2" t="s">
        <v>15</v>
      </c>
      <c r="D1256" s="2" t="s">
        <v>63</v>
      </c>
      <c r="E1256" s="2" t="s">
        <v>30</v>
      </c>
      <c r="F1256" s="2" t="s">
        <v>40</v>
      </c>
      <c r="G1256" s="2" t="s">
        <v>19</v>
      </c>
      <c r="H1256" s="4">
        <v>6</v>
      </c>
      <c r="I1256" s="5">
        <v>23968.9</v>
      </c>
      <c r="J1256" s="6">
        <v>0</v>
      </c>
      <c r="K1256" s="5">
        <v>143813.4</v>
      </c>
      <c r="L1256" s="5">
        <v>94080.55</v>
      </c>
      <c r="M1256" s="5">
        <v>49732.85</v>
      </c>
      <c r="N1256" s="2" t="s">
        <v>26</v>
      </c>
    </row>
    <row r="1257" spans="1:14" ht="12" customHeight="1">
      <c r="A1257" s="2" t="s">
        <v>1364</v>
      </c>
      <c r="B1257" s="3">
        <v>45932</v>
      </c>
      <c r="C1257" s="2" t="s">
        <v>28</v>
      </c>
      <c r="D1257" s="2" t="s">
        <v>29</v>
      </c>
      <c r="E1257" s="2" t="s">
        <v>44</v>
      </c>
      <c r="F1257" s="2" t="s">
        <v>45</v>
      </c>
      <c r="G1257" s="2" t="s">
        <v>32</v>
      </c>
      <c r="H1257" s="4">
        <v>2</v>
      </c>
      <c r="I1257" s="5">
        <v>30693.41</v>
      </c>
      <c r="J1257" s="6">
        <v>0.1</v>
      </c>
      <c r="K1257" s="5">
        <v>55248.14</v>
      </c>
      <c r="L1257" s="5">
        <v>38744.22</v>
      </c>
      <c r="M1257" s="5">
        <v>16503.919999999998</v>
      </c>
      <c r="N1257" s="2" t="s">
        <v>33</v>
      </c>
    </row>
    <row r="1258" spans="1:14" ht="12" customHeight="1">
      <c r="A1258" s="2" t="s">
        <v>1365</v>
      </c>
      <c r="B1258" s="3">
        <v>45882</v>
      </c>
      <c r="C1258" s="2" t="s">
        <v>15</v>
      </c>
      <c r="D1258" s="2" t="s">
        <v>16</v>
      </c>
      <c r="E1258" s="2" t="s">
        <v>30</v>
      </c>
      <c r="F1258" s="2" t="s">
        <v>86</v>
      </c>
      <c r="G1258" s="2" t="s">
        <v>70</v>
      </c>
      <c r="H1258" s="4">
        <v>8</v>
      </c>
      <c r="I1258" s="5">
        <v>31781.02</v>
      </c>
      <c r="J1258" s="6">
        <v>0</v>
      </c>
      <c r="K1258" s="5">
        <v>254248.16</v>
      </c>
      <c r="L1258" s="5">
        <v>180399.01</v>
      </c>
      <c r="M1258" s="5">
        <v>73849.149999999994</v>
      </c>
      <c r="N1258" s="2" t="s">
        <v>20</v>
      </c>
    </row>
    <row r="1259" spans="1:14" ht="12" customHeight="1">
      <c r="A1259" s="2" t="s">
        <v>1366</v>
      </c>
      <c r="B1259" s="3">
        <v>45733</v>
      </c>
      <c r="C1259" s="2" t="s">
        <v>22</v>
      </c>
      <c r="D1259" s="2" t="s">
        <v>23</v>
      </c>
      <c r="E1259" s="2" t="s">
        <v>17</v>
      </c>
      <c r="F1259" s="2" t="s">
        <v>114</v>
      </c>
      <c r="G1259" s="2" t="s">
        <v>19</v>
      </c>
      <c r="H1259" s="4">
        <v>1</v>
      </c>
      <c r="I1259" s="5">
        <v>55293.4</v>
      </c>
      <c r="J1259" s="6">
        <v>0.05</v>
      </c>
      <c r="K1259" s="5">
        <v>52528.73</v>
      </c>
      <c r="L1259" s="5">
        <v>37621.660000000003</v>
      </c>
      <c r="M1259" s="5">
        <v>14907.07</v>
      </c>
      <c r="N1259" s="2"/>
    </row>
    <row r="1260" spans="1:14" ht="12" customHeight="1">
      <c r="A1260" s="2" t="s">
        <v>1367</v>
      </c>
      <c r="B1260" s="3">
        <v>45726</v>
      </c>
      <c r="C1260" s="2" t="s">
        <v>22</v>
      </c>
      <c r="D1260" s="2" t="s">
        <v>37</v>
      </c>
      <c r="E1260" s="2" t="s">
        <v>30</v>
      </c>
      <c r="F1260" s="2" t="s">
        <v>38</v>
      </c>
      <c r="G1260" s="2" t="s">
        <v>25</v>
      </c>
      <c r="H1260" s="4">
        <v>1</v>
      </c>
      <c r="I1260" s="5">
        <v>27922.799999999999</v>
      </c>
      <c r="J1260" s="6">
        <v>0.05</v>
      </c>
      <c r="K1260" s="5">
        <v>26526.66</v>
      </c>
      <c r="L1260" s="5">
        <v>18002.849999999999</v>
      </c>
      <c r="M1260" s="5">
        <v>8523.81</v>
      </c>
      <c r="N1260" s="2" t="s">
        <v>26</v>
      </c>
    </row>
    <row r="1261" spans="1:14" ht="12" customHeight="1">
      <c r="A1261" s="2" t="s">
        <v>1368</v>
      </c>
      <c r="B1261" s="3">
        <v>45731</v>
      </c>
      <c r="C1261" s="2" t="s">
        <v>15</v>
      </c>
      <c r="D1261" s="2" t="s">
        <v>63</v>
      </c>
      <c r="E1261" s="2" t="s">
        <v>30</v>
      </c>
      <c r="F1261" s="2" t="s">
        <v>38</v>
      </c>
      <c r="G1261" s="2" t="s">
        <v>32</v>
      </c>
      <c r="H1261" s="4">
        <v>6</v>
      </c>
      <c r="I1261" s="5">
        <v>25844.68</v>
      </c>
      <c r="J1261" s="6">
        <v>0.1</v>
      </c>
      <c r="K1261" s="5">
        <v>139561.26999999999</v>
      </c>
      <c r="L1261" s="5">
        <v>111913.78</v>
      </c>
      <c r="M1261" s="5">
        <v>27647.49</v>
      </c>
      <c r="N1261" s="2" t="s">
        <v>33</v>
      </c>
    </row>
    <row r="1262" spans="1:14" ht="12" customHeight="1">
      <c r="A1262" s="2" t="s">
        <v>1369</v>
      </c>
      <c r="B1262" s="3">
        <v>45740</v>
      </c>
      <c r="C1262" s="2" t="s">
        <v>15</v>
      </c>
      <c r="D1262" s="2" t="s">
        <v>16</v>
      </c>
      <c r="E1262" s="2" t="s">
        <v>30</v>
      </c>
      <c r="F1262" s="2" t="s">
        <v>31</v>
      </c>
      <c r="G1262" s="2" t="s">
        <v>47</v>
      </c>
      <c r="H1262" s="4">
        <v>2</v>
      </c>
      <c r="I1262" s="5">
        <v>137459.17000000001</v>
      </c>
      <c r="J1262" s="6">
        <v>0.1</v>
      </c>
      <c r="K1262" s="5">
        <v>247426.51</v>
      </c>
      <c r="L1262" s="5">
        <v>201789.88</v>
      </c>
      <c r="M1262" s="5">
        <v>45636.63</v>
      </c>
      <c r="N1262" s="2" t="s">
        <v>26</v>
      </c>
    </row>
    <row r="1263" spans="1:14" ht="12" customHeight="1">
      <c r="A1263" s="2" t="s">
        <v>1370</v>
      </c>
      <c r="B1263" s="3">
        <v>45864</v>
      </c>
      <c r="C1263" s="2" t="s">
        <v>15</v>
      </c>
      <c r="D1263" s="2" t="s">
        <v>16</v>
      </c>
      <c r="E1263" s="2" t="s">
        <v>44</v>
      </c>
      <c r="F1263" s="2" t="s">
        <v>80</v>
      </c>
      <c r="G1263" s="2" t="s">
        <v>25</v>
      </c>
      <c r="H1263" s="4">
        <v>8</v>
      </c>
      <c r="I1263" s="5">
        <v>44573.23</v>
      </c>
      <c r="J1263" s="6">
        <v>0.05</v>
      </c>
      <c r="K1263" s="5">
        <v>338756.55</v>
      </c>
      <c r="L1263" s="5">
        <v>242106.88</v>
      </c>
      <c r="M1263" s="5">
        <v>96649.67</v>
      </c>
      <c r="N1263" s="2" t="s">
        <v>20</v>
      </c>
    </row>
    <row r="1264" spans="1:14" ht="12" customHeight="1">
      <c r="A1264" s="2" t="s">
        <v>1371</v>
      </c>
      <c r="B1264" s="3">
        <v>46020</v>
      </c>
      <c r="C1264" s="2" t="s">
        <v>28</v>
      </c>
      <c r="D1264" s="2" t="s">
        <v>29</v>
      </c>
      <c r="E1264" s="2" t="s">
        <v>49</v>
      </c>
      <c r="F1264" s="2" t="s">
        <v>50</v>
      </c>
      <c r="G1264" s="2" t="s">
        <v>25</v>
      </c>
      <c r="H1264" s="4">
        <v>6</v>
      </c>
      <c r="I1264" s="5">
        <v>3986.97</v>
      </c>
      <c r="J1264" s="6">
        <v>0.05</v>
      </c>
      <c r="K1264" s="5">
        <v>22725.73</v>
      </c>
      <c r="L1264" s="5">
        <v>12535.25</v>
      </c>
      <c r="M1264" s="5">
        <v>10190.48</v>
      </c>
      <c r="N1264" s="2" t="s">
        <v>59</v>
      </c>
    </row>
    <row r="1265" spans="1:14" ht="12" customHeight="1">
      <c r="A1265" s="2" t="s">
        <v>1372</v>
      </c>
      <c r="B1265" s="3">
        <v>45982</v>
      </c>
      <c r="C1265" s="2" t="s">
        <v>28</v>
      </c>
      <c r="D1265" s="2" t="s">
        <v>52</v>
      </c>
      <c r="E1265" s="2" t="s">
        <v>44</v>
      </c>
      <c r="F1265" s="2" t="s">
        <v>69</v>
      </c>
      <c r="G1265" s="2" t="s">
        <v>19</v>
      </c>
      <c r="H1265" s="4">
        <v>7</v>
      </c>
      <c r="I1265" s="5">
        <v>36179.69</v>
      </c>
      <c r="J1265" s="6">
        <v>0.05</v>
      </c>
      <c r="K1265" s="5">
        <v>240594.94</v>
      </c>
      <c r="L1265" s="5">
        <v>189097</v>
      </c>
      <c r="M1265" s="5">
        <v>51497.94</v>
      </c>
      <c r="N1265" s="2" t="s">
        <v>59</v>
      </c>
    </row>
    <row r="1266" spans="1:14" ht="12" customHeight="1">
      <c r="A1266" s="2" t="s">
        <v>1373</v>
      </c>
      <c r="B1266" s="3">
        <v>45706</v>
      </c>
      <c r="C1266" s="2" t="s">
        <v>28</v>
      </c>
      <c r="D1266" s="2" t="s">
        <v>52</v>
      </c>
      <c r="E1266" s="2" t="s">
        <v>30</v>
      </c>
      <c r="F1266" s="2" t="s">
        <v>31</v>
      </c>
      <c r="G1266" s="2" t="s">
        <v>61</v>
      </c>
      <c r="H1266" s="4">
        <v>1</v>
      </c>
      <c r="I1266" s="5">
        <v>145411.42000000001</v>
      </c>
      <c r="J1266" s="6">
        <v>0</v>
      </c>
      <c r="K1266" s="5">
        <v>145411.42000000001</v>
      </c>
      <c r="L1266" s="5">
        <v>102796.76</v>
      </c>
      <c r="M1266" s="5">
        <v>42614.66</v>
      </c>
      <c r="N1266" s="2" t="s">
        <v>33</v>
      </c>
    </row>
    <row r="1267" spans="1:14" ht="12" customHeight="1">
      <c r="A1267" s="2" t="s">
        <v>1374</v>
      </c>
      <c r="B1267" s="3">
        <v>45693</v>
      </c>
      <c r="C1267" s="2" t="s">
        <v>15</v>
      </c>
      <c r="D1267" s="2" t="s">
        <v>16</v>
      </c>
      <c r="E1267" s="2" t="s">
        <v>17</v>
      </c>
      <c r="F1267" s="2" t="s">
        <v>18</v>
      </c>
      <c r="G1267" s="2" t="s">
        <v>61</v>
      </c>
      <c r="H1267" s="4">
        <v>7</v>
      </c>
      <c r="I1267" s="5">
        <v>14050.53</v>
      </c>
      <c r="J1267" s="6">
        <v>0.1</v>
      </c>
      <c r="K1267" s="5">
        <v>88518.34</v>
      </c>
      <c r="L1267" s="5">
        <v>57941.599999999999</v>
      </c>
      <c r="M1267" s="5">
        <v>30576.74</v>
      </c>
      <c r="N1267" s="2"/>
    </row>
    <row r="1268" spans="1:14" ht="12" customHeight="1">
      <c r="A1268" s="2" t="s">
        <v>1375</v>
      </c>
      <c r="B1268" s="3">
        <v>45737</v>
      </c>
      <c r="C1268" s="2" t="s">
        <v>15</v>
      </c>
      <c r="D1268" s="2" t="s">
        <v>43</v>
      </c>
      <c r="E1268" s="2" t="s">
        <v>49</v>
      </c>
      <c r="F1268" s="2" t="s">
        <v>50</v>
      </c>
      <c r="G1268" s="2" t="s">
        <v>32</v>
      </c>
      <c r="H1268" s="4">
        <v>4</v>
      </c>
      <c r="I1268" s="5">
        <v>4519.72</v>
      </c>
      <c r="J1268" s="6">
        <v>0</v>
      </c>
      <c r="K1268" s="5">
        <v>18078.88</v>
      </c>
      <c r="L1268" s="5">
        <v>8660.7900000000009</v>
      </c>
      <c r="M1268" s="5">
        <v>9418.09</v>
      </c>
      <c r="N1268" s="2" t="s">
        <v>26</v>
      </c>
    </row>
    <row r="1269" spans="1:14" ht="12" customHeight="1">
      <c r="A1269" s="2" t="s">
        <v>1376</v>
      </c>
      <c r="B1269" s="3">
        <v>45719</v>
      </c>
      <c r="C1269" s="2" t="s">
        <v>28</v>
      </c>
      <c r="D1269" s="2" t="s">
        <v>29</v>
      </c>
      <c r="E1269" s="2" t="s">
        <v>44</v>
      </c>
      <c r="F1269" s="2" t="s">
        <v>45</v>
      </c>
      <c r="G1269" s="2" t="s">
        <v>58</v>
      </c>
      <c r="H1269" s="4">
        <v>8</v>
      </c>
      <c r="I1269" s="5">
        <v>26358.36</v>
      </c>
      <c r="J1269" s="6">
        <v>0</v>
      </c>
      <c r="K1269" s="5">
        <v>210866.88</v>
      </c>
      <c r="L1269" s="5">
        <v>157391.51999999999</v>
      </c>
      <c r="M1269" s="5">
        <v>53475.360000000001</v>
      </c>
      <c r="N1269" s="2" t="s">
        <v>59</v>
      </c>
    </row>
    <row r="1270" spans="1:14" ht="12" customHeight="1">
      <c r="A1270" s="2" t="s">
        <v>1377</v>
      </c>
      <c r="B1270" s="3">
        <v>45971</v>
      </c>
      <c r="C1270" s="2" t="s">
        <v>22</v>
      </c>
      <c r="D1270" s="2" t="s">
        <v>35</v>
      </c>
      <c r="E1270" s="2" t="s">
        <v>44</v>
      </c>
      <c r="F1270" s="2" t="s">
        <v>45</v>
      </c>
      <c r="G1270" s="2" t="s">
        <v>32</v>
      </c>
      <c r="H1270" s="4">
        <v>2</v>
      </c>
      <c r="I1270" s="5">
        <v>28489.29</v>
      </c>
      <c r="J1270" s="6">
        <v>0.1</v>
      </c>
      <c r="K1270" s="5">
        <v>51280.72</v>
      </c>
      <c r="L1270" s="5">
        <v>37272.97</v>
      </c>
      <c r="M1270" s="5">
        <v>14007.75</v>
      </c>
      <c r="N1270" s="2" t="s">
        <v>20</v>
      </c>
    </row>
    <row r="1271" spans="1:14" ht="12" customHeight="1">
      <c r="A1271" s="2" t="s">
        <v>1378</v>
      </c>
      <c r="B1271" s="3">
        <v>45845</v>
      </c>
      <c r="C1271" s="2" t="s">
        <v>15</v>
      </c>
      <c r="D1271" s="2" t="s">
        <v>43</v>
      </c>
      <c r="E1271" s="2" t="s">
        <v>49</v>
      </c>
      <c r="F1271" s="2" t="s">
        <v>107</v>
      </c>
      <c r="G1271" s="2" t="s">
        <v>61</v>
      </c>
      <c r="H1271" s="4">
        <v>2</v>
      </c>
      <c r="I1271" s="5">
        <v>5340.36</v>
      </c>
      <c r="J1271" s="6">
        <v>0</v>
      </c>
      <c r="K1271" s="5">
        <v>10680.72</v>
      </c>
      <c r="L1271" s="5">
        <v>5365.89</v>
      </c>
      <c r="M1271" s="5">
        <v>5314.83</v>
      </c>
      <c r="N1271" s="2" t="s">
        <v>26</v>
      </c>
    </row>
    <row r="1272" spans="1:14" ht="12" customHeight="1">
      <c r="A1272" s="2" t="s">
        <v>1379</v>
      </c>
      <c r="B1272" s="3">
        <v>45995</v>
      </c>
      <c r="C1272" s="2" t="s">
        <v>28</v>
      </c>
      <c r="D1272" s="2" t="s">
        <v>52</v>
      </c>
      <c r="E1272" s="2" t="s">
        <v>49</v>
      </c>
      <c r="F1272" s="2" t="s">
        <v>91</v>
      </c>
      <c r="G1272" s="2" t="s">
        <v>19</v>
      </c>
      <c r="H1272" s="4">
        <v>6</v>
      </c>
      <c r="I1272" s="5">
        <v>6040.97</v>
      </c>
      <c r="J1272" s="6">
        <v>0.05</v>
      </c>
      <c r="K1272" s="5">
        <v>34433.53</v>
      </c>
      <c r="L1272" s="5">
        <v>22178.09</v>
      </c>
      <c r="M1272" s="5">
        <v>12255.44</v>
      </c>
      <c r="N1272" s="2" t="s">
        <v>33</v>
      </c>
    </row>
    <row r="1273" spans="1:14" ht="12" customHeight="1">
      <c r="A1273" s="2" t="s">
        <v>1380</v>
      </c>
      <c r="B1273" s="3">
        <v>45759</v>
      </c>
      <c r="C1273" s="2" t="s">
        <v>15</v>
      </c>
      <c r="D1273" s="2" t="s">
        <v>43</v>
      </c>
      <c r="E1273" s="2" t="s">
        <v>30</v>
      </c>
      <c r="F1273" s="2" t="s">
        <v>40</v>
      </c>
      <c r="G1273" s="2" t="s">
        <v>58</v>
      </c>
      <c r="H1273" s="4">
        <v>4</v>
      </c>
      <c r="I1273" s="5">
        <v>23647.64</v>
      </c>
      <c r="J1273" s="6">
        <v>0</v>
      </c>
      <c r="K1273" s="5">
        <v>94590.56</v>
      </c>
      <c r="L1273" s="5">
        <v>63285.53</v>
      </c>
      <c r="M1273" s="5">
        <v>31305.03</v>
      </c>
      <c r="N1273" s="2" t="s">
        <v>20</v>
      </c>
    </row>
    <row r="1274" spans="1:14" ht="12" customHeight="1">
      <c r="A1274" s="2" t="s">
        <v>1381</v>
      </c>
      <c r="B1274" s="3">
        <v>45905</v>
      </c>
      <c r="C1274" s="2" t="s">
        <v>28</v>
      </c>
      <c r="D1274" s="2" t="s">
        <v>56</v>
      </c>
      <c r="E1274" s="2" t="s">
        <v>49</v>
      </c>
      <c r="F1274" s="2" t="s">
        <v>91</v>
      </c>
      <c r="G1274" s="2" t="s">
        <v>25</v>
      </c>
      <c r="H1274" s="4">
        <v>8</v>
      </c>
      <c r="I1274" s="5">
        <v>6004.79</v>
      </c>
      <c r="J1274" s="6">
        <v>0</v>
      </c>
      <c r="K1274" s="5">
        <v>48038.32</v>
      </c>
      <c r="L1274" s="5">
        <v>28584.17</v>
      </c>
      <c r="M1274" s="5">
        <v>19454.150000000001</v>
      </c>
      <c r="N1274" s="2" t="s">
        <v>59</v>
      </c>
    </row>
    <row r="1275" spans="1:14" ht="12" customHeight="1">
      <c r="A1275" s="2" t="s">
        <v>1382</v>
      </c>
      <c r="B1275" s="3">
        <v>45950</v>
      </c>
      <c r="C1275" s="2" t="s">
        <v>28</v>
      </c>
      <c r="D1275" s="2" t="s">
        <v>56</v>
      </c>
      <c r="E1275" s="2" t="s">
        <v>17</v>
      </c>
      <c r="F1275" s="2" t="s">
        <v>75</v>
      </c>
      <c r="G1275" s="2" t="s">
        <v>61</v>
      </c>
      <c r="H1275" s="4">
        <v>4</v>
      </c>
      <c r="I1275" s="5">
        <v>198224.68</v>
      </c>
      <c r="J1275" s="6">
        <v>0.05</v>
      </c>
      <c r="K1275" s="5">
        <v>753253.78</v>
      </c>
      <c r="L1275" s="5">
        <v>586429.6</v>
      </c>
      <c r="M1275" s="5">
        <v>166824.18</v>
      </c>
      <c r="N1275" s="2" t="s">
        <v>232</v>
      </c>
    </row>
    <row r="1276" spans="1:14" ht="12" customHeight="1">
      <c r="A1276" s="2" t="s">
        <v>1383</v>
      </c>
      <c r="B1276" s="3">
        <v>45684</v>
      </c>
      <c r="C1276" s="2" t="s">
        <v>15</v>
      </c>
      <c r="D1276" s="2" t="s">
        <v>16</v>
      </c>
      <c r="E1276" s="2" t="s">
        <v>17</v>
      </c>
      <c r="F1276" s="2" t="s">
        <v>75</v>
      </c>
      <c r="G1276" s="2" t="s">
        <v>25</v>
      </c>
      <c r="H1276" s="4">
        <v>5</v>
      </c>
      <c r="I1276" s="5">
        <v>181593.08</v>
      </c>
      <c r="J1276" s="6">
        <v>0.05</v>
      </c>
      <c r="K1276" s="5">
        <v>862567.13</v>
      </c>
      <c r="L1276" s="5">
        <v>736620.1</v>
      </c>
      <c r="M1276" s="5">
        <v>125947.03</v>
      </c>
      <c r="N1276" s="2" t="s">
        <v>26</v>
      </c>
    </row>
    <row r="1277" spans="1:14" ht="12" customHeight="1">
      <c r="A1277" s="2" t="s">
        <v>1384</v>
      </c>
      <c r="B1277" s="3">
        <v>46022</v>
      </c>
      <c r="C1277" s="2" t="s">
        <v>15</v>
      </c>
      <c r="D1277" s="2" t="s">
        <v>63</v>
      </c>
      <c r="E1277" s="2" t="s">
        <v>17</v>
      </c>
      <c r="F1277" s="2" t="s">
        <v>24</v>
      </c>
      <c r="G1277" s="2" t="s">
        <v>32</v>
      </c>
      <c r="H1277" s="4">
        <v>2</v>
      </c>
      <c r="I1277" s="5">
        <v>91370.48</v>
      </c>
      <c r="J1277" s="6">
        <v>0</v>
      </c>
      <c r="K1277" s="5">
        <v>182740.96</v>
      </c>
      <c r="L1277" s="5">
        <v>140415.23000000001</v>
      </c>
      <c r="M1277" s="5">
        <v>42325.73</v>
      </c>
      <c r="N1277" s="2" t="s">
        <v>33</v>
      </c>
    </row>
    <row r="1278" spans="1:14" ht="12" customHeight="1">
      <c r="A1278" s="2" t="s">
        <v>1385</v>
      </c>
      <c r="B1278" s="3">
        <v>46010</v>
      </c>
      <c r="C1278" s="2" t="s">
        <v>15</v>
      </c>
      <c r="D1278" s="2" t="s">
        <v>16</v>
      </c>
      <c r="E1278" s="2" t="s">
        <v>49</v>
      </c>
      <c r="F1278" s="2" t="s">
        <v>50</v>
      </c>
      <c r="G1278" s="2" t="s">
        <v>19</v>
      </c>
      <c r="H1278" s="4">
        <v>1</v>
      </c>
      <c r="I1278" s="5">
        <v>3894.4</v>
      </c>
      <c r="J1278" s="6">
        <v>0.05</v>
      </c>
      <c r="K1278" s="5">
        <v>3699.68</v>
      </c>
      <c r="L1278" s="5">
        <v>2067.29</v>
      </c>
      <c r="M1278" s="5">
        <v>1632.39</v>
      </c>
      <c r="N1278" s="2" t="s">
        <v>59</v>
      </c>
    </row>
    <row r="1279" spans="1:14" ht="12" customHeight="1">
      <c r="A1279" s="2" t="s">
        <v>1386</v>
      </c>
      <c r="B1279" s="3">
        <v>45863</v>
      </c>
      <c r="C1279" s="2" t="s">
        <v>22</v>
      </c>
      <c r="D1279" s="2" t="s">
        <v>23</v>
      </c>
      <c r="E1279" s="2" t="s">
        <v>30</v>
      </c>
      <c r="F1279" s="2" t="s">
        <v>86</v>
      </c>
      <c r="G1279" s="2" t="s">
        <v>64</v>
      </c>
      <c r="H1279" s="4">
        <v>7</v>
      </c>
      <c r="I1279" s="5">
        <v>34724.300000000003</v>
      </c>
      <c r="J1279" s="6">
        <v>0.05</v>
      </c>
      <c r="K1279" s="5">
        <v>230916.6</v>
      </c>
      <c r="L1279" s="5">
        <v>162891.35999999999</v>
      </c>
      <c r="M1279" s="5">
        <v>68025.240000000005</v>
      </c>
      <c r="N1279" s="2" t="s">
        <v>26</v>
      </c>
    </row>
    <row r="1280" spans="1:14" ht="12" customHeight="1">
      <c r="A1280" s="2" t="s">
        <v>1387</v>
      </c>
      <c r="B1280" s="3">
        <v>45978</v>
      </c>
      <c r="C1280" s="2" t="s">
        <v>22</v>
      </c>
      <c r="D1280" s="2" t="s">
        <v>37</v>
      </c>
      <c r="E1280" s="2" t="s">
        <v>44</v>
      </c>
      <c r="F1280" s="2" t="s">
        <v>69</v>
      </c>
      <c r="G1280" s="2" t="s">
        <v>58</v>
      </c>
      <c r="H1280" s="4">
        <v>7</v>
      </c>
      <c r="I1280" s="5">
        <v>39096.81</v>
      </c>
      <c r="J1280" s="6">
        <v>0.15</v>
      </c>
      <c r="K1280" s="5">
        <v>232626.02</v>
      </c>
      <c r="L1280" s="5">
        <v>187544.09</v>
      </c>
      <c r="M1280" s="5">
        <v>45081.93</v>
      </c>
      <c r="N1280" s="2"/>
    </row>
    <row r="1281" spans="1:14" ht="12" customHeight="1">
      <c r="A1281" s="2" t="s">
        <v>1388</v>
      </c>
      <c r="B1281" s="3">
        <v>45755</v>
      </c>
      <c r="C1281" s="2" t="s">
        <v>15</v>
      </c>
      <c r="D1281" s="2" t="s">
        <v>43</v>
      </c>
      <c r="E1281" s="2" t="s">
        <v>30</v>
      </c>
      <c r="F1281" s="2" t="s">
        <v>40</v>
      </c>
      <c r="G1281" s="2" t="s">
        <v>70</v>
      </c>
      <c r="H1281" s="4">
        <v>1</v>
      </c>
      <c r="I1281" s="5">
        <v>24170.28</v>
      </c>
      <c r="J1281" s="6">
        <v>0.05</v>
      </c>
      <c r="K1281" s="5">
        <v>22961.77</v>
      </c>
      <c r="L1281" s="5">
        <v>15743.11</v>
      </c>
      <c r="M1281" s="5">
        <v>7218.66</v>
      </c>
      <c r="N1281" s="2" t="s">
        <v>59</v>
      </c>
    </row>
    <row r="1282" spans="1:14" ht="12" customHeight="1">
      <c r="A1282" s="2" t="s">
        <v>1389</v>
      </c>
      <c r="B1282" s="3">
        <v>45984</v>
      </c>
      <c r="C1282" s="2" t="s">
        <v>15</v>
      </c>
      <c r="D1282" s="2"/>
      <c r="E1282" s="2" t="s">
        <v>49</v>
      </c>
      <c r="F1282" s="2" t="s">
        <v>91</v>
      </c>
      <c r="G1282" s="2" t="s">
        <v>19</v>
      </c>
      <c r="H1282" s="4">
        <v>8</v>
      </c>
      <c r="I1282" s="5">
        <v>6114.04</v>
      </c>
      <c r="J1282" s="6">
        <v>0.15</v>
      </c>
      <c r="K1282" s="5">
        <v>41575.47</v>
      </c>
      <c r="L1282" s="5">
        <v>28385.52</v>
      </c>
      <c r="M1282" s="5">
        <v>13189.95</v>
      </c>
      <c r="N1282" s="2" t="s">
        <v>33</v>
      </c>
    </row>
    <row r="1283" spans="1:14" ht="12" customHeight="1">
      <c r="A1283" s="2" t="s">
        <v>1390</v>
      </c>
      <c r="B1283" s="3" t="s">
        <v>1391</v>
      </c>
      <c r="C1283" s="2" t="s">
        <v>22</v>
      </c>
      <c r="D1283" s="2" t="s">
        <v>35</v>
      </c>
      <c r="E1283" s="2" t="s">
        <v>17</v>
      </c>
      <c r="F1283" s="2" t="s">
        <v>24</v>
      </c>
      <c r="G1283" s="2" t="s">
        <v>25</v>
      </c>
      <c r="H1283" s="4">
        <v>6</v>
      </c>
      <c r="I1283" s="5">
        <v>87103.64</v>
      </c>
      <c r="J1283" s="6">
        <v>0.15</v>
      </c>
      <c r="K1283" s="5">
        <v>444228.56</v>
      </c>
      <c r="L1283" s="5">
        <v>403085.62</v>
      </c>
      <c r="M1283" s="5">
        <v>41142.94</v>
      </c>
      <c r="N1283" s="2" t="s">
        <v>59</v>
      </c>
    </row>
    <row r="1284" spans="1:14" ht="12" customHeight="1">
      <c r="A1284" s="2" t="s">
        <v>1392</v>
      </c>
      <c r="B1284" s="3">
        <v>45761</v>
      </c>
      <c r="C1284" s="2" t="s">
        <v>15</v>
      </c>
      <c r="D1284" s="2" t="s">
        <v>63</v>
      </c>
      <c r="E1284" s="2" t="s">
        <v>30</v>
      </c>
      <c r="F1284" s="2" t="s">
        <v>38</v>
      </c>
      <c r="G1284" s="2" t="s">
        <v>19</v>
      </c>
      <c r="H1284" s="4">
        <v>2</v>
      </c>
      <c r="I1284" s="5">
        <v>28127.47</v>
      </c>
      <c r="J1284" s="6">
        <v>0.05</v>
      </c>
      <c r="K1284" s="5">
        <v>53442.19</v>
      </c>
      <c r="L1284" s="5">
        <v>36993.65</v>
      </c>
      <c r="M1284" s="5">
        <v>16448.54</v>
      </c>
      <c r="N1284" s="2" t="s">
        <v>20</v>
      </c>
    </row>
    <row r="1285" spans="1:14" ht="12" customHeight="1">
      <c r="A1285" s="2" t="s">
        <v>1393</v>
      </c>
      <c r="B1285" s="3">
        <v>45856</v>
      </c>
      <c r="C1285" s="2" t="s">
        <v>22</v>
      </c>
      <c r="D1285" s="2" t="s">
        <v>23</v>
      </c>
      <c r="E1285" s="2" t="s">
        <v>17</v>
      </c>
      <c r="F1285" s="2" t="s">
        <v>114</v>
      </c>
      <c r="G1285" s="2" t="s">
        <v>61</v>
      </c>
      <c r="H1285" s="4">
        <v>8</v>
      </c>
      <c r="I1285" s="5">
        <v>48749.74</v>
      </c>
      <c r="J1285" s="6">
        <v>0</v>
      </c>
      <c r="K1285" s="5">
        <v>389997.92</v>
      </c>
      <c r="L1285" s="5">
        <v>284017.36</v>
      </c>
      <c r="M1285" s="5">
        <v>105980.56</v>
      </c>
      <c r="N1285" s="2" t="s">
        <v>33</v>
      </c>
    </row>
    <row r="1286" spans="1:14" ht="12" customHeight="1">
      <c r="A1286" s="2" t="s">
        <v>1394</v>
      </c>
      <c r="B1286" s="3">
        <v>45679</v>
      </c>
      <c r="C1286" s="2" t="s">
        <v>15</v>
      </c>
      <c r="D1286" s="2" t="s">
        <v>16</v>
      </c>
      <c r="E1286" s="2" t="s">
        <v>44</v>
      </c>
      <c r="F1286" s="2" t="s">
        <v>53</v>
      </c>
      <c r="G1286" s="2" t="s">
        <v>47</v>
      </c>
      <c r="H1286" s="4">
        <v>6</v>
      </c>
      <c r="I1286" s="5">
        <v>8415.83</v>
      </c>
      <c r="J1286" s="6">
        <v>0</v>
      </c>
      <c r="K1286" s="5">
        <v>50494.98</v>
      </c>
      <c r="L1286" s="5">
        <v>29427.69</v>
      </c>
      <c r="M1286" s="5">
        <v>21067.29</v>
      </c>
      <c r="N1286" s="2" t="s">
        <v>26</v>
      </c>
    </row>
    <row r="1287" spans="1:14" ht="12" customHeight="1">
      <c r="A1287" s="2" t="s">
        <v>1395</v>
      </c>
      <c r="B1287" s="3">
        <v>45837</v>
      </c>
      <c r="C1287" s="2" t="s">
        <v>15</v>
      </c>
      <c r="D1287" s="2" t="s">
        <v>63</v>
      </c>
      <c r="E1287" s="2" t="s">
        <v>17</v>
      </c>
      <c r="F1287" s="2" t="s">
        <v>75</v>
      </c>
      <c r="G1287" s="2" t="s">
        <v>70</v>
      </c>
      <c r="H1287" s="4">
        <v>3</v>
      </c>
      <c r="I1287" s="5">
        <v>180303.89</v>
      </c>
      <c r="J1287" s="6">
        <v>0.05</v>
      </c>
      <c r="K1287" s="5">
        <v>513866.09</v>
      </c>
      <c r="L1287" s="5">
        <v>440709.26</v>
      </c>
      <c r="M1287" s="5">
        <v>73156.83</v>
      </c>
      <c r="N1287" s="2" t="s">
        <v>26</v>
      </c>
    </row>
    <row r="1288" spans="1:14" ht="12" customHeight="1">
      <c r="A1288" s="2" t="s">
        <v>1396</v>
      </c>
      <c r="B1288" s="3">
        <v>45752</v>
      </c>
      <c r="C1288" s="2" t="s">
        <v>15</v>
      </c>
      <c r="D1288" s="2" t="s">
        <v>16</v>
      </c>
      <c r="E1288" s="2" t="s">
        <v>49</v>
      </c>
      <c r="F1288" s="2" t="s">
        <v>107</v>
      </c>
      <c r="G1288" s="2" t="s">
        <v>47</v>
      </c>
      <c r="H1288" s="4">
        <v>3</v>
      </c>
      <c r="I1288" s="5">
        <v>5571.76</v>
      </c>
      <c r="J1288" s="6">
        <v>0.1</v>
      </c>
      <c r="K1288" s="5">
        <v>15043.75</v>
      </c>
      <c r="L1288" s="5">
        <v>7893.09</v>
      </c>
      <c r="M1288" s="5">
        <v>7150.66</v>
      </c>
      <c r="N1288" s="2" t="s">
        <v>59</v>
      </c>
    </row>
    <row r="1289" spans="1:14" ht="12" customHeight="1">
      <c r="A1289" s="2" t="s">
        <v>1397</v>
      </c>
      <c r="B1289" s="3">
        <v>45805</v>
      </c>
      <c r="C1289" s="2" t="s">
        <v>15</v>
      </c>
      <c r="D1289" s="2" t="s">
        <v>43</v>
      </c>
      <c r="E1289" s="2" t="s">
        <v>49</v>
      </c>
      <c r="F1289" s="2" t="s">
        <v>91</v>
      </c>
      <c r="G1289" s="2" t="s">
        <v>61</v>
      </c>
      <c r="H1289" s="4">
        <v>8</v>
      </c>
      <c r="I1289" s="5">
        <v>6052.16</v>
      </c>
      <c r="J1289" s="6">
        <v>0</v>
      </c>
      <c r="K1289" s="5">
        <v>48417.279999999999</v>
      </c>
      <c r="L1289" s="5">
        <v>29148.95</v>
      </c>
      <c r="M1289" s="5">
        <v>19268.330000000002</v>
      </c>
      <c r="N1289" s="2" t="s">
        <v>26</v>
      </c>
    </row>
    <row r="1290" spans="1:14" ht="12" customHeight="1">
      <c r="A1290" s="2" t="s">
        <v>1398</v>
      </c>
      <c r="B1290" s="3">
        <v>45744</v>
      </c>
      <c r="C1290" s="2" t="s">
        <v>15</v>
      </c>
      <c r="D1290" s="2" t="s">
        <v>63</v>
      </c>
      <c r="E1290" s="2" t="s">
        <v>17</v>
      </c>
      <c r="F1290" s="2" t="s">
        <v>75</v>
      </c>
      <c r="G1290" s="2" t="s">
        <v>32</v>
      </c>
      <c r="H1290" s="4">
        <v>2</v>
      </c>
      <c r="I1290" s="5">
        <v>182333.76</v>
      </c>
      <c r="J1290" s="6">
        <v>0.1</v>
      </c>
      <c r="K1290" s="5">
        <v>328200.77</v>
      </c>
      <c r="L1290" s="5">
        <v>275827.14</v>
      </c>
      <c r="M1290" s="5">
        <v>52373.63</v>
      </c>
      <c r="N1290" s="2" t="s">
        <v>59</v>
      </c>
    </row>
    <row r="1291" spans="1:14" ht="12" customHeight="1">
      <c r="A1291" s="2" t="s">
        <v>1399</v>
      </c>
      <c r="B1291" s="3">
        <v>45856</v>
      </c>
      <c r="C1291" s="2" t="s">
        <v>22</v>
      </c>
      <c r="D1291" s="2" t="s">
        <v>23</v>
      </c>
      <c r="E1291" s="2" t="s">
        <v>17</v>
      </c>
      <c r="F1291" s="2" t="s">
        <v>24</v>
      </c>
      <c r="G1291" s="2" t="s">
        <v>19</v>
      </c>
      <c r="H1291" s="4">
        <v>1</v>
      </c>
      <c r="I1291" s="5">
        <v>90251.46</v>
      </c>
      <c r="J1291" s="6">
        <v>0.1</v>
      </c>
      <c r="K1291" s="5">
        <v>81226.31</v>
      </c>
      <c r="L1291" s="5">
        <v>66238.070000000007</v>
      </c>
      <c r="M1291" s="5">
        <v>14988.24</v>
      </c>
      <c r="N1291" s="2" t="s">
        <v>26</v>
      </c>
    </row>
    <row r="1292" spans="1:14" ht="12" customHeight="1">
      <c r="A1292" s="2" t="s">
        <v>1400</v>
      </c>
      <c r="B1292" s="3">
        <v>46009</v>
      </c>
      <c r="C1292" s="2" t="s">
        <v>15</v>
      </c>
      <c r="D1292" s="2" t="s">
        <v>16</v>
      </c>
      <c r="E1292" s="2" t="s">
        <v>17</v>
      </c>
      <c r="F1292" s="2" t="s">
        <v>75</v>
      </c>
      <c r="G1292" s="2" t="s">
        <v>25</v>
      </c>
      <c r="H1292" s="4">
        <v>8</v>
      </c>
      <c r="I1292" s="5">
        <v>197941.44</v>
      </c>
      <c r="J1292" s="6">
        <v>0.15</v>
      </c>
      <c r="K1292" s="5">
        <v>1346001.79</v>
      </c>
      <c r="L1292" s="5">
        <v>1132619.07</v>
      </c>
      <c r="M1292" s="5">
        <v>213382.72</v>
      </c>
      <c r="N1292" s="2" t="s">
        <v>20</v>
      </c>
    </row>
    <row r="1293" spans="1:14" ht="12" customHeight="1">
      <c r="A1293" s="2" t="s">
        <v>1401</v>
      </c>
      <c r="B1293" s="3">
        <v>45736</v>
      </c>
      <c r="C1293" s="2" t="s">
        <v>15</v>
      </c>
      <c r="D1293" s="2" t="s">
        <v>16</v>
      </c>
      <c r="E1293" s="2" t="s">
        <v>49</v>
      </c>
      <c r="F1293" s="2" t="s">
        <v>57</v>
      </c>
      <c r="G1293" s="2" t="s">
        <v>70</v>
      </c>
      <c r="H1293" s="4">
        <v>6</v>
      </c>
      <c r="I1293" s="5">
        <v>12383.44</v>
      </c>
      <c r="J1293" s="6">
        <v>0.15</v>
      </c>
      <c r="K1293" s="5">
        <v>63155.54</v>
      </c>
      <c r="L1293" s="5">
        <v>39072.11</v>
      </c>
      <c r="M1293" s="5">
        <v>24083.43</v>
      </c>
      <c r="N1293" s="2" t="s">
        <v>59</v>
      </c>
    </row>
    <row r="1294" spans="1:14" ht="12" customHeight="1">
      <c r="A1294" s="2" t="s">
        <v>1402</v>
      </c>
      <c r="B1294" s="3">
        <v>45668</v>
      </c>
      <c r="C1294" s="2" t="s">
        <v>22</v>
      </c>
      <c r="D1294" s="2" t="s">
        <v>23</v>
      </c>
      <c r="E1294" s="2" t="s">
        <v>30</v>
      </c>
      <c r="F1294" s="2" t="s">
        <v>86</v>
      </c>
      <c r="G1294" s="2" t="s">
        <v>25</v>
      </c>
      <c r="H1294" s="4">
        <v>7</v>
      </c>
      <c r="I1294" s="5">
        <v>35635.46</v>
      </c>
      <c r="J1294" s="6">
        <v>0</v>
      </c>
      <c r="K1294" s="5">
        <v>249448.22</v>
      </c>
      <c r="L1294" s="5">
        <v>156833.06</v>
      </c>
      <c r="M1294" s="5">
        <v>92615.16</v>
      </c>
      <c r="N1294" s="2" t="s">
        <v>59</v>
      </c>
    </row>
    <row r="1295" spans="1:14" ht="12" customHeight="1">
      <c r="A1295" s="2" t="s">
        <v>1403</v>
      </c>
      <c r="B1295" s="3">
        <v>45838</v>
      </c>
      <c r="C1295" s="2" t="s">
        <v>22</v>
      </c>
      <c r="D1295" s="2" t="s">
        <v>23</v>
      </c>
      <c r="E1295" s="2" t="s">
        <v>49</v>
      </c>
      <c r="F1295" s="2" t="s">
        <v>107</v>
      </c>
      <c r="G1295" s="2" t="s">
        <v>47</v>
      </c>
      <c r="H1295" s="4">
        <v>4</v>
      </c>
      <c r="I1295" s="5">
        <v>5605.59</v>
      </c>
      <c r="J1295" s="6">
        <v>0</v>
      </c>
      <c r="K1295" s="5">
        <v>22422.36</v>
      </c>
      <c r="L1295" s="5">
        <v>11111.14</v>
      </c>
      <c r="M1295" s="5">
        <v>11311.22</v>
      </c>
      <c r="N1295" s="2" t="s">
        <v>20</v>
      </c>
    </row>
    <row r="1296" spans="1:14" ht="12" customHeight="1">
      <c r="A1296" s="2" t="s">
        <v>1404</v>
      </c>
      <c r="B1296" s="3">
        <v>45824</v>
      </c>
      <c r="C1296" s="2" t="s">
        <v>28</v>
      </c>
      <c r="D1296" s="2" t="s">
        <v>56</v>
      </c>
      <c r="E1296" s="2" t="s">
        <v>49</v>
      </c>
      <c r="F1296" s="2" t="s">
        <v>107</v>
      </c>
      <c r="G1296" s="2" t="s">
        <v>25</v>
      </c>
      <c r="H1296" s="4">
        <v>8</v>
      </c>
      <c r="I1296" s="5">
        <v>5576.38</v>
      </c>
      <c r="J1296" s="6">
        <v>0.05</v>
      </c>
      <c r="K1296" s="5">
        <v>42380.49</v>
      </c>
      <c r="L1296" s="5">
        <v>21501.7</v>
      </c>
      <c r="M1296" s="5">
        <v>20878.79</v>
      </c>
      <c r="N1296" s="2" t="s">
        <v>26</v>
      </c>
    </row>
    <row r="1297" spans="1:14" ht="12" customHeight="1">
      <c r="A1297" s="2" t="s">
        <v>1405</v>
      </c>
      <c r="B1297" s="3">
        <v>45995</v>
      </c>
      <c r="C1297" s="2" t="s">
        <v>15</v>
      </c>
      <c r="D1297" s="2" t="s">
        <v>43</v>
      </c>
      <c r="E1297" s="2" t="s">
        <v>44</v>
      </c>
      <c r="F1297" s="2" t="s">
        <v>45</v>
      </c>
      <c r="G1297" s="2" t="s">
        <v>32</v>
      </c>
      <c r="H1297" s="4">
        <v>4</v>
      </c>
      <c r="I1297" s="5">
        <v>29469.41</v>
      </c>
      <c r="J1297" s="6">
        <v>0.1</v>
      </c>
      <c r="K1297" s="5">
        <v>106089.88</v>
      </c>
      <c r="L1297" s="5">
        <v>74755.28</v>
      </c>
      <c r="M1297" s="5">
        <v>31334.6</v>
      </c>
      <c r="N1297" s="2" t="s">
        <v>20</v>
      </c>
    </row>
    <row r="1298" spans="1:14" ht="12" customHeight="1">
      <c r="A1298" s="2" t="s">
        <v>1406</v>
      </c>
      <c r="B1298" s="3">
        <v>45991</v>
      </c>
      <c r="C1298" s="2" t="s">
        <v>15</v>
      </c>
      <c r="D1298" s="2" t="s">
        <v>63</v>
      </c>
      <c r="E1298" s="2" t="s">
        <v>30</v>
      </c>
      <c r="F1298" s="2" t="s">
        <v>38</v>
      </c>
      <c r="G1298" s="2" t="s">
        <v>70</v>
      </c>
      <c r="H1298" s="4">
        <v>4</v>
      </c>
      <c r="I1298" s="5">
        <v>26537.02</v>
      </c>
      <c r="J1298" s="6">
        <v>0.05</v>
      </c>
      <c r="K1298" s="5">
        <v>100840.68</v>
      </c>
      <c r="L1298" s="5">
        <v>70387.600000000006</v>
      </c>
      <c r="M1298" s="5">
        <v>30453.08</v>
      </c>
      <c r="N1298" s="2" t="s">
        <v>59</v>
      </c>
    </row>
    <row r="1299" spans="1:14" ht="12" customHeight="1">
      <c r="A1299" s="2" t="s">
        <v>1407</v>
      </c>
      <c r="B1299" s="3">
        <v>45922</v>
      </c>
      <c r="C1299" s="2" t="s">
        <v>15</v>
      </c>
      <c r="D1299" s="2" t="s">
        <v>63</v>
      </c>
      <c r="E1299" s="2" t="s">
        <v>17</v>
      </c>
      <c r="F1299" s="2" t="s">
        <v>24</v>
      </c>
      <c r="G1299" s="2" t="s">
        <v>25</v>
      </c>
      <c r="H1299" s="4">
        <v>4</v>
      </c>
      <c r="I1299" s="5">
        <v>89610.7</v>
      </c>
      <c r="J1299" s="6">
        <v>0</v>
      </c>
      <c r="K1299" s="5">
        <v>358442.8</v>
      </c>
      <c r="L1299" s="5">
        <v>276399.76</v>
      </c>
      <c r="M1299" s="5">
        <v>82043.039999999994</v>
      </c>
      <c r="N1299" s="2" t="s">
        <v>26</v>
      </c>
    </row>
    <row r="1300" spans="1:14" ht="12" customHeight="1">
      <c r="A1300" s="2" t="s">
        <v>1408</v>
      </c>
      <c r="B1300" s="3">
        <v>45737</v>
      </c>
      <c r="C1300" s="2" t="s">
        <v>28</v>
      </c>
      <c r="D1300" s="2" t="s">
        <v>52</v>
      </c>
      <c r="E1300" s="2" t="s">
        <v>44</v>
      </c>
      <c r="F1300" s="2" t="s">
        <v>53</v>
      </c>
      <c r="G1300" s="2" t="s">
        <v>25</v>
      </c>
      <c r="H1300" s="4">
        <v>3</v>
      </c>
      <c r="I1300" s="5">
        <v>8191.72</v>
      </c>
      <c r="J1300" s="6">
        <v>0.15</v>
      </c>
      <c r="K1300" s="5">
        <v>20888.89</v>
      </c>
      <c r="L1300" s="5">
        <v>14959.37</v>
      </c>
      <c r="M1300" s="5">
        <v>5929.52</v>
      </c>
      <c r="N1300" s="2" t="s">
        <v>26</v>
      </c>
    </row>
    <row r="1301" spans="1:14" ht="12" customHeight="1">
      <c r="A1301" s="2" t="s">
        <v>1409</v>
      </c>
      <c r="B1301" s="3">
        <v>45907</v>
      </c>
      <c r="C1301" s="2" t="s">
        <v>22</v>
      </c>
      <c r="D1301" s="2" t="s">
        <v>35</v>
      </c>
      <c r="E1301" s="2" t="s">
        <v>30</v>
      </c>
      <c r="F1301" s="2" t="s">
        <v>40</v>
      </c>
      <c r="G1301" s="2" t="s">
        <v>32</v>
      </c>
      <c r="H1301" s="4">
        <v>4</v>
      </c>
      <c r="I1301" s="5">
        <v>25942.68</v>
      </c>
      <c r="J1301" s="6">
        <v>0</v>
      </c>
      <c r="K1301" s="5">
        <v>103770.72</v>
      </c>
      <c r="L1301" s="5">
        <v>64677.83</v>
      </c>
      <c r="M1301" s="5">
        <v>39092.89</v>
      </c>
      <c r="N1301" s="2" t="s">
        <v>33</v>
      </c>
    </row>
    <row r="1302" spans="1:14" ht="12" customHeight="1">
      <c r="A1302" s="2" t="s">
        <v>1410</v>
      </c>
      <c r="B1302" s="3">
        <v>45704</v>
      </c>
      <c r="C1302" s="2" t="s">
        <v>15</v>
      </c>
      <c r="D1302" s="2" t="s">
        <v>16</v>
      </c>
      <c r="E1302" s="2" t="s">
        <v>17</v>
      </c>
      <c r="F1302" s="2" t="s">
        <v>75</v>
      </c>
      <c r="G1302" s="2" t="s">
        <v>32</v>
      </c>
      <c r="H1302" s="4">
        <v>1</v>
      </c>
      <c r="I1302" s="5">
        <v>170456.59</v>
      </c>
      <c r="J1302" s="6">
        <v>0</v>
      </c>
      <c r="K1302" s="5">
        <v>170456.59</v>
      </c>
      <c r="L1302" s="5">
        <v>141035.20000000001</v>
      </c>
      <c r="M1302" s="5">
        <v>29421.39</v>
      </c>
      <c r="N1302" s="2" t="s">
        <v>59</v>
      </c>
    </row>
    <row r="1303" spans="1:14" ht="12" customHeight="1">
      <c r="A1303" s="2" t="s">
        <v>1411</v>
      </c>
      <c r="B1303" s="3">
        <v>45819</v>
      </c>
      <c r="C1303" s="2" t="s">
        <v>22</v>
      </c>
      <c r="D1303" s="2" t="s">
        <v>37</v>
      </c>
      <c r="E1303" s="2" t="s">
        <v>44</v>
      </c>
      <c r="F1303" s="2" t="s">
        <v>45</v>
      </c>
      <c r="G1303" s="2" t="s">
        <v>70</v>
      </c>
      <c r="H1303" s="4">
        <v>5</v>
      </c>
      <c r="I1303" s="5">
        <v>30053.49</v>
      </c>
      <c r="J1303" s="6">
        <v>0.05</v>
      </c>
      <c r="K1303" s="5">
        <v>142754.07999999999</v>
      </c>
      <c r="L1303" s="5">
        <v>96294.49</v>
      </c>
      <c r="M1303" s="5">
        <v>46459.59</v>
      </c>
      <c r="N1303" s="2" t="s">
        <v>20</v>
      </c>
    </row>
    <row r="1304" spans="1:14" ht="12" customHeight="1">
      <c r="A1304" s="2" t="s">
        <v>1412</v>
      </c>
      <c r="B1304" s="3">
        <v>45735</v>
      </c>
      <c r="C1304" s="2" t="s">
        <v>28</v>
      </c>
      <c r="D1304" s="2" t="s">
        <v>29</v>
      </c>
      <c r="E1304" s="2" t="s">
        <v>44</v>
      </c>
      <c r="F1304" s="2" t="s">
        <v>69</v>
      </c>
      <c r="G1304" s="2" t="s">
        <v>61</v>
      </c>
      <c r="H1304" s="4">
        <v>5</v>
      </c>
      <c r="I1304" s="5">
        <v>35577.120000000003</v>
      </c>
      <c r="J1304" s="6">
        <v>0.1</v>
      </c>
      <c r="K1304" s="5">
        <v>160097.04</v>
      </c>
      <c r="L1304" s="5">
        <v>127554.29</v>
      </c>
      <c r="M1304" s="5">
        <v>32542.75</v>
      </c>
      <c r="N1304" s="2" t="s">
        <v>20</v>
      </c>
    </row>
    <row r="1305" spans="1:14" ht="12" customHeight="1">
      <c r="A1305" s="2" t="s">
        <v>1413</v>
      </c>
      <c r="B1305" s="3">
        <v>45785</v>
      </c>
      <c r="C1305" s="2" t="s">
        <v>22</v>
      </c>
      <c r="D1305" s="2" t="s">
        <v>37</v>
      </c>
      <c r="E1305" s="2" t="s">
        <v>49</v>
      </c>
      <c r="F1305" s="2" t="s">
        <v>50</v>
      </c>
      <c r="G1305" s="2" t="s">
        <v>19</v>
      </c>
      <c r="H1305" s="4">
        <v>8</v>
      </c>
      <c r="I1305" s="5">
        <v>4334.3100000000004</v>
      </c>
      <c r="J1305" s="6">
        <v>0.05</v>
      </c>
      <c r="K1305" s="5">
        <v>32940.76</v>
      </c>
      <c r="L1305" s="5">
        <v>17107.400000000001</v>
      </c>
      <c r="M1305" s="5">
        <v>15833.36</v>
      </c>
      <c r="N1305" s="2"/>
    </row>
    <row r="1306" spans="1:14" ht="12" customHeight="1">
      <c r="A1306" s="2" t="s">
        <v>1414</v>
      </c>
      <c r="B1306" s="3">
        <v>45668</v>
      </c>
      <c r="C1306" s="2" t="s">
        <v>28</v>
      </c>
      <c r="D1306" s="2" t="s">
        <v>52</v>
      </c>
      <c r="E1306" s="2" t="s">
        <v>17</v>
      </c>
      <c r="F1306" s="2" t="s">
        <v>24</v>
      </c>
      <c r="G1306" s="2" t="s">
        <v>756</v>
      </c>
      <c r="H1306" s="4">
        <v>7</v>
      </c>
      <c r="I1306" s="5">
        <v>91599.81</v>
      </c>
      <c r="J1306" s="6">
        <v>0.05</v>
      </c>
      <c r="K1306" s="5">
        <v>609138.74</v>
      </c>
      <c r="L1306" s="5">
        <v>467399.66</v>
      </c>
      <c r="M1306" s="5">
        <v>141739.07999999999</v>
      </c>
      <c r="N1306" s="2" t="s">
        <v>20</v>
      </c>
    </row>
    <row r="1307" spans="1:14" ht="12" customHeight="1">
      <c r="A1307" s="2" t="s">
        <v>1415</v>
      </c>
      <c r="B1307" s="3">
        <v>45831</v>
      </c>
      <c r="C1307" s="2" t="s">
        <v>15</v>
      </c>
      <c r="D1307" s="2" t="s">
        <v>43</v>
      </c>
      <c r="E1307" s="2" t="s">
        <v>44</v>
      </c>
      <c r="F1307" s="2" t="s">
        <v>53</v>
      </c>
      <c r="G1307" s="2" t="s">
        <v>19</v>
      </c>
      <c r="H1307" s="4">
        <v>1</v>
      </c>
      <c r="I1307" s="5">
        <v>9139.6</v>
      </c>
      <c r="J1307" s="6">
        <v>0.15</v>
      </c>
      <c r="K1307" s="5">
        <v>7768.66</v>
      </c>
      <c r="L1307" s="5">
        <v>4947.41</v>
      </c>
      <c r="M1307" s="5">
        <v>2821.25</v>
      </c>
      <c r="N1307" s="2" t="s">
        <v>59</v>
      </c>
    </row>
    <row r="1308" spans="1:14" ht="12" customHeight="1">
      <c r="A1308" s="2" t="s">
        <v>1416</v>
      </c>
      <c r="B1308" s="3">
        <v>46000</v>
      </c>
      <c r="C1308" s="2" t="s">
        <v>22</v>
      </c>
      <c r="D1308" s="2" t="s">
        <v>23</v>
      </c>
      <c r="E1308" s="2" t="s">
        <v>44</v>
      </c>
      <c r="F1308" s="2" t="s">
        <v>69</v>
      </c>
      <c r="G1308" s="2" t="s">
        <v>47</v>
      </c>
      <c r="H1308" s="4">
        <v>7</v>
      </c>
      <c r="I1308" s="5">
        <v>40533.93</v>
      </c>
      <c r="J1308" s="6">
        <v>0</v>
      </c>
      <c r="K1308" s="5">
        <v>283737.51</v>
      </c>
      <c r="L1308" s="5">
        <v>189189.51</v>
      </c>
      <c r="M1308" s="5">
        <v>94548</v>
      </c>
      <c r="N1308" s="2" t="s">
        <v>59</v>
      </c>
    </row>
    <row r="1309" spans="1:14" ht="12" customHeight="1">
      <c r="A1309" s="2" t="s">
        <v>1417</v>
      </c>
      <c r="B1309" s="3">
        <v>45744</v>
      </c>
      <c r="C1309" s="2" t="s">
        <v>28</v>
      </c>
      <c r="D1309" s="2" t="s">
        <v>29</v>
      </c>
      <c r="E1309" s="2" t="s">
        <v>17</v>
      </c>
      <c r="F1309" s="2" t="s">
        <v>18</v>
      </c>
      <c r="G1309" s="2" t="s">
        <v>32</v>
      </c>
      <c r="H1309" s="4">
        <v>8</v>
      </c>
      <c r="I1309" s="5">
        <v>13377.02</v>
      </c>
      <c r="J1309" s="6">
        <v>0.1</v>
      </c>
      <c r="K1309" s="5">
        <v>96314.54</v>
      </c>
      <c r="L1309" s="5">
        <v>65550.259999999995</v>
      </c>
      <c r="M1309" s="5">
        <v>30764.28</v>
      </c>
      <c r="N1309" s="2" t="s">
        <v>59</v>
      </c>
    </row>
    <row r="1310" spans="1:14" ht="12" customHeight="1">
      <c r="A1310" s="2" t="s">
        <v>1418</v>
      </c>
      <c r="B1310" s="3">
        <v>45780</v>
      </c>
      <c r="C1310" s="2" t="s">
        <v>22</v>
      </c>
      <c r="D1310" s="2" t="s">
        <v>37</v>
      </c>
      <c r="E1310" s="2" t="s">
        <v>30</v>
      </c>
      <c r="F1310" s="2" t="s">
        <v>31</v>
      </c>
      <c r="G1310" s="2" t="s">
        <v>58</v>
      </c>
      <c r="H1310" s="4">
        <v>8</v>
      </c>
      <c r="I1310" s="5">
        <v>131081.06</v>
      </c>
      <c r="J1310" s="6">
        <v>0</v>
      </c>
      <c r="K1310" s="5">
        <v>1048648.48</v>
      </c>
      <c r="L1310" s="5">
        <v>786701.75</v>
      </c>
      <c r="M1310" s="5">
        <v>261946.73</v>
      </c>
      <c r="N1310" s="2" t="s">
        <v>59</v>
      </c>
    </row>
    <row r="1311" spans="1:14" ht="12" customHeight="1">
      <c r="A1311" s="2" t="s">
        <v>1419</v>
      </c>
      <c r="B1311" s="3">
        <v>45699</v>
      </c>
      <c r="C1311" s="2" t="s">
        <v>28</v>
      </c>
      <c r="D1311" s="2" t="s">
        <v>56</v>
      </c>
      <c r="E1311" s="2" t="s">
        <v>30</v>
      </c>
      <c r="F1311" s="2" t="s">
        <v>31</v>
      </c>
      <c r="G1311" s="2" t="s">
        <v>32</v>
      </c>
      <c r="H1311" s="4">
        <v>5</v>
      </c>
      <c r="I1311" s="5">
        <v>140399.95000000001</v>
      </c>
      <c r="J1311" s="6">
        <v>0.15</v>
      </c>
      <c r="K1311" s="5">
        <v>596699.79</v>
      </c>
      <c r="L1311" s="5">
        <v>506043.39</v>
      </c>
      <c r="M1311" s="5">
        <v>90656.4</v>
      </c>
      <c r="N1311" s="2" t="s">
        <v>33</v>
      </c>
    </row>
    <row r="1312" spans="1:14" ht="12" customHeight="1">
      <c r="A1312" s="2" t="s">
        <v>1420</v>
      </c>
      <c r="B1312" s="3">
        <v>45676</v>
      </c>
      <c r="C1312" s="2" t="s">
        <v>22</v>
      </c>
      <c r="D1312" s="2" t="s">
        <v>37</v>
      </c>
      <c r="E1312" s="2" t="s">
        <v>17</v>
      </c>
      <c r="F1312" s="2" t="s">
        <v>75</v>
      </c>
      <c r="G1312" s="2" t="s">
        <v>58</v>
      </c>
      <c r="H1312" s="4">
        <v>5</v>
      </c>
      <c r="I1312" s="5">
        <v>181467.87</v>
      </c>
      <c r="J1312" s="6">
        <v>0.05</v>
      </c>
      <c r="K1312" s="5">
        <v>861972.38</v>
      </c>
      <c r="L1312" s="5">
        <v>707586.84</v>
      </c>
      <c r="M1312" s="5">
        <v>154385.54</v>
      </c>
      <c r="N1312" s="2" t="s">
        <v>20</v>
      </c>
    </row>
    <row r="1313" spans="1:14" ht="12" customHeight="1">
      <c r="A1313" s="2" t="s">
        <v>1421</v>
      </c>
      <c r="B1313" s="3">
        <v>45940</v>
      </c>
      <c r="C1313" s="2" t="s">
        <v>28</v>
      </c>
      <c r="D1313" s="2" t="s">
        <v>56</v>
      </c>
      <c r="E1313" s="2" t="s">
        <v>49</v>
      </c>
      <c r="F1313" s="2" t="s">
        <v>107</v>
      </c>
      <c r="G1313" s="2" t="s">
        <v>47</v>
      </c>
      <c r="H1313" s="4">
        <v>6</v>
      </c>
      <c r="I1313" s="5">
        <v>4894.1099999999997</v>
      </c>
      <c r="J1313" s="6">
        <v>0.05</v>
      </c>
      <c r="K1313" s="5">
        <v>27896.43</v>
      </c>
      <c r="L1313" s="5">
        <v>16529.48</v>
      </c>
      <c r="M1313" s="5">
        <v>11366.95</v>
      </c>
      <c r="N1313" s="2" t="s">
        <v>20</v>
      </c>
    </row>
    <row r="1314" spans="1:14" ht="12" customHeight="1">
      <c r="A1314" s="2" t="s">
        <v>1422</v>
      </c>
      <c r="B1314" s="3">
        <v>45716</v>
      </c>
      <c r="C1314" s="2" t="s">
        <v>28</v>
      </c>
      <c r="D1314" s="2" t="s">
        <v>56</v>
      </c>
      <c r="E1314" s="2" t="s">
        <v>17</v>
      </c>
      <c r="F1314" s="2" t="s">
        <v>114</v>
      </c>
      <c r="G1314" s="2" t="s">
        <v>64</v>
      </c>
      <c r="H1314" s="4">
        <v>2</v>
      </c>
      <c r="I1314" s="5">
        <v>54541.55</v>
      </c>
      <c r="J1314" s="6">
        <v>0.05</v>
      </c>
      <c r="K1314" s="5">
        <v>103628.95</v>
      </c>
      <c r="L1314" s="5">
        <v>75212.160000000003</v>
      </c>
      <c r="M1314" s="5">
        <v>28416.79</v>
      </c>
      <c r="N1314" s="2" t="s">
        <v>26</v>
      </c>
    </row>
    <row r="1315" spans="1:14" ht="12" customHeight="1">
      <c r="A1315" s="2" t="s">
        <v>1423</v>
      </c>
      <c r="B1315" s="3">
        <v>45702</v>
      </c>
      <c r="C1315" s="2" t="s">
        <v>22</v>
      </c>
      <c r="D1315" s="2" t="s">
        <v>23</v>
      </c>
      <c r="E1315" s="2" t="s">
        <v>17</v>
      </c>
      <c r="F1315" s="2" t="s">
        <v>24</v>
      </c>
      <c r="G1315" s="2" t="s">
        <v>19</v>
      </c>
      <c r="H1315" s="4">
        <v>6</v>
      </c>
      <c r="I1315" s="5">
        <v>85596.2</v>
      </c>
      <c r="J1315" s="6">
        <v>0.1</v>
      </c>
      <c r="K1315" s="5">
        <v>462219.48</v>
      </c>
      <c r="L1315" s="5">
        <v>418649.61</v>
      </c>
      <c r="M1315" s="5">
        <v>43569.87</v>
      </c>
      <c r="N1315" s="2" t="s">
        <v>33</v>
      </c>
    </row>
    <row r="1316" spans="1:14" ht="12" customHeight="1">
      <c r="A1316" s="2" t="s">
        <v>1424</v>
      </c>
      <c r="B1316" s="3">
        <v>45827</v>
      </c>
      <c r="C1316" s="2" t="s">
        <v>15</v>
      </c>
      <c r="D1316" s="2" t="s">
        <v>16</v>
      </c>
      <c r="E1316" s="2" t="s">
        <v>30</v>
      </c>
      <c r="F1316" s="2" t="s">
        <v>31</v>
      </c>
      <c r="G1316" s="2" t="s">
        <v>19</v>
      </c>
      <c r="H1316" s="4">
        <v>3</v>
      </c>
      <c r="I1316" s="5">
        <v>136787.51</v>
      </c>
      <c r="J1316" s="6">
        <v>0.05</v>
      </c>
      <c r="K1316" s="5">
        <v>389844.4</v>
      </c>
      <c r="L1316" s="5">
        <v>307293.57</v>
      </c>
      <c r="M1316" s="5">
        <v>82550.83</v>
      </c>
      <c r="N1316" s="2" t="s">
        <v>33</v>
      </c>
    </row>
    <row r="1317" spans="1:14" ht="12" customHeight="1">
      <c r="A1317" s="2" t="s">
        <v>1425</v>
      </c>
      <c r="B1317" s="3">
        <v>45659</v>
      </c>
      <c r="C1317" s="2" t="s">
        <v>22</v>
      </c>
      <c r="D1317" s="2" t="s">
        <v>37</v>
      </c>
      <c r="E1317" s="2" t="s">
        <v>44</v>
      </c>
      <c r="F1317" s="2" t="s">
        <v>45</v>
      </c>
      <c r="G1317" s="2" t="s">
        <v>25</v>
      </c>
      <c r="H1317" s="4">
        <v>2</v>
      </c>
      <c r="I1317" s="5">
        <v>27066.22</v>
      </c>
      <c r="J1317" s="6">
        <v>0.15</v>
      </c>
      <c r="K1317" s="5">
        <v>46012.57</v>
      </c>
      <c r="L1317" s="5">
        <v>39390.699999999997</v>
      </c>
      <c r="M1317" s="5">
        <v>6621.87</v>
      </c>
      <c r="N1317" s="2" t="s">
        <v>26</v>
      </c>
    </row>
    <row r="1318" spans="1:14" ht="12" customHeight="1">
      <c r="A1318" s="2" t="s">
        <v>1426</v>
      </c>
      <c r="B1318" s="3">
        <v>45759</v>
      </c>
      <c r="C1318" s="2" t="s">
        <v>22</v>
      </c>
      <c r="D1318" s="2" t="s">
        <v>23</v>
      </c>
      <c r="E1318" s="2" t="s">
        <v>17</v>
      </c>
      <c r="F1318" s="2" t="s">
        <v>114</v>
      </c>
      <c r="G1318" s="2" t="s">
        <v>70</v>
      </c>
      <c r="H1318" s="4">
        <v>6</v>
      </c>
      <c r="I1318" s="5">
        <v>53043.76</v>
      </c>
      <c r="J1318" s="6">
        <v>0</v>
      </c>
      <c r="K1318" s="5">
        <v>318262.56</v>
      </c>
      <c r="L1318" s="5">
        <v>219727.76</v>
      </c>
      <c r="M1318" s="5">
        <v>98534.8</v>
      </c>
      <c r="N1318" s="2" t="s">
        <v>26</v>
      </c>
    </row>
    <row r="1319" spans="1:14" ht="12" customHeight="1">
      <c r="A1319" s="2" t="s">
        <v>1427</v>
      </c>
      <c r="B1319" s="3">
        <v>45759</v>
      </c>
      <c r="C1319" s="2" t="s">
        <v>28</v>
      </c>
      <c r="D1319" s="2" t="s">
        <v>56</v>
      </c>
      <c r="E1319" s="2" t="s">
        <v>17</v>
      </c>
      <c r="F1319" s="2" t="s">
        <v>114</v>
      </c>
      <c r="G1319" s="2" t="s">
        <v>58</v>
      </c>
      <c r="H1319" s="4">
        <v>3</v>
      </c>
      <c r="I1319" s="5">
        <v>52063.1</v>
      </c>
      <c r="J1319" s="6">
        <v>0</v>
      </c>
      <c r="K1319" s="5">
        <v>156189.29999999999</v>
      </c>
      <c r="L1319" s="5">
        <v>107562.9</v>
      </c>
      <c r="M1319" s="5">
        <v>48626.400000000001</v>
      </c>
      <c r="N1319" s="2" t="s">
        <v>26</v>
      </c>
    </row>
    <row r="1320" spans="1:14" ht="12" customHeight="1">
      <c r="A1320" s="2" t="s">
        <v>1428</v>
      </c>
      <c r="B1320" s="3" t="s">
        <v>1159</v>
      </c>
      <c r="C1320" s="2" t="s">
        <v>15</v>
      </c>
      <c r="D1320" s="2" t="s">
        <v>43</v>
      </c>
      <c r="E1320" s="2" t="s">
        <v>44</v>
      </c>
      <c r="F1320" s="2" t="s">
        <v>80</v>
      </c>
      <c r="G1320" s="2" t="s">
        <v>61</v>
      </c>
      <c r="H1320" s="4">
        <v>2</v>
      </c>
      <c r="I1320" s="5">
        <v>40854.81</v>
      </c>
      <c r="J1320" s="6">
        <v>0.05</v>
      </c>
      <c r="K1320" s="5">
        <v>77624.14</v>
      </c>
      <c r="L1320" s="5">
        <v>63422.28</v>
      </c>
      <c r="M1320" s="5">
        <v>14201.86</v>
      </c>
      <c r="N1320" s="2" t="s">
        <v>20</v>
      </c>
    </row>
    <row r="1321" spans="1:14" ht="12" customHeight="1">
      <c r="A1321" s="2" t="s">
        <v>1429</v>
      </c>
      <c r="B1321" s="3">
        <v>45781</v>
      </c>
      <c r="C1321" s="2" t="s">
        <v>15</v>
      </c>
      <c r="D1321" s="2" t="s">
        <v>43</v>
      </c>
      <c r="E1321" s="2" t="s">
        <v>30</v>
      </c>
      <c r="F1321" s="2" t="s">
        <v>40</v>
      </c>
      <c r="G1321" s="2" t="s">
        <v>64</v>
      </c>
      <c r="H1321" s="4">
        <v>5</v>
      </c>
      <c r="I1321" s="5">
        <v>23395.57</v>
      </c>
      <c r="J1321" s="6">
        <v>0.05</v>
      </c>
      <c r="K1321" s="5">
        <v>111128.96000000001</v>
      </c>
      <c r="L1321" s="5">
        <v>81189.31</v>
      </c>
      <c r="M1321" s="5">
        <v>29939.65</v>
      </c>
      <c r="N1321" s="2" t="s">
        <v>59</v>
      </c>
    </row>
    <row r="1322" spans="1:14" ht="12" customHeight="1">
      <c r="A1322" s="2" t="s">
        <v>1430</v>
      </c>
      <c r="B1322" s="3">
        <v>45878</v>
      </c>
      <c r="C1322" s="2" t="s">
        <v>28</v>
      </c>
      <c r="D1322" s="2" t="s">
        <v>52</v>
      </c>
      <c r="E1322" s="2" t="s">
        <v>17</v>
      </c>
      <c r="F1322" s="2" t="s">
        <v>75</v>
      </c>
      <c r="G1322" s="2" t="s">
        <v>19</v>
      </c>
      <c r="H1322" s="4">
        <v>2</v>
      </c>
      <c r="I1322" s="5">
        <v>184820.12</v>
      </c>
      <c r="J1322" s="6">
        <v>0.15</v>
      </c>
      <c r="K1322" s="5">
        <v>314194.2</v>
      </c>
      <c r="L1322" s="5">
        <v>276680.83</v>
      </c>
      <c r="M1322" s="5">
        <v>37513.370000000003</v>
      </c>
      <c r="N1322" s="2" t="s">
        <v>20</v>
      </c>
    </row>
    <row r="1323" spans="1:14" ht="12" customHeight="1">
      <c r="A1323" s="2" t="s">
        <v>1431</v>
      </c>
      <c r="B1323" s="3">
        <v>45691</v>
      </c>
      <c r="C1323" s="2" t="s">
        <v>22</v>
      </c>
      <c r="D1323" s="2" t="s">
        <v>37</v>
      </c>
      <c r="E1323" s="2" t="s">
        <v>17</v>
      </c>
      <c r="F1323" s="2" t="s">
        <v>18</v>
      </c>
      <c r="G1323" s="2" t="s">
        <v>58</v>
      </c>
      <c r="H1323" s="4">
        <v>6</v>
      </c>
      <c r="I1323" s="5">
        <v>14959.54</v>
      </c>
      <c r="J1323" s="6">
        <v>0.1</v>
      </c>
      <c r="K1323" s="5">
        <v>80781.52</v>
      </c>
      <c r="L1323" s="5">
        <v>50059.71</v>
      </c>
      <c r="M1323" s="5">
        <v>30721.81</v>
      </c>
      <c r="N1323" s="2" t="s">
        <v>59</v>
      </c>
    </row>
    <row r="1324" spans="1:14" ht="12" customHeight="1">
      <c r="A1324" s="2" t="s">
        <v>1432</v>
      </c>
      <c r="B1324" s="3">
        <v>45755</v>
      </c>
      <c r="C1324" s="2" t="s">
        <v>28</v>
      </c>
      <c r="D1324" s="2" t="s">
        <v>56</v>
      </c>
      <c r="E1324" s="2" t="s">
        <v>49</v>
      </c>
      <c r="F1324" s="2" t="s">
        <v>57</v>
      </c>
      <c r="G1324" s="2" t="s">
        <v>47</v>
      </c>
      <c r="H1324" s="4">
        <v>8</v>
      </c>
      <c r="I1324" s="5">
        <v>11132.45</v>
      </c>
      <c r="J1324" s="6">
        <v>0.05</v>
      </c>
      <c r="K1324" s="5">
        <v>84606.62</v>
      </c>
      <c r="L1324" s="5">
        <v>51581.05</v>
      </c>
      <c r="M1324" s="5">
        <v>33025.57</v>
      </c>
      <c r="N1324" s="2" t="s">
        <v>26</v>
      </c>
    </row>
    <row r="1325" spans="1:14" ht="12" customHeight="1">
      <c r="A1325" s="2" t="s">
        <v>1433</v>
      </c>
      <c r="B1325" s="3">
        <v>45864</v>
      </c>
      <c r="C1325" s="2" t="s">
        <v>22</v>
      </c>
      <c r="D1325" s="2" t="s">
        <v>37</v>
      </c>
      <c r="E1325" s="2" t="s">
        <v>30</v>
      </c>
      <c r="F1325" s="2" t="s">
        <v>40</v>
      </c>
      <c r="G1325" s="2" t="s">
        <v>70</v>
      </c>
      <c r="H1325" s="4">
        <v>8</v>
      </c>
      <c r="I1325" s="5">
        <v>25989.5</v>
      </c>
      <c r="J1325" s="6">
        <v>0.05</v>
      </c>
      <c r="K1325" s="5">
        <v>197520.2</v>
      </c>
      <c r="L1325" s="5">
        <v>130778.65</v>
      </c>
      <c r="M1325" s="5">
        <v>66741.55</v>
      </c>
      <c r="N1325" s="2" t="s">
        <v>20</v>
      </c>
    </row>
    <row r="1326" spans="1:14" ht="12" customHeight="1">
      <c r="A1326" s="2" t="s">
        <v>1434</v>
      </c>
      <c r="B1326" s="3">
        <v>45853</v>
      </c>
      <c r="C1326" s="2" t="s">
        <v>28</v>
      </c>
      <c r="D1326" s="2" t="s">
        <v>52</v>
      </c>
      <c r="E1326" s="2" t="s">
        <v>44</v>
      </c>
      <c r="F1326" s="2" t="s">
        <v>53</v>
      </c>
      <c r="G1326" s="2" t="s">
        <v>61</v>
      </c>
      <c r="H1326" s="4">
        <v>7</v>
      </c>
      <c r="I1326" s="5">
        <v>9111.5</v>
      </c>
      <c r="J1326" s="6">
        <v>0</v>
      </c>
      <c r="K1326" s="5">
        <v>63780.5</v>
      </c>
      <c r="L1326" s="5">
        <v>35163.620000000003</v>
      </c>
      <c r="M1326" s="5">
        <v>28616.880000000001</v>
      </c>
      <c r="N1326" s="2" t="s">
        <v>20</v>
      </c>
    </row>
    <row r="1327" spans="1:14" ht="12" customHeight="1">
      <c r="A1327" s="2" t="s">
        <v>1435</v>
      </c>
      <c r="B1327" s="3">
        <v>45666</v>
      </c>
      <c r="C1327" s="2" t="s">
        <v>28</v>
      </c>
      <c r="D1327" s="2" t="s">
        <v>52</v>
      </c>
      <c r="E1327" s="2" t="s">
        <v>49</v>
      </c>
      <c r="F1327" s="2" t="s">
        <v>50</v>
      </c>
      <c r="G1327" s="2" t="s">
        <v>25</v>
      </c>
      <c r="H1327" s="4">
        <v>3</v>
      </c>
      <c r="I1327" s="5">
        <v>4262.45</v>
      </c>
      <c r="J1327" s="6">
        <v>0</v>
      </c>
      <c r="K1327" s="5">
        <v>12787.35</v>
      </c>
      <c r="L1327" s="5">
        <v>6206.69</v>
      </c>
      <c r="M1327" s="5">
        <v>6580.66</v>
      </c>
      <c r="N1327" s="2" t="s">
        <v>20</v>
      </c>
    </row>
    <row r="1328" spans="1:14" ht="12" customHeight="1">
      <c r="A1328" s="2" t="s">
        <v>1436</v>
      </c>
      <c r="B1328" s="3">
        <v>45939</v>
      </c>
      <c r="C1328" s="2" t="s">
        <v>22</v>
      </c>
      <c r="D1328" s="2" t="s">
        <v>35</v>
      </c>
      <c r="E1328" s="2" t="s">
        <v>30</v>
      </c>
      <c r="F1328" s="2" t="s">
        <v>86</v>
      </c>
      <c r="G1328" s="2" t="s">
        <v>1210</v>
      </c>
      <c r="H1328" s="4">
        <v>1</v>
      </c>
      <c r="I1328" s="5">
        <v>32985.86</v>
      </c>
      <c r="J1328" s="6">
        <v>0</v>
      </c>
      <c r="K1328" s="5">
        <v>32985.86</v>
      </c>
      <c r="L1328" s="5">
        <v>22303.05</v>
      </c>
      <c r="M1328" s="5">
        <v>10682.81</v>
      </c>
      <c r="N1328" s="2" t="s">
        <v>26</v>
      </c>
    </row>
    <row r="1329" spans="1:14" ht="12" customHeight="1">
      <c r="A1329" s="2" t="s">
        <v>1437</v>
      </c>
      <c r="B1329" s="3">
        <v>45998</v>
      </c>
      <c r="C1329" s="2" t="s">
        <v>22</v>
      </c>
      <c r="D1329" s="2" t="s">
        <v>35</v>
      </c>
      <c r="E1329" s="2" t="s">
        <v>49</v>
      </c>
      <c r="F1329" s="2" t="s">
        <v>107</v>
      </c>
      <c r="G1329" s="2" t="s">
        <v>64</v>
      </c>
      <c r="H1329" s="4">
        <v>7</v>
      </c>
      <c r="I1329" s="5">
        <v>5572.18</v>
      </c>
      <c r="J1329" s="6">
        <v>0</v>
      </c>
      <c r="K1329" s="5">
        <v>39005.26</v>
      </c>
      <c r="L1329" s="5">
        <v>18977.75</v>
      </c>
      <c r="M1329" s="5">
        <v>20027.509999999998</v>
      </c>
      <c r="N1329" s="2" t="s">
        <v>59</v>
      </c>
    </row>
    <row r="1330" spans="1:14" ht="12" customHeight="1">
      <c r="A1330" s="2" t="s">
        <v>1438</v>
      </c>
      <c r="B1330" s="3">
        <v>45768</v>
      </c>
      <c r="C1330" s="2" t="s">
        <v>22</v>
      </c>
      <c r="D1330" s="2" t="s">
        <v>23</v>
      </c>
      <c r="E1330" s="2" t="s">
        <v>30</v>
      </c>
      <c r="F1330" s="2" t="s">
        <v>40</v>
      </c>
      <c r="G1330" s="2" t="s">
        <v>25</v>
      </c>
      <c r="H1330" s="4">
        <v>5</v>
      </c>
      <c r="I1330" s="5">
        <v>23094.59</v>
      </c>
      <c r="J1330" s="6">
        <v>0.1</v>
      </c>
      <c r="K1330" s="5">
        <v>103925.65</v>
      </c>
      <c r="L1330" s="5">
        <v>81846.66</v>
      </c>
      <c r="M1330" s="5">
        <v>22078.99</v>
      </c>
      <c r="N1330" s="2" t="s">
        <v>20</v>
      </c>
    </row>
    <row r="1331" spans="1:14" ht="12" customHeight="1">
      <c r="A1331" s="2" t="s">
        <v>1439</v>
      </c>
      <c r="B1331" s="3">
        <v>45964</v>
      </c>
      <c r="C1331" s="2" t="s">
        <v>22</v>
      </c>
      <c r="D1331" s="2" t="s">
        <v>35</v>
      </c>
      <c r="E1331" s="2" t="s">
        <v>44</v>
      </c>
      <c r="F1331" s="2" t="s">
        <v>69</v>
      </c>
      <c r="G1331" s="2" t="s">
        <v>61</v>
      </c>
      <c r="H1331" s="4">
        <v>5</v>
      </c>
      <c r="I1331" s="5">
        <v>39119.07</v>
      </c>
      <c r="J1331" s="6">
        <v>0.05</v>
      </c>
      <c r="K1331" s="5">
        <v>185815.58</v>
      </c>
      <c r="L1331" s="5">
        <v>131665.79999999999</v>
      </c>
      <c r="M1331" s="5">
        <v>54149.78</v>
      </c>
      <c r="N1331" s="2" t="s">
        <v>59</v>
      </c>
    </row>
    <row r="1332" spans="1:14" ht="12" customHeight="1">
      <c r="A1332" s="2" t="s">
        <v>1440</v>
      </c>
      <c r="B1332" s="3">
        <v>45886</v>
      </c>
      <c r="C1332" s="2" t="s">
        <v>28</v>
      </c>
      <c r="D1332" s="2" t="s">
        <v>29</v>
      </c>
      <c r="E1332" s="2" t="s">
        <v>175</v>
      </c>
      <c r="F1332" s="2" t="s">
        <v>86</v>
      </c>
      <c r="G1332" s="2" t="s">
        <v>32</v>
      </c>
      <c r="H1332" s="4">
        <v>6</v>
      </c>
      <c r="I1332" s="5">
        <v>33344.93</v>
      </c>
      <c r="J1332" s="6">
        <v>0.05</v>
      </c>
      <c r="K1332" s="5">
        <v>190066.1</v>
      </c>
      <c r="L1332" s="5">
        <v>131546.53</v>
      </c>
      <c r="M1332" s="5">
        <v>58519.57</v>
      </c>
      <c r="N1332" s="2" t="s">
        <v>20</v>
      </c>
    </row>
    <row r="1333" spans="1:14" ht="12" customHeight="1">
      <c r="A1333" s="2" t="s">
        <v>1441</v>
      </c>
      <c r="B1333" s="3">
        <v>45942</v>
      </c>
      <c r="C1333" s="2" t="s">
        <v>22</v>
      </c>
      <c r="D1333" s="2" t="s">
        <v>23</v>
      </c>
      <c r="E1333" s="2" t="s">
        <v>30</v>
      </c>
      <c r="F1333" s="2" t="s">
        <v>86</v>
      </c>
      <c r="G1333" s="2" t="s">
        <v>32</v>
      </c>
      <c r="H1333" s="4">
        <v>6</v>
      </c>
      <c r="I1333" s="5">
        <v>33706.839999999997</v>
      </c>
      <c r="J1333" s="6">
        <v>0.05</v>
      </c>
      <c r="K1333" s="5">
        <v>192128.99</v>
      </c>
      <c r="L1333" s="5">
        <v>138385.32</v>
      </c>
      <c r="M1333" s="5">
        <v>53743.67</v>
      </c>
      <c r="N1333" s="2" t="s">
        <v>59</v>
      </c>
    </row>
    <row r="1334" spans="1:14" ht="12" customHeight="1">
      <c r="A1334" s="2" t="s">
        <v>1442</v>
      </c>
      <c r="B1334" s="3">
        <v>45785</v>
      </c>
      <c r="C1334" s="2" t="s">
        <v>15</v>
      </c>
      <c r="D1334" s="2" t="s">
        <v>16</v>
      </c>
      <c r="E1334" s="2" t="s">
        <v>44</v>
      </c>
      <c r="F1334" s="2" t="s">
        <v>69</v>
      </c>
      <c r="G1334" s="2" t="s">
        <v>70</v>
      </c>
      <c r="H1334" s="4">
        <v>4</v>
      </c>
      <c r="I1334" s="5">
        <v>39265.279999999999</v>
      </c>
      <c r="J1334" s="6">
        <v>0.1</v>
      </c>
      <c r="K1334" s="5">
        <v>141355.01</v>
      </c>
      <c r="L1334" s="5">
        <v>102605.49</v>
      </c>
      <c r="M1334" s="5">
        <v>38749.519999999997</v>
      </c>
      <c r="N1334" s="2" t="s">
        <v>20</v>
      </c>
    </row>
    <row r="1335" spans="1:14" ht="12" customHeight="1">
      <c r="A1335" s="2" t="s">
        <v>1443</v>
      </c>
      <c r="B1335" s="3">
        <v>45894</v>
      </c>
      <c r="C1335" s="2" t="s">
        <v>22</v>
      </c>
      <c r="D1335" s="2" t="s">
        <v>35</v>
      </c>
      <c r="E1335" s="2" t="s">
        <v>17</v>
      </c>
      <c r="F1335" s="2" t="s">
        <v>114</v>
      </c>
      <c r="G1335" s="2" t="s">
        <v>58</v>
      </c>
      <c r="H1335" s="4">
        <v>3</v>
      </c>
      <c r="I1335" s="5">
        <v>53028.41</v>
      </c>
      <c r="J1335" s="6">
        <v>0</v>
      </c>
      <c r="K1335" s="5">
        <v>159085.23000000001</v>
      </c>
      <c r="L1335" s="5">
        <v>110271.59</v>
      </c>
      <c r="M1335" s="5">
        <v>48813.64</v>
      </c>
      <c r="N1335" s="2" t="s">
        <v>33</v>
      </c>
    </row>
    <row r="1336" spans="1:14" ht="12" customHeight="1">
      <c r="A1336" s="2" t="s">
        <v>1444</v>
      </c>
      <c r="B1336" s="3">
        <v>45772</v>
      </c>
      <c r="C1336" s="2" t="s">
        <v>28</v>
      </c>
      <c r="D1336" s="2" t="s">
        <v>56</v>
      </c>
      <c r="E1336" s="2" t="s">
        <v>44</v>
      </c>
      <c r="F1336" s="2" t="s">
        <v>69</v>
      </c>
      <c r="G1336" s="2" t="s">
        <v>64</v>
      </c>
      <c r="H1336" s="4">
        <v>3</v>
      </c>
      <c r="I1336" s="5">
        <v>37171.800000000003</v>
      </c>
      <c r="J1336" s="6">
        <v>0</v>
      </c>
      <c r="K1336" s="5">
        <v>111515.4</v>
      </c>
      <c r="L1336" s="5">
        <v>78246.66</v>
      </c>
      <c r="M1336" s="5">
        <v>33268.74</v>
      </c>
      <c r="N1336" s="2" t="s">
        <v>59</v>
      </c>
    </row>
    <row r="1337" spans="1:14" ht="12" customHeight="1">
      <c r="A1337" s="2" t="s">
        <v>1445</v>
      </c>
      <c r="B1337" s="3">
        <v>45967</v>
      </c>
      <c r="C1337" s="2" t="s">
        <v>28</v>
      </c>
      <c r="D1337" s="2" t="s">
        <v>29</v>
      </c>
      <c r="E1337" s="2" t="s">
        <v>49</v>
      </c>
      <c r="F1337" s="2" t="s">
        <v>50</v>
      </c>
      <c r="G1337" s="2" t="s">
        <v>47</v>
      </c>
      <c r="H1337" s="4">
        <v>5</v>
      </c>
      <c r="I1337" s="5">
        <v>4506.88</v>
      </c>
      <c r="J1337" s="6">
        <v>0.05</v>
      </c>
      <c r="K1337" s="5">
        <v>21407.68</v>
      </c>
      <c r="L1337" s="5">
        <v>10909.18</v>
      </c>
      <c r="M1337" s="5">
        <v>10498.5</v>
      </c>
      <c r="N1337" s="2" t="s">
        <v>26</v>
      </c>
    </row>
    <row r="1338" spans="1:14" ht="12" customHeight="1">
      <c r="A1338" s="2" t="s">
        <v>1446</v>
      </c>
      <c r="B1338" s="3">
        <v>45916</v>
      </c>
      <c r="C1338" s="2" t="s">
        <v>15</v>
      </c>
      <c r="D1338" s="2" t="s">
        <v>43</v>
      </c>
      <c r="E1338" s="2" t="s">
        <v>17</v>
      </c>
      <c r="F1338" s="2" t="s">
        <v>18</v>
      </c>
      <c r="G1338" s="2" t="s">
        <v>58</v>
      </c>
      <c r="H1338" s="4">
        <v>1</v>
      </c>
      <c r="I1338" s="5">
        <v>15046.35</v>
      </c>
      <c r="J1338" s="6">
        <v>0</v>
      </c>
      <c r="K1338" s="5">
        <v>15046.35</v>
      </c>
      <c r="L1338" s="5">
        <v>8254.49</v>
      </c>
      <c r="M1338" s="5">
        <v>6791.86</v>
      </c>
      <c r="N1338" s="2" t="s">
        <v>26</v>
      </c>
    </row>
    <row r="1339" spans="1:14" ht="12" customHeight="1">
      <c r="A1339" s="2" t="s">
        <v>1447</v>
      </c>
      <c r="B1339" s="3">
        <v>45991</v>
      </c>
      <c r="C1339" s="2" t="s">
        <v>28</v>
      </c>
      <c r="D1339" s="2" t="s">
        <v>56</v>
      </c>
      <c r="E1339" s="2" t="s">
        <v>17</v>
      </c>
      <c r="F1339" s="2" t="s">
        <v>18</v>
      </c>
      <c r="G1339" s="2" t="s">
        <v>25</v>
      </c>
      <c r="H1339" s="4">
        <v>5</v>
      </c>
      <c r="I1339" s="5">
        <v>13813.84</v>
      </c>
      <c r="J1339" s="6">
        <v>0.05</v>
      </c>
      <c r="K1339" s="5">
        <v>65615.740000000005</v>
      </c>
      <c r="L1339" s="5">
        <v>39842.559999999998</v>
      </c>
      <c r="M1339" s="5">
        <v>25773.18</v>
      </c>
      <c r="N1339" s="2" t="s">
        <v>33</v>
      </c>
    </row>
    <row r="1340" spans="1:14" ht="12" customHeight="1">
      <c r="A1340" s="2" t="s">
        <v>1448</v>
      </c>
      <c r="B1340" s="3">
        <v>45818</v>
      </c>
      <c r="C1340" s="2" t="s">
        <v>28</v>
      </c>
      <c r="D1340" s="2" t="s">
        <v>56</v>
      </c>
      <c r="E1340" s="2" t="s">
        <v>44</v>
      </c>
      <c r="F1340" s="2" t="s">
        <v>53</v>
      </c>
      <c r="G1340" s="2" t="s">
        <v>19</v>
      </c>
      <c r="H1340" s="4">
        <v>7</v>
      </c>
      <c r="I1340" s="5">
        <v>8575.16</v>
      </c>
      <c r="J1340" s="6">
        <v>0.1</v>
      </c>
      <c r="K1340" s="5">
        <v>54023.51</v>
      </c>
      <c r="L1340" s="5">
        <v>34337.379999999997</v>
      </c>
      <c r="M1340" s="5">
        <v>19686.13</v>
      </c>
      <c r="N1340" s="2" t="s">
        <v>59</v>
      </c>
    </row>
    <row r="1341" spans="1:14" ht="12" customHeight="1">
      <c r="A1341" s="2" t="s">
        <v>1449</v>
      </c>
      <c r="B1341" s="3">
        <v>45666</v>
      </c>
      <c r="C1341" s="2" t="s">
        <v>28</v>
      </c>
      <c r="D1341" s="2" t="s">
        <v>56</v>
      </c>
      <c r="E1341" s="2" t="s">
        <v>44</v>
      </c>
      <c r="F1341" s="2" t="s">
        <v>53</v>
      </c>
      <c r="G1341" s="2" t="s">
        <v>19</v>
      </c>
      <c r="H1341" s="4">
        <v>5</v>
      </c>
      <c r="I1341" s="5">
        <v>8041.55</v>
      </c>
      <c r="J1341" s="6">
        <v>0</v>
      </c>
      <c r="K1341" s="5">
        <v>40207.75</v>
      </c>
      <c r="L1341" s="5">
        <v>24318.61</v>
      </c>
      <c r="M1341" s="5">
        <v>15889.14</v>
      </c>
      <c r="N1341" s="2" t="s">
        <v>33</v>
      </c>
    </row>
    <row r="1342" spans="1:14" ht="12" customHeight="1">
      <c r="A1342" s="2" t="s">
        <v>1450</v>
      </c>
      <c r="B1342" s="3">
        <v>45671</v>
      </c>
      <c r="C1342" s="2" t="s">
        <v>28</v>
      </c>
      <c r="D1342" s="2" t="s">
        <v>29</v>
      </c>
      <c r="E1342" s="2" t="s">
        <v>49</v>
      </c>
      <c r="F1342" s="2" t="s">
        <v>57</v>
      </c>
      <c r="G1342" s="2" t="s">
        <v>25</v>
      </c>
      <c r="H1342" s="4">
        <v>3</v>
      </c>
      <c r="I1342" s="5">
        <v>11160.09</v>
      </c>
      <c r="J1342" s="6">
        <v>0.15</v>
      </c>
      <c r="K1342" s="5">
        <v>28458.23</v>
      </c>
      <c r="L1342" s="5">
        <v>19426.91</v>
      </c>
      <c r="M1342" s="5">
        <v>9031.32</v>
      </c>
      <c r="N1342" s="2" t="s">
        <v>59</v>
      </c>
    </row>
    <row r="1343" spans="1:14" ht="12" customHeight="1">
      <c r="A1343" s="2" t="s">
        <v>1451</v>
      </c>
      <c r="B1343" s="3">
        <v>45919</v>
      </c>
      <c r="C1343" s="2" t="s">
        <v>28</v>
      </c>
      <c r="D1343" s="2" t="s">
        <v>52</v>
      </c>
      <c r="E1343" s="2" t="s">
        <v>30</v>
      </c>
      <c r="F1343" s="2" t="s">
        <v>31</v>
      </c>
      <c r="G1343" s="2" t="s">
        <v>64</v>
      </c>
      <c r="H1343" s="4">
        <v>5</v>
      </c>
      <c r="I1343" s="5">
        <v>131198.71</v>
      </c>
      <c r="J1343" s="6">
        <v>0.1</v>
      </c>
      <c r="K1343" s="5">
        <v>590394.18999999994</v>
      </c>
      <c r="L1343" s="5">
        <v>491242.14</v>
      </c>
      <c r="M1343" s="5">
        <v>99152.05</v>
      </c>
      <c r="N1343" s="2" t="s">
        <v>26</v>
      </c>
    </row>
    <row r="1344" spans="1:14" ht="12" customHeight="1">
      <c r="A1344" s="2" t="s">
        <v>1452</v>
      </c>
      <c r="B1344" s="3">
        <v>45778</v>
      </c>
      <c r="C1344" s="2" t="s">
        <v>28</v>
      </c>
      <c r="D1344" s="2" t="s">
        <v>52</v>
      </c>
      <c r="E1344" s="2" t="s">
        <v>17</v>
      </c>
      <c r="F1344" s="2" t="s">
        <v>24</v>
      </c>
      <c r="G1344" s="2" t="s">
        <v>19</v>
      </c>
      <c r="H1344" s="4">
        <v>3</v>
      </c>
      <c r="I1344" s="5">
        <v>86145.17</v>
      </c>
      <c r="J1344" s="6">
        <v>0</v>
      </c>
      <c r="K1344" s="5">
        <v>258435.51</v>
      </c>
      <c r="L1344" s="5">
        <v>211304.95</v>
      </c>
      <c r="M1344" s="5">
        <v>47130.559999999998</v>
      </c>
      <c r="N1344" s="2" t="s">
        <v>59</v>
      </c>
    </row>
    <row r="1345" spans="1:14" ht="12" customHeight="1">
      <c r="A1345" s="2" t="s">
        <v>1453</v>
      </c>
      <c r="B1345" s="3">
        <v>45689</v>
      </c>
      <c r="C1345" s="2" t="s">
        <v>28</v>
      </c>
      <c r="D1345" s="2" t="s">
        <v>56</v>
      </c>
      <c r="E1345" s="2" t="s">
        <v>17</v>
      </c>
      <c r="F1345" s="2" t="s">
        <v>114</v>
      </c>
      <c r="G1345" s="2" t="s">
        <v>25</v>
      </c>
      <c r="H1345" s="4">
        <v>6</v>
      </c>
      <c r="I1345" s="5">
        <v>54087.08</v>
      </c>
      <c r="J1345" s="6">
        <v>0.05</v>
      </c>
      <c r="K1345" s="5">
        <v>308296.36</v>
      </c>
      <c r="L1345" s="5">
        <v>218570.58</v>
      </c>
      <c r="M1345" s="5">
        <v>89725.78</v>
      </c>
      <c r="N1345" s="2" t="s">
        <v>20</v>
      </c>
    </row>
    <row r="1346" spans="1:14" ht="12" customHeight="1">
      <c r="A1346" s="2" t="s">
        <v>1454</v>
      </c>
      <c r="B1346" s="3">
        <v>45686</v>
      </c>
      <c r="C1346" s="2" t="s">
        <v>15</v>
      </c>
      <c r="D1346" s="2" t="s">
        <v>16</v>
      </c>
      <c r="E1346" s="2" t="s">
        <v>17</v>
      </c>
      <c r="F1346" s="2" t="s">
        <v>24</v>
      </c>
      <c r="G1346" s="2" t="s">
        <v>64</v>
      </c>
      <c r="H1346" s="4">
        <v>8</v>
      </c>
      <c r="I1346" s="5">
        <v>86981.37</v>
      </c>
      <c r="J1346" s="6">
        <v>0.05</v>
      </c>
      <c r="K1346" s="5">
        <v>661058.41</v>
      </c>
      <c r="L1346" s="5">
        <v>536339.25</v>
      </c>
      <c r="M1346" s="5">
        <v>124719.16</v>
      </c>
      <c r="N1346" s="2" t="s">
        <v>33</v>
      </c>
    </row>
    <row r="1347" spans="1:14" ht="12" customHeight="1">
      <c r="A1347" s="2" t="s">
        <v>1455</v>
      </c>
      <c r="B1347" s="3">
        <v>45728</v>
      </c>
      <c r="C1347" s="2" t="s">
        <v>15</v>
      </c>
      <c r="D1347" s="2" t="s">
        <v>43</v>
      </c>
      <c r="E1347" s="2" t="s">
        <v>44</v>
      </c>
      <c r="F1347" s="2" t="s">
        <v>53</v>
      </c>
      <c r="G1347" s="2" t="s">
        <v>32</v>
      </c>
      <c r="H1347" s="4">
        <v>1</v>
      </c>
      <c r="I1347" s="5">
        <v>7877.36</v>
      </c>
      <c r="J1347" s="6">
        <v>0</v>
      </c>
      <c r="K1347" s="5">
        <v>7877.36</v>
      </c>
      <c r="L1347" s="5">
        <v>5078.84</v>
      </c>
      <c r="M1347" s="5">
        <v>2798.52</v>
      </c>
      <c r="N1347" s="2" t="s">
        <v>59</v>
      </c>
    </row>
    <row r="1348" spans="1:14" ht="12" customHeight="1">
      <c r="A1348" s="2" t="s">
        <v>1456</v>
      </c>
      <c r="B1348" s="3">
        <v>45870</v>
      </c>
      <c r="C1348" s="2" t="s">
        <v>28</v>
      </c>
      <c r="D1348" s="2" t="s">
        <v>29</v>
      </c>
      <c r="E1348" s="2" t="s">
        <v>49</v>
      </c>
      <c r="F1348" s="2" t="s">
        <v>91</v>
      </c>
      <c r="G1348" s="2" t="s">
        <v>19</v>
      </c>
      <c r="H1348" s="4">
        <v>5</v>
      </c>
      <c r="I1348" s="5">
        <v>6491.92</v>
      </c>
      <c r="J1348" s="6">
        <v>0.15</v>
      </c>
      <c r="K1348" s="5">
        <v>27590.66</v>
      </c>
      <c r="L1348" s="5">
        <v>18360.580000000002</v>
      </c>
      <c r="M1348" s="5">
        <v>9230.08</v>
      </c>
      <c r="N1348" s="2" t="s">
        <v>33</v>
      </c>
    </row>
    <row r="1349" spans="1:14" ht="12" customHeight="1">
      <c r="A1349" s="2" t="s">
        <v>1457</v>
      </c>
      <c r="B1349" s="3">
        <v>45699</v>
      </c>
      <c r="C1349" s="2" t="s">
        <v>22</v>
      </c>
      <c r="D1349" s="2" t="s">
        <v>37</v>
      </c>
      <c r="E1349" s="2" t="s">
        <v>17</v>
      </c>
      <c r="F1349" s="2" t="s">
        <v>24</v>
      </c>
      <c r="G1349" s="2" t="s">
        <v>32</v>
      </c>
      <c r="H1349" s="4">
        <v>4</v>
      </c>
      <c r="I1349" s="5">
        <v>93217.919999999998</v>
      </c>
      <c r="J1349" s="6">
        <v>0</v>
      </c>
      <c r="K1349" s="5">
        <v>372871.67999999999</v>
      </c>
      <c r="L1349" s="5">
        <v>270492.21999999997</v>
      </c>
      <c r="M1349" s="5">
        <v>102379.46</v>
      </c>
      <c r="N1349" s="2" t="s">
        <v>26</v>
      </c>
    </row>
    <row r="1350" spans="1:14" ht="12" customHeight="1">
      <c r="A1350" s="2" t="s">
        <v>1458</v>
      </c>
      <c r="B1350" s="3">
        <v>45739</v>
      </c>
      <c r="C1350" s="2" t="s">
        <v>28</v>
      </c>
      <c r="D1350" s="2" t="s">
        <v>52</v>
      </c>
      <c r="E1350" s="2" t="s">
        <v>44</v>
      </c>
      <c r="F1350" s="2" t="s">
        <v>80</v>
      </c>
      <c r="G1350" s="2" t="s">
        <v>47</v>
      </c>
      <c r="H1350" s="4">
        <v>5</v>
      </c>
      <c r="I1350" s="5">
        <v>41387.65</v>
      </c>
      <c r="J1350" s="6">
        <v>0.05</v>
      </c>
      <c r="K1350" s="5">
        <v>196591.34</v>
      </c>
      <c r="L1350" s="5">
        <v>155893.04</v>
      </c>
      <c r="M1350" s="5">
        <v>40698.300000000003</v>
      </c>
      <c r="N1350" s="2" t="s">
        <v>59</v>
      </c>
    </row>
    <row r="1351" spans="1:14" ht="12" customHeight="1">
      <c r="A1351" s="2" t="s">
        <v>1459</v>
      </c>
      <c r="B1351" s="3">
        <v>45886</v>
      </c>
      <c r="C1351" s="2" t="s">
        <v>28</v>
      </c>
      <c r="D1351" s="2" t="s">
        <v>52</v>
      </c>
      <c r="E1351" s="2" t="s">
        <v>30</v>
      </c>
      <c r="F1351" s="2" t="s">
        <v>38</v>
      </c>
      <c r="G1351" s="2" t="s">
        <v>25</v>
      </c>
      <c r="H1351" s="4">
        <v>7</v>
      </c>
      <c r="I1351" s="5">
        <v>25354.799999999999</v>
      </c>
      <c r="J1351" s="6">
        <v>0.05</v>
      </c>
      <c r="K1351" s="5">
        <v>168609.42</v>
      </c>
      <c r="L1351" s="5">
        <v>126203.55</v>
      </c>
      <c r="M1351" s="5">
        <v>42405.87</v>
      </c>
      <c r="N1351" s="2" t="s">
        <v>26</v>
      </c>
    </row>
    <row r="1352" spans="1:14" ht="12" customHeight="1">
      <c r="A1352" s="2" t="s">
        <v>1460</v>
      </c>
      <c r="B1352" s="3">
        <v>45949</v>
      </c>
      <c r="C1352" s="2" t="s">
        <v>22</v>
      </c>
      <c r="D1352" s="2" t="s">
        <v>23</v>
      </c>
      <c r="E1352" s="2" t="s">
        <v>17</v>
      </c>
      <c r="F1352" s="2" t="s">
        <v>114</v>
      </c>
      <c r="G1352" s="2" t="s">
        <v>58</v>
      </c>
      <c r="H1352" s="4">
        <v>2</v>
      </c>
      <c r="I1352" s="5">
        <v>54020.21</v>
      </c>
      <c r="J1352" s="6">
        <v>0</v>
      </c>
      <c r="K1352" s="5">
        <v>108040.42</v>
      </c>
      <c r="L1352" s="5">
        <v>71832.73</v>
      </c>
      <c r="M1352" s="5">
        <v>36207.69</v>
      </c>
      <c r="N1352" s="2" t="s">
        <v>26</v>
      </c>
    </row>
    <row r="1353" spans="1:14" ht="12" customHeight="1">
      <c r="A1353" s="2" t="s">
        <v>1461</v>
      </c>
      <c r="B1353" s="3">
        <v>45787</v>
      </c>
      <c r="C1353" s="2" t="s">
        <v>15</v>
      </c>
      <c r="D1353" s="2" t="s">
        <v>63</v>
      </c>
      <c r="E1353" s="2" t="s">
        <v>30</v>
      </c>
      <c r="F1353" s="2" t="s">
        <v>40</v>
      </c>
      <c r="G1353" s="2" t="s">
        <v>47</v>
      </c>
      <c r="H1353" s="4">
        <v>1</v>
      </c>
      <c r="I1353" s="5">
        <v>25079.49</v>
      </c>
      <c r="J1353" s="6">
        <v>0</v>
      </c>
      <c r="K1353" s="5">
        <v>25079.49</v>
      </c>
      <c r="L1353" s="5">
        <v>15952.93</v>
      </c>
      <c r="M1353" s="5">
        <v>9126.56</v>
      </c>
      <c r="N1353" s="2" t="s">
        <v>33</v>
      </c>
    </row>
    <row r="1354" spans="1:14" ht="12" customHeight="1">
      <c r="A1354" s="2" t="s">
        <v>1462</v>
      </c>
      <c r="B1354" s="3">
        <v>45825</v>
      </c>
      <c r="C1354" s="2" t="s">
        <v>28</v>
      </c>
      <c r="D1354" s="2" t="s">
        <v>52</v>
      </c>
      <c r="E1354" s="2" t="s">
        <v>44</v>
      </c>
      <c r="F1354" s="2" t="s">
        <v>45</v>
      </c>
      <c r="G1354" s="2" t="s">
        <v>70</v>
      </c>
      <c r="H1354" s="4">
        <v>6</v>
      </c>
      <c r="I1354" s="5">
        <v>27160.97</v>
      </c>
      <c r="J1354" s="6">
        <v>0.15</v>
      </c>
      <c r="K1354" s="5">
        <v>138520.95000000001</v>
      </c>
      <c r="L1354" s="5">
        <v>113680.8</v>
      </c>
      <c r="M1354" s="5">
        <v>24840.15</v>
      </c>
      <c r="N1354" s="2" t="s">
        <v>20</v>
      </c>
    </row>
    <row r="1355" spans="1:14" ht="12" customHeight="1">
      <c r="A1355" s="2" t="s">
        <v>1463</v>
      </c>
      <c r="B1355" s="3">
        <v>45785</v>
      </c>
      <c r="C1355" s="2" t="s">
        <v>15</v>
      </c>
      <c r="D1355" s="2" t="s">
        <v>16</v>
      </c>
      <c r="E1355" s="2" t="s">
        <v>49</v>
      </c>
      <c r="F1355" s="2" t="s">
        <v>107</v>
      </c>
      <c r="G1355" s="2" t="s">
        <v>19</v>
      </c>
      <c r="H1355" s="4">
        <v>5</v>
      </c>
      <c r="I1355" s="5">
        <v>5445.44</v>
      </c>
      <c r="J1355" s="6">
        <v>0.15</v>
      </c>
      <c r="K1355" s="5">
        <v>23143.119999999999</v>
      </c>
      <c r="L1355" s="5">
        <v>13905.2</v>
      </c>
      <c r="M1355" s="5">
        <v>9237.92</v>
      </c>
      <c r="N1355" s="2" t="s">
        <v>33</v>
      </c>
    </row>
    <row r="1356" spans="1:14" ht="12" customHeight="1">
      <c r="A1356" s="2" t="s">
        <v>1464</v>
      </c>
      <c r="B1356" s="3">
        <v>45948</v>
      </c>
      <c r="C1356" s="2" t="s">
        <v>22</v>
      </c>
      <c r="D1356" s="2"/>
      <c r="E1356" s="2" t="s">
        <v>17</v>
      </c>
      <c r="F1356" s="2" t="s">
        <v>75</v>
      </c>
      <c r="G1356" s="2" t="s">
        <v>61</v>
      </c>
      <c r="H1356" s="4">
        <v>5</v>
      </c>
      <c r="I1356" s="5">
        <v>197732.72</v>
      </c>
      <c r="J1356" s="6">
        <v>0.05</v>
      </c>
      <c r="K1356" s="5">
        <v>939230.42</v>
      </c>
      <c r="L1356" s="5">
        <v>710819.51</v>
      </c>
      <c r="M1356" s="5">
        <v>228410.91</v>
      </c>
      <c r="N1356" s="2" t="s">
        <v>33</v>
      </c>
    </row>
    <row r="1357" spans="1:14" ht="12" customHeight="1">
      <c r="A1357" s="2" t="s">
        <v>1465</v>
      </c>
      <c r="B1357" s="3">
        <v>45871</v>
      </c>
      <c r="C1357" s="2" t="s">
        <v>22</v>
      </c>
      <c r="D1357" s="2" t="s">
        <v>35</v>
      </c>
      <c r="E1357" s="2" t="s">
        <v>44</v>
      </c>
      <c r="F1357" s="2" t="s">
        <v>45</v>
      </c>
      <c r="G1357" s="2" t="s">
        <v>64</v>
      </c>
      <c r="H1357" s="4">
        <v>7</v>
      </c>
      <c r="I1357" s="5">
        <v>29602.82</v>
      </c>
      <c r="J1357" s="6">
        <v>0.05</v>
      </c>
      <c r="K1357" s="5">
        <v>196858.75</v>
      </c>
      <c r="L1357" s="5">
        <v>129718.49</v>
      </c>
      <c r="M1357" s="5">
        <v>67140.259999999995</v>
      </c>
      <c r="N1357" s="2" t="s">
        <v>155</v>
      </c>
    </row>
    <row r="1358" spans="1:14" ht="12" customHeight="1">
      <c r="A1358" s="2" t="s">
        <v>1466</v>
      </c>
      <c r="B1358" s="3">
        <v>45983</v>
      </c>
      <c r="C1358" s="2" t="s">
        <v>22</v>
      </c>
      <c r="D1358" s="2" t="s">
        <v>23</v>
      </c>
      <c r="E1358" s="2" t="s">
        <v>30</v>
      </c>
      <c r="F1358" s="2" t="s">
        <v>86</v>
      </c>
      <c r="G1358" s="2" t="s">
        <v>64</v>
      </c>
      <c r="H1358" s="4">
        <v>5</v>
      </c>
      <c r="I1358" s="5">
        <v>32772.58</v>
      </c>
      <c r="J1358" s="6">
        <v>0</v>
      </c>
      <c r="K1358" s="5">
        <v>163862.9</v>
      </c>
      <c r="L1358" s="5">
        <v>110072.56</v>
      </c>
      <c r="M1358" s="5">
        <v>53790.34</v>
      </c>
      <c r="N1358" s="2" t="s">
        <v>20</v>
      </c>
    </row>
    <row r="1359" spans="1:14" ht="12" customHeight="1">
      <c r="A1359" s="2" t="s">
        <v>1467</v>
      </c>
      <c r="B1359" s="3">
        <v>45797</v>
      </c>
      <c r="C1359" s="2" t="s">
        <v>22</v>
      </c>
      <c r="D1359" s="2" t="s">
        <v>23</v>
      </c>
      <c r="E1359" s="2" t="s">
        <v>17</v>
      </c>
      <c r="F1359" s="2" t="s">
        <v>75</v>
      </c>
      <c r="G1359" s="2" t="s">
        <v>58</v>
      </c>
      <c r="H1359" s="4">
        <v>4</v>
      </c>
      <c r="I1359" s="5">
        <v>183675.24</v>
      </c>
      <c r="J1359" s="6">
        <v>0.1</v>
      </c>
      <c r="K1359" s="5">
        <v>661230.86</v>
      </c>
      <c r="L1359" s="5">
        <v>578589.96</v>
      </c>
      <c r="M1359" s="5">
        <v>82640.899999999994</v>
      </c>
      <c r="N1359" s="2" t="s">
        <v>33</v>
      </c>
    </row>
    <row r="1360" spans="1:14" ht="12" customHeight="1">
      <c r="A1360" s="2" t="s">
        <v>1468</v>
      </c>
      <c r="B1360" s="3">
        <v>45673</v>
      </c>
      <c r="C1360" s="2" t="s">
        <v>15</v>
      </c>
      <c r="D1360" s="2" t="s">
        <v>43</v>
      </c>
      <c r="E1360" s="2" t="s">
        <v>49</v>
      </c>
      <c r="F1360" s="2" t="s">
        <v>91</v>
      </c>
      <c r="G1360" s="2" t="s">
        <v>64</v>
      </c>
      <c r="H1360" s="4">
        <v>3</v>
      </c>
      <c r="I1360" s="5">
        <v>6204.09</v>
      </c>
      <c r="J1360" s="6">
        <v>0.05</v>
      </c>
      <c r="K1360" s="5">
        <v>17681.66</v>
      </c>
      <c r="L1360" s="5">
        <v>10988.58</v>
      </c>
      <c r="M1360" s="5">
        <v>6693.08</v>
      </c>
      <c r="N1360" s="2" t="s">
        <v>20</v>
      </c>
    </row>
    <row r="1361" spans="1:14" ht="12" customHeight="1">
      <c r="A1361" s="2" t="s">
        <v>1469</v>
      </c>
      <c r="B1361" s="3">
        <v>45801</v>
      </c>
      <c r="C1361" s="2" t="s">
        <v>28</v>
      </c>
      <c r="D1361" s="2" t="s">
        <v>56</v>
      </c>
      <c r="E1361" s="2" t="s">
        <v>49</v>
      </c>
      <c r="F1361" s="2" t="s">
        <v>50</v>
      </c>
      <c r="G1361" s="2" t="s">
        <v>58</v>
      </c>
      <c r="H1361" s="4">
        <v>1</v>
      </c>
      <c r="I1361" s="5">
        <v>4251.58</v>
      </c>
      <c r="J1361" s="6">
        <v>0</v>
      </c>
      <c r="K1361" s="5">
        <v>4251.58</v>
      </c>
      <c r="L1361" s="5">
        <v>2133.52</v>
      </c>
      <c r="M1361" s="5">
        <v>2118.06</v>
      </c>
      <c r="N1361" s="2" t="s">
        <v>20</v>
      </c>
    </row>
    <row r="1362" spans="1:14" ht="12" customHeight="1">
      <c r="A1362" s="2" t="s">
        <v>1470</v>
      </c>
      <c r="B1362" s="3">
        <v>45990</v>
      </c>
      <c r="C1362" s="2" t="s">
        <v>22</v>
      </c>
      <c r="D1362" s="2" t="s">
        <v>35</v>
      </c>
      <c r="E1362" s="2" t="s">
        <v>17</v>
      </c>
      <c r="F1362" s="2" t="s">
        <v>18</v>
      </c>
      <c r="G1362" s="2" t="s">
        <v>64</v>
      </c>
      <c r="H1362" s="4">
        <v>4</v>
      </c>
      <c r="I1362" s="5">
        <v>13884.78</v>
      </c>
      <c r="J1362" s="6">
        <v>0.05</v>
      </c>
      <c r="K1362" s="5">
        <v>52762.16</v>
      </c>
      <c r="L1362" s="5">
        <v>33676.57</v>
      </c>
      <c r="M1362" s="5">
        <v>19085.59</v>
      </c>
      <c r="N1362" s="2" t="s">
        <v>20</v>
      </c>
    </row>
    <row r="1363" spans="1:14" ht="12" customHeight="1">
      <c r="A1363" s="2" t="s">
        <v>1471</v>
      </c>
      <c r="B1363" s="3">
        <v>45891</v>
      </c>
      <c r="C1363" s="2" t="s">
        <v>15</v>
      </c>
      <c r="D1363" s="2" t="s">
        <v>43</v>
      </c>
      <c r="E1363" s="2" t="s">
        <v>49</v>
      </c>
      <c r="F1363" s="2" t="s">
        <v>50</v>
      </c>
      <c r="G1363" s="2" t="s">
        <v>249</v>
      </c>
      <c r="H1363" s="4">
        <v>1</v>
      </c>
      <c r="I1363" s="5">
        <v>4056.54</v>
      </c>
      <c r="J1363" s="6">
        <v>0</v>
      </c>
      <c r="K1363" s="5">
        <v>4056.54</v>
      </c>
      <c r="L1363" s="5">
        <v>2124.91</v>
      </c>
      <c r="M1363" s="5">
        <v>1931.63</v>
      </c>
      <c r="N1363" s="2" t="s">
        <v>26</v>
      </c>
    </row>
    <row r="1364" spans="1:14" ht="12" customHeight="1">
      <c r="A1364" s="2" t="s">
        <v>1472</v>
      </c>
      <c r="B1364" s="3">
        <v>45955</v>
      </c>
      <c r="C1364" s="2" t="s">
        <v>28</v>
      </c>
      <c r="D1364" s="2" t="s">
        <v>29</v>
      </c>
      <c r="E1364" s="2" t="s">
        <v>30</v>
      </c>
      <c r="F1364" s="2" t="s">
        <v>86</v>
      </c>
      <c r="G1364" s="2" t="s">
        <v>25</v>
      </c>
      <c r="H1364" s="4">
        <v>6</v>
      </c>
      <c r="I1364" s="5">
        <v>34241.83</v>
      </c>
      <c r="J1364" s="6">
        <v>0.05</v>
      </c>
      <c r="K1364" s="5">
        <v>195178.43</v>
      </c>
      <c r="L1364" s="5">
        <v>134796.17000000001</v>
      </c>
      <c r="M1364" s="5">
        <v>60382.26</v>
      </c>
      <c r="N1364" s="2" t="s">
        <v>59</v>
      </c>
    </row>
    <row r="1365" spans="1:14" ht="12" customHeight="1">
      <c r="A1365" s="2" t="s">
        <v>1473</v>
      </c>
      <c r="B1365" s="3">
        <v>45879</v>
      </c>
      <c r="C1365" s="2" t="s">
        <v>28</v>
      </c>
      <c r="D1365" s="2" t="s">
        <v>56</v>
      </c>
      <c r="E1365" s="2" t="s">
        <v>30</v>
      </c>
      <c r="F1365" s="2" t="s">
        <v>86</v>
      </c>
      <c r="G1365" s="2" t="s">
        <v>19</v>
      </c>
      <c r="H1365" s="4">
        <v>8</v>
      </c>
      <c r="I1365" s="5">
        <v>33927.75</v>
      </c>
      <c r="J1365" s="6">
        <v>0.05</v>
      </c>
      <c r="K1365" s="5">
        <v>257850.9</v>
      </c>
      <c r="L1365" s="5">
        <v>179140.14</v>
      </c>
      <c r="M1365" s="5">
        <v>78710.759999999995</v>
      </c>
      <c r="N1365" s="2" t="s">
        <v>59</v>
      </c>
    </row>
    <row r="1366" spans="1:14" ht="12" customHeight="1">
      <c r="A1366" s="2" t="s">
        <v>1474</v>
      </c>
      <c r="B1366" s="3">
        <v>45679</v>
      </c>
      <c r="C1366" s="2" t="s">
        <v>22</v>
      </c>
      <c r="D1366" s="2" t="s">
        <v>35</v>
      </c>
      <c r="E1366" s="2" t="s">
        <v>30</v>
      </c>
      <c r="F1366" s="2" t="s">
        <v>40</v>
      </c>
      <c r="G1366" s="2" t="s">
        <v>32</v>
      </c>
      <c r="H1366" s="4">
        <v>8</v>
      </c>
      <c r="I1366" s="5">
        <v>25494.52</v>
      </c>
      <c r="J1366" s="6">
        <v>0.15</v>
      </c>
      <c r="K1366" s="5">
        <v>173362.74</v>
      </c>
      <c r="L1366" s="5">
        <v>124061.52</v>
      </c>
      <c r="M1366" s="5">
        <v>49301.22</v>
      </c>
      <c r="N1366" s="2" t="s">
        <v>26</v>
      </c>
    </row>
    <row r="1367" spans="1:14" ht="12" customHeight="1">
      <c r="A1367" s="2" t="s">
        <v>1475</v>
      </c>
      <c r="B1367" s="3">
        <v>45872</v>
      </c>
      <c r="C1367" s="2" t="s">
        <v>15</v>
      </c>
      <c r="D1367" s="2" t="s">
        <v>63</v>
      </c>
      <c r="E1367" s="2" t="s">
        <v>44</v>
      </c>
      <c r="F1367" s="2" t="s">
        <v>45</v>
      </c>
      <c r="G1367" s="2" t="s">
        <v>19</v>
      </c>
      <c r="H1367" s="4"/>
      <c r="I1367" s="5">
        <v>29980.57</v>
      </c>
      <c r="J1367" s="6">
        <v>0.05</v>
      </c>
      <c r="K1367" s="5">
        <v>113926.17</v>
      </c>
      <c r="L1367" s="5">
        <v>74154.87</v>
      </c>
      <c r="M1367" s="5">
        <v>39771.300000000003</v>
      </c>
      <c r="N1367" s="2" t="s">
        <v>33</v>
      </c>
    </row>
    <row r="1368" spans="1:14" ht="12" customHeight="1">
      <c r="A1368" s="2" t="s">
        <v>1476</v>
      </c>
      <c r="B1368" s="3">
        <v>45829</v>
      </c>
      <c r="C1368" s="2" t="s">
        <v>15</v>
      </c>
      <c r="D1368" s="2" t="s">
        <v>16</v>
      </c>
      <c r="E1368" s="2" t="s">
        <v>17</v>
      </c>
      <c r="F1368" s="2" t="s">
        <v>18</v>
      </c>
      <c r="G1368" s="2" t="s">
        <v>70</v>
      </c>
      <c r="H1368" s="4">
        <v>3</v>
      </c>
      <c r="I1368" s="5">
        <v>15056.13</v>
      </c>
      <c r="J1368" s="6">
        <v>0.15</v>
      </c>
      <c r="K1368" s="5">
        <v>38393.129999999997</v>
      </c>
      <c r="L1368" s="5">
        <v>25084.19</v>
      </c>
      <c r="M1368" s="5">
        <v>13308.94</v>
      </c>
      <c r="N1368" s="2" t="s">
        <v>33</v>
      </c>
    </row>
    <row r="1369" spans="1:14" ht="12" customHeight="1">
      <c r="A1369" s="2" t="s">
        <v>1477</v>
      </c>
      <c r="B1369" s="3">
        <v>46010</v>
      </c>
      <c r="C1369" s="2" t="s">
        <v>28</v>
      </c>
      <c r="D1369" s="2" t="s">
        <v>29</v>
      </c>
      <c r="E1369" s="2" t="s">
        <v>30</v>
      </c>
      <c r="F1369" s="2" t="s">
        <v>40</v>
      </c>
      <c r="G1369" s="2" t="s">
        <v>19</v>
      </c>
      <c r="H1369" s="4">
        <v>7</v>
      </c>
      <c r="I1369" s="5">
        <v>23398.76</v>
      </c>
      <c r="J1369" s="6">
        <v>0.05</v>
      </c>
      <c r="K1369" s="5">
        <v>155601.75</v>
      </c>
      <c r="L1369" s="5">
        <v>113087.16</v>
      </c>
      <c r="M1369" s="5">
        <v>42514.59</v>
      </c>
      <c r="N1369" s="2" t="s">
        <v>26</v>
      </c>
    </row>
    <row r="1370" spans="1:14" ht="12" customHeight="1">
      <c r="A1370" s="2" t="s">
        <v>1478</v>
      </c>
      <c r="B1370" s="3">
        <v>45911</v>
      </c>
      <c r="C1370" s="2" t="s">
        <v>15</v>
      </c>
      <c r="D1370" s="2" t="s">
        <v>43</v>
      </c>
      <c r="E1370" s="2" t="s">
        <v>49</v>
      </c>
      <c r="F1370" s="2" t="s">
        <v>50</v>
      </c>
      <c r="G1370" s="2" t="s">
        <v>61</v>
      </c>
      <c r="H1370" s="4">
        <v>4</v>
      </c>
      <c r="I1370" s="5">
        <v>4345.29</v>
      </c>
      <c r="J1370" s="6">
        <v>0.1</v>
      </c>
      <c r="K1370" s="5">
        <v>15643.04</v>
      </c>
      <c r="L1370" s="5">
        <v>8618.36</v>
      </c>
      <c r="M1370" s="5">
        <v>7024.68</v>
      </c>
      <c r="N1370" s="2" t="s">
        <v>33</v>
      </c>
    </row>
    <row r="1371" spans="1:14" ht="12" customHeight="1">
      <c r="A1371" s="2" t="s">
        <v>1479</v>
      </c>
      <c r="B1371" s="3">
        <v>45755</v>
      </c>
      <c r="C1371" s="2" t="s">
        <v>15</v>
      </c>
      <c r="D1371" s="2" t="s">
        <v>63</v>
      </c>
      <c r="E1371" s="2" t="s">
        <v>44</v>
      </c>
      <c r="F1371" s="2" t="s">
        <v>53</v>
      </c>
      <c r="G1371" s="2" t="s">
        <v>64</v>
      </c>
      <c r="H1371" s="4">
        <v>5</v>
      </c>
      <c r="I1371" s="5">
        <v>8942.32</v>
      </c>
      <c r="J1371" s="6">
        <v>0.1</v>
      </c>
      <c r="K1371" s="5">
        <v>40240.44</v>
      </c>
      <c r="L1371" s="5">
        <v>24859.599999999999</v>
      </c>
      <c r="M1371" s="5">
        <v>15380.84</v>
      </c>
      <c r="N1371" s="2" t="s">
        <v>33</v>
      </c>
    </row>
    <row r="1372" spans="1:14" ht="12" customHeight="1">
      <c r="A1372" s="2" t="s">
        <v>1480</v>
      </c>
      <c r="B1372" s="3">
        <v>45787</v>
      </c>
      <c r="C1372" s="2" t="s">
        <v>22</v>
      </c>
      <c r="D1372" s="2" t="s">
        <v>35</v>
      </c>
      <c r="E1372" s="2" t="s">
        <v>17</v>
      </c>
      <c r="F1372" s="2" t="s">
        <v>24</v>
      </c>
      <c r="G1372" s="2" t="s">
        <v>70</v>
      </c>
      <c r="H1372" s="4">
        <v>3</v>
      </c>
      <c r="I1372" s="5">
        <v>96823.11</v>
      </c>
      <c r="J1372" s="6">
        <v>0.15</v>
      </c>
      <c r="K1372" s="5">
        <v>246898.93</v>
      </c>
      <c r="L1372" s="5">
        <v>198898.68</v>
      </c>
      <c r="M1372" s="5">
        <v>48000.25</v>
      </c>
      <c r="N1372" s="2" t="s">
        <v>33</v>
      </c>
    </row>
    <row r="1373" spans="1:14" ht="12" customHeight="1">
      <c r="A1373" s="2" t="s">
        <v>1481</v>
      </c>
      <c r="B1373" s="3">
        <v>45877</v>
      </c>
      <c r="C1373" s="2" t="s">
        <v>28</v>
      </c>
      <c r="D1373" s="2" t="s">
        <v>56</v>
      </c>
      <c r="E1373" s="2" t="s">
        <v>49</v>
      </c>
      <c r="F1373" s="2" t="s">
        <v>91</v>
      </c>
      <c r="G1373" s="2" t="s">
        <v>70</v>
      </c>
      <c r="H1373" s="4">
        <v>5</v>
      </c>
      <c r="I1373" s="5">
        <v>6336.9</v>
      </c>
      <c r="J1373" s="6">
        <v>0.05</v>
      </c>
      <c r="K1373" s="5">
        <v>30100.27</v>
      </c>
      <c r="L1373" s="5">
        <v>17722.64</v>
      </c>
      <c r="M1373" s="5">
        <v>12377.63</v>
      </c>
      <c r="N1373" s="2" t="s">
        <v>33</v>
      </c>
    </row>
    <row r="1374" spans="1:14" ht="12" customHeight="1">
      <c r="A1374" s="2" t="s">
        <v>1482</v>
      </c>
      <c r="B1374" s="3">
        <v>45854</v>
      </c>
      <c r="C1374" s="2" t="s">
        <v>15</v>
      </c>
      <c r="D1374" s="2" t="s">
        <v>63</v>
      </c>
      <c r="E1374" s="2" t="s">
        <v>17</v>
      </c>
      <c r="F1374" s="2" t="s">
        <v>114</v>
      </c>
      <c r="G1374" s="2" t="s">
        <v>19</v>
      </c>
      <c r="H1374" s="4">
        <v>6</v>
      </c>
      <c r="I1374" s="5">
        <v>50764.45</v>
      </c>
      <c r="J1374" s="6">
        <v>0.05</v>
      </c>
      <c r="K1374" s="5">
        <v>289357.36</v>
      </c>
      <c r="L1374" s="5">
        <v>223170.68</v>
      </c>
      <c r="M1374" s="5">
        <v>66186.679999999993</v>
      </c>
      <c r="N1374" s="2" t="s">
        <v>20</v>
      </c>
    </row>
    <row r="1375" spans="1:14" ht="12" customHeight="1">
      <c r="A1375" s="2" t="s">
        <v>1483</v>
      </c>
      <c r="B1375" s="3">
        <v>45702</v>
      </c>
      <c r="C1375" s="2" t="s">
        <v>15</v>
      </c>
      <c r="D1375" s="2" t="s">
        <v>43</v>
      </c>
      <c r="E1375" s="2" t="s">
        <v>30</v>
      </c>
      <c r="F1375" s="2" t="s">
        <v>40</v>
      </c>
      <c r="G1375" s="2" t="s">
        <v>70</v>
      </c>
      <c r="H1375" s="4">
        <v>1</v>
      </c>
      <c r="I1375" s="5">
        <v>24029.47</v>
      </c>
      <c r="J1375" s="6">
        <v>0.05</v>
      </c>
      <c r="K1375" s="5">
        <v>22828</v>
      </c>
      <c r="L1375" s="5">
        <v>16165.51</v>
      </c>
      <c r="M1375" s="5">
        <v>6662.49</v>
      </c>
      <c r="N1375" s="2" t="s">
        <v>59</v>
      </c>
    </row>
    <row r="1376" spans="1:14" ht="12" customHeight="1">
      <c r="A1376" s="2" t="s">
        <v>1484</v>
      </c>
      <c r="B1376" s="3">
        <v>45967</v>
      </c>
      <c r="C1376" s="2" t="s">
        <v>15</v>
      </c>
      <c r="D1376" s="2" t="s">
        <v>16</v>
      </c>
      <c r="E1376" s="2" t="s">
        <v>17</v>
      </c>
      <c r="F1376" s="2" t="s">
        <v>24</v>
      </c>
      <c r="G1376" s="2" t="s">
        <v>70</v>
      </c>
      <c r="H1376" s="4">
        <v>2</v>
      </c>
      <c r="I1376" s="5">
        <v>91332.98</v>
      </c>
      <c r="J1376" s="6">
        <v>0.15</v>
      </c>
      <c r="K1376" s="5">
        <v>155266.07</v>
      </c>
      <c r="L1376" s="5">
        <v>135131.88</v>
      </c>
      <c r="M1376" s="5">
        <v>20134.189999999999</v>
      </c>
      <c r="N1376" s="2" t="s">
        <v>33</v>
      </c>
    </row>
    <row r="1377" spans="1:14" ht="12" customHeight="1">
      <c r="A1377" s="2" t="s">
        <v>1485</v>
      </c>
      <c r="B1377" s="3">
        <v>46003</v>
      </c>
      <c r="C1377" s="2" t="s">
        <v>28</v>
      </c>
      <c r="D1377" s="2" t="s">
        <v>56</v>
      </c>
      <c r="E1377" s="2" t="s">
        <v>49</v>
      </c>
      <c r="F1377" s="2" t="s">
        <v>50</v>
      </c>
      <c r="G1377" s="2" t="s">
        <v>64</v>
      </c>
      <c r="H1377" s="4">
        <v>7</v>
      </c>
      <c r="I1377" s="5">
        <v>3927.81</v>
      </c>
      <c r="J1377" s="6">
        <v>0.15</v>
      </c>
      <c r="K1377" s="5">
        <v>23370.47</v>
      </c>
      <c r="L1377" s="5">
        <v>14391.11</v>
      </c>
      <c r="M1377" s="5">
        <v>8979.36</v>
      </c>
      <c r="N1377" s="2" t="s">
        <v>20</v>
      </c>
    </row>
    <row r="1378" spans="1:14" ht="12" customHeight="1">
      <c r="A1378" s="2" t="s">
        <v>1486</v>
      </c>
      <c r="B1378" s="3">
        <v>45932</v>
      </c>
      <c r="C1378" s="2" t="s">
        <v>22</v>
      </c>
      <c r="D1378" s="2" t="s">
        <v>37</v>
      </c>
      <c r="E1378" s="2" t="s">
        <v>44</v>
      </c>
      <c r="F1378" s="2" t="s">
        <v>53</v>
      </c>
      <c r="G1378" s="2" t="s">
        <v>64</v>
      </c>
      <c r="H1378" s="4">
        <v>5</v>
      </c>
      <c r="I1378" s="5">
        <v>8768.1</v>
      </c>
      <c r="J1378" s="6">
        <v>0.05</v>
      </c>
      <c r="K1378" s="5">
        <v>41648.47</v>
      </c>
      <c r="L1378" s="5">
        <v>25139.24</v>
      </c>
      <c r="M1378" s="5">
        <v>16509.23</v>
      </c>
      <c r="N1378" s="2" t="s">
        <v>59</v>
      </c>
    </row>
    <row r="1379" spans="1:14" ht="12" customHeight="1">
      <c r="A1379" s="2" t="s">
        <v>1487</v>
      </c>
      <c r="B1379" s="3">
        <v>45965</v>
      </c>
      <c r="C1379" s="2" t="s">
        <v>15</v>
      </c>
      <c r="D1379" s="2" t="s">
        <v>16</v>
      </c>
      <c r="E1379" s="2" t="s">
        <v>49</v>
      </c>
      <c r="F1379" s="2" t="s">
        <v>50</v>
      </c>
      <c r="G1379" s="2" t="s">
        <v>32</v>
      </c>
      <c r="H1379" s="4">
        <v>8</v>
      </c>
      <c r="I1379" s="5">
        <v>4061.16</v>
      </c>
      <c r="J1379" s="6">
        <v>0</v>
      </c>
      <c r="K1379" s="5">
        <v>32489.279999999999</v>
      </c>
      <c r="L1379" s="5">
        <v>16342.82</v>
      </c>
      <c r="M1379" s="5">
        <v>16146.46</v>
      </c>
      <c r="N1379" s="2" t="s">
        <v>20</v>
      </c>
    </row>
    <row r="1380" spans="1:14" ht="12" customHeight="1">
      <c r="A1380" s="2" t="s">
        <v>1488</v>
      </c>
      <c r="B1380" s="3">
        <v>45992</v>
      </c>
      <c r="C1380" s="2" t="s">
        <v>22</v>
      </c>
      <c r="D1380" s="2" t="s">
        <v>37</v>
      </c>
      <c r="E1380" s="2" t="s">
        <v>44</v>
      </c>
      <c r="F1380" s="2" t="s">
        <v>80</v>
      </c>
      <c r="G1380" s="2" t="s">
        <v>61</v>
      </c>
      <c r="H1380" s="4">
        <v>4</v>
      </c>
      <c r="I1380" s="5">
        <v>42877.17</v>
      </c>
      <c r="J1380" s="6">
        <v>0</v>
      </c>
      <c r="K1380" s="5">
        <v>171508.68</v>
      </c>
      <c r="L1380" s="5">
        <v>120329.41</v>
      </c>
      <c r="M1380" s="5">
        <v>51179.27</v>
      </c>
      <c r="N1380" s="2" t="s">
        <v>20</v>
      </c>
    </row>
    <row r="1381" spans="1:14" ht="12" customHeight="1">
      <c r="A1381" s="2" t="s">
        <v>1489</v>
      </c>
      <c r="B1381" s="3">
        <v>45775</v>
      </c>
      <c r="C1381" s="2" t="s">
        <v>22</v>
      </c>
      <c r="D1381" s="2" t="s">
        <v>35</v>
      </c>
      <c r="E1381" s="2" t="s">
        <v>44</v>
      </c>
      <c r="F1381" s="2" t="s">
        <v>45</v>
      </c>
      <c r="G1381" s="2" t="s">
        <v>70</v>
      </c>
      <c r="H1381" s="4">
        <v>6</v>
      </c>
      <c r="I1381" s="5">
        <v>30166.98</v>
      </c>
      <c r="J1381" s="6">
        <v>0.1</v>
      </c>
      <c r="K1381" s="5">
        <v>162901.69</v>
      </c>
      <c r="L1381" s="5">
        <v>117327.4</v>
      </c>
      <c r="M1381" s="5">
        <v>45574.29</v>
      </c>
      <c r="N1381" s="2" t="s">
        <v>33</v>
      </c>
    </row>
    <row r="1382" spans="1:14" ht="12" customHeight="1">
      <c r="A1382" s="2" t="s">
        <v>1490</v>
      </c>
      <c r="B1382" s="3">
        <v>45878</v>
      </c>
      <c r="C1382" s="2" t="s">
        <v>22</v>
      </c>
      <c r="D1382" s="2" t="s">
        <v>23</v>
      </c>
      <c r="E1382" s="2" t="s">
        <v>44</v>
      </c>
      <c r="F1382" s="2" t="s">
        <v>45</v>
      </c>
      <c r="G1382" s="2" t="s">
        <v>64</v>
      </c>
      <c r="H1382" s="4">
        <v>1</v>
      </c>
      <c r="I1382" s="5">
        <v>28217.72</v>
      </c>
      <c r="J1382" s="6">
        <v>0.05</v>
      </c>
      <c r="K1382" s="5">
        <v>26806.83</v>
      </c>
      <c r="L1382" s="5">
        <v>19486.47</v>
      </c>
      <c r="M1382" s="5">
        <v>7320.36</v>
      </c>
      <c r="N1382" s="2" t="s">
        <v>59</v>
      </c>
    </row>
    <row r="1383" spans="1:14" ht="12" customHeight="1">
      <c r="A1383" s="2" t="s">
        <v>1491</v>
      </c>
      <c r="B1383" s="3">
        <v>45874</v>
      </c>
      <c r="C1383" s="2" t="s">
        <v>15</v>
      </c>
      <c r="D1383" s="2" t="s">
        <v>43</v>
      </c>
      <c r="E1383" s="2" t="s">
        <v>17</v>
      </c>
      <c r="F1383" s="2" t="s">
        <v>114</v>
      </c>
      <c r="G1383" s="2" t="s">
        <v>19</v>
      </c>
      <c r="H1383" s="4">
        <v>8</v>
      </c>
      <c r="I1383" s="5">
        <v>48119.03</v>
      </c>
      <c r="J1383" s="6">
        <v>0.05</v>
      </c>
      <c r="K1383" s="5">
        <v>365704.63</v>
      </c>
      <c r="L1383" s="5">
        <v>294630.84000000003</v>
      </c>
      <c r="M1383" s="5">
        <v>71073.789999999994</v>
      </c>
      <c r="N1383" s="2" t="s">
        <v>33</v>
      </c>
    </row>
    <row r="1384" spans="1:14" ht="12" customHeight="1">
      <c r="A1384" s="2" t="s">
        <v>1492</v>
      </c>
      <c r="B1384" s="3">
        <v>45728</v>
      </c>
      <c r="C1384" s="2" t="s">
        <v>22</v>
      </c>
      <c r="D1384" s="2" t="s">
        <v>35</v>
      </c>
      <c r="E1384" s="2" t="s">
        <v>30</v>
      </c>
      <c r="F1384" s="2" t="s">
        <v>40</v>
      </c>
      <c r="G1384" s="2" t="s">
        <v>19</v>
      </c>
      <c r="H1384" s="4">
        <v>7</v>
      </c>
      <c r="I1384" s="5">
        <v>24527.89</v>
      </c>
      <c r="J1384" s="6">
        <v>0</v>
      </c>
      <c r="K1384" s="5">
        <v>171695.23</v>
      </c>
      <c r="L1384" s="5">
        <v>114301.02</v>
      </c>
      <c r="M1384" s="5">
        <v>57394.21</v>
      </c>
      <c r="N1384" s="2" t="s">
        <v>33</v>
      </c>
    </row>
    <row r="1385" spans="1:14" ht="12" customHeight="1">
      <c r="A1385" s="2" t="s">
        <v>1493</v>
      </c>
      <c r="B1385" s="3">
        <v>45792</v>
      </c>
      <c r="C1385" s="2" t="s">
        <v>22</v>
      </c>
      <c r="D1385" s="2" t="s">
        <v>23</v>
      </c>
      <c r="E1385" s="2" t="s">
        <v>44</v>
      </c>
      <c r="F1385" s="2" t="s">
        <v>45</v>
      </c>
      <c r="G1385" s="2" t="s">
        <v>70</v>
      </c>
      <c r="H1385" s="4">
        <v>8</v>
      </c>
      <c r="I1385" s="5">
        <v>29228.97</v>
      </c>
      <c r="J1385" s="6">
        <v>0.1</v>
      </c>
      <c r="K1385" s="5">
        <v>210448.58</v>
      </c>
      <c r="L1385" s="5">
        <v>151412.09</v>
      </c>
      <c r="M1385" s="5">
        <v>59036.49</v>
      </c>
      <c r="N1385" s="2" t="s">
        <v>33</v>
      </c>
    </row>
    <row r="1386" spans="1:14" ht="12" customHeight="1">
      <c r="A1386" s="2" t="s">
        <v>1494</v>
      </c>
      <c r="B1386" s="3">
        <v>46017</v>
      </c>
      <c r="C1386" s="2" t="s">
        <v>15</v>
      </c>
      <c r="D1386" s="2" t="s">
        <v>16</v>
      </c>
      <c r="E1386" s="2" t="s">
        <v>49</v>
      </c>
      <c r="F1386" s="2" t="s">
        <v>91</v>
      </c>
      <c r="G1386" s="2" t="s">
        <v>25</v>
      </c>
      <c r="H1386" s="4">
        <v>1</v>
      </c>
      <c r="I1386" s="5">
        <v>6221.54</v>
      </c>
      <c r="J1386" s="6">
        <v>0</v>
      </c>
      <c r="K1386" s="5">
        <v>6221.54</v>
      </c>
      <c r="L1386" s="5">
        <v>3567.69</v>
      </c>
      <c r="M1386" s="5">
        <v>2653.85</v>
      </c>
      <c r="N1386" s="2" t="s">
        <v>33</v>
      </c>
    </row>
    <row r="1387" spans="1:14" ht="12" customHeight="1">
      <c r="A1387" s="2" t="s">
        <v>1495</v>
      </c>
      <c r="B1387" s="3">
        <v>45728</v>
      </c>
      <c r="C1387" s="2" t="s">
        <v>28</v>
      </c>
      <c r="D1387" s="2" t="s">
        <v>52</v>
      </c>
      <c r="E1387" s="2" t="s">
        <v>17</v>
      </c>
      <c r="F1387" s="2" t="s">
        <v>75</v>
      </c>
      <c r="G1387" s="2" t="s">
        <v>32</v>
      </c>
      <c r="H1387" s="4">
        <v>5</v>
      </c>
      <c r="I1387" s="5">
        <v>187532.96</v>
      </c>
      <c r="J1387" s="6">
        <v>0</v>
      </c>
      <c r="K1387" s="5">
        <v>937664.8</v>
      </c>
      <c r="L1387" s="5">
        <v>703776.2</v>
      </c>
      <c r="M1387" s="5">
        <v>233888.6</v>
      </c>
      <c r="N1387" s="2" t="s">
        <v>26</v>
      </c>
    </row>
    <row r="1388" spans="1:14" ht="12" customHeight="1">
      <c r="A1388" s="2" t="s">
        <v>1496</v>
      </c>
      <c r="B1388" s="3">
        <v>45941</v>
      </c>
      <c r="C1388" s="2" t="s">
        <v>28</v>
      </c>
      <c r="D1388" s="2" t="s">
        <v>52</v>
      </c>
      <c r="E1388" s="2" t="s">
        <v>44</v>
      </c>
      <c r="F1388" s="2" t="s">
        <v>53</v>
      </c>
      <c r="G1388" s="2" t="s">
        <v>19</v>
      </c>
      <c r="H1388" s="4">
        <v>8</v>
      </c>
      <c r="I1388" s="5">
        <v>8471.08</v>
      </c>
      <c r="J1388" s="6">
        <v>0</v>
      </c>
      <c r="K1388" s="5">
        <v>67768.639999999999</v>
      </c>
      <c r="L1388" s="5">
        <v>38497.11</v>
      </c>
      <c r="M1388" s="5">
        <v>29271.53</v>
      </c>
      <c r="N1388" s="2" t="s">
        <v>26</v>
      </c>
    </row>
    <row r="1389" spans="1:14" ht="12" customHeight="1">
      <c r="A1389" s="2" t="s">
        <v>1497</v>
      </c>
      <c r="B1389" s="3">
        <v>45784</v>
      </c>
      <c r="C1389" s="2" t="s">
        <v>15</v>
      </c>
      <c r="D1389" s="2" t="s">
        <v>16</v>
      </c>
      <c r="E1389" s="2" t="s">
        <v>44</v>
      </c>
      <c r="F1389" s="2" t="s">
        <v>80</v>
      </c>
      <c r="G1389" s="2" t="s">
        <v>25</v>
      </c>
      <c r="H1389" s="4">
        <v>8</v>
      </c>
      <c r="I1389" s="5">
        <v>43092.09</v>
      </c>
      <c r="J1389" s="6">
        <v>0</v>
      </c>
      <c r="K1389" s="5">
        <v>344736.72</v>
      </c>
      <c r="L1389" s="5">
        <v>250388.49</v>
      </c>
      <c r="M1389" s="5">
        <v>94348.23</v>
      </c>
      <c r="N1389" s="2" t="s">
        <v>59</v>
      </c>
    </row>
    <row r="1390" spans="1:14" ht="12" customHeight="1">
      <c r="A1390" s="2" t="s">
        <v>1498</v>
      </c>
      <c r="B1390" s="3">
        <v>45672</v>
      </c>
      <c r="C1390" s="2" t="s">
        <v>22</v>
      </c>
      <c r="D1390" s="2" t="s">
        <v>35</v>
      </c>
      <c r="E1390" s="2" t="s">
        <v>49</v>
      </c>
      <c r="F1390" s="2" t="s">
        <v>91</v>
      </c>
      <c r="G1390" s="2" t="s">
        <v>47</v>
      </c>
      <c r="H1390" s="4">
        <v>7</v>
      </c>
      <c r="I1390" s="5">
        <v>6024.63</v>
      </c>
      <c r="J1390" s="6">
        <v>0.05</v>
      </c>
      <c r="K1390" s="5">
        <v>40063.79</v>
      </c>
      <c r="L1390" s="5">
        <v>25821.03</v>
      </c>
      <c r="M1390" s="5">
        <v>14242.76</v>
      </c>
      <c r="N1390" s="2" t="s">
        <v>59</v>
      </c>
    </row>
    <row r="1391" spans="1:14" ht="12" customHeight="1">
      <c r="A1391" s="2" t="s">
        <v>1499</v>
      </c>
      <c r="B1391" s="3">
        <v>45988</v>
      </c>
      <c r="C1391" s="2" t="s">
        <v>28</v>
      </c>
      <c r="D1391" s="2" t="s">
        <v>56</v>
      </c>
      <c r="E1391" s="2" t="s">
        <v>44</v>
      </c>
      <c r="F1391" s="2" t="s">
        <v>45</v>
      </c>
      <c r="G1391" s="2" t="s">
        <v>61</v>
      </c>
      <c r="H1391" s="4">
        <v>8</v>
      </c>
      <c r="I1391" s="5">
        <v>29023.919999999998</v>
      </c>
      <c r="J1391" s="6">
        <v>0.1</v>
      </c>
      <c r="K1391" s="5">
        <v>208972.22</v>
      </c>
      <c r="L1391" s="5">
        <v>156896.24</v>
      </c>
      <c r="M1391" s="5">
        <v>52075.98</v>
      </c>
      <c r="N1391" s="2" t="s">
        <v>26</v>
      </c>
    </row>
    <row r="1392" spans="1:14" ht="12" customHeight="1">
      <c r="A1392" s="2" t="s">
        <v>1500</v>
      </c>
      <c r="B1392" s="3">
        <v>45945</v>
      </c>
      <c r="C1392" s="2" t="s">
        <v>15</v>
      </c>
      <c r="D1392" s="2" t="s">
        <v>43</v>
      </c>
      <c r="E1392" s="2" t="s">
        <v>30</v>
      </c>
      <c r="F1392" s="2" t="s">
        <v>40</v>
      </c>
      <c r="G1392" s="2" t="s">
        <v>19</v>
      </c>
      <c r="H1392" s="4">
        <v>2</v>
      </c>
      <c r="I1392" s="5">
        <v>24236.35</v>
      </c>
      <c r="J1392" s="6">
        <v>0</v>
      </c>
      <c r="K1392" s="5">
        <v>48472.7</v>
      </c>
      <c r="L1392" s="5">
        <v>31575.1</v>
      </c>
      <c r="M1392" s="5">
        <v>16897.599999999999</v>
      </c>
      <c r="N1392" s="2" t="s">
        <v>26</v>
      </c>
    </row>
    <row r="1393" spans="1:14" ht="12" customHeight="1">
      <c r="A1393" s="2" t="s">
        <v>1501</v>
      </c>
      <c r="B1393" s="3">
        <v>45832</v>
      </c>
      <c r="C1393" s="2" t="s">
        <v>15</v>
      </c>
      <c r="D1393" s="2" t="s">
        <v>16</v>
      </c>
      <c r="E1393" s="2" t="s">
        <v>30</v>
      </c>
      <c r="F1393" s="2" t="s">
        <v>38</v>
      </c>
      <c r="G1393" s="2" t="s">
        <v>58</v>
      </c>
      <c r="H1393" s="4">
        <v>7</v>
      </c>
      <c r="I1393" s="5">
        <v>26053.200000000001</v>
      </c>
      <c r="J1393" s="6">
        <v>0.15</v>
      </c>
      <c r="K1393" s="5">
        <v>155016.54</v>
      </c>
      <c r="L1393" s="5">
        <v>129336.08</v>
      </c>
      <c r="M1393" s="5">
        <v>25680.46</v>
      </c>
      <c r="N1393" s="2" t="s">
        <v>59</v>
      </c>
    </row>
    <row r="1394" spans="1:14" ht="12" customHeight="1">
      <c r="A1394" s="2" t="s">
        <v>1502</v>
      </c>
      <c r="B1394" s="3">
        <v>45833</v>
      </c>
      <c r="C1394" s="2" t="s">
        <v>28</v>
      </c>
      <c r="D1394" s="2" t="s">
        <v>56</v>
      </c>
      <c r="E1394" s="2" t="s">
        <v>49</v>
      </c>
      <c r="F1394" s="2" t="s">
        <v>107</v>
      </c>
      <c r="G1394" s="2" t="s">
        <v>19</v>
      </c>
      <c r="H1394" s="4">
        <v>3</v>
      </c>
      <c r="I1394" s="5">
        <v>5174.4799999999996</v>
      </c>
      <c r="J1394" s="6">
        <v>0</v>
      </c>
      <c r="K1394" s="5">
        <v>15523.44</v>
      </c>
      <c r="L1394" s="5">
        <v>8249.0400000000009</v>
      </c>
      <c r="M1394" s="5">
        <v>7274.4</v>
      </c>
      <c r="N1394" s="2" t="s">
        <v>59</v>
      </c>
    </row>
    <row r="1395" spans="1:14" ht="12" customHeight="1">
      <c r="A1395" s="2" t="s">
        <v>1503</v>
      </c>
      <c r="B1395" s="3">
        <v>45947</v>
      </c>
      <c r="C1395" s="2" t="s">
        <v>15</v>
      </c>
      <c r="D1395" s="2" t="s">
        <v>63</v>
      </c>
      <c r="E1395" s="2" t="s">
        <v>30</v>
      </c>
      <c r="F1395" s="2" t="s">
        <v>38</v>
      </c>
      <c r="G1395" s="2" t="s">
        <v>47</v>
      </c>
      <c r="H1395" s="4">
        <v>4</v>
      </c>
      <c r="I1395" s="5">
        <v>26192.38</v>
      </c>
      <c r="J1395" s="6">
        <v>0.05</v>
      </c>
      <c r="K1395" s="5">
        <v>99531.04</v>
      </c>
      <c r="L1395" s="5">
        <v>74412.38</v>
      </c>
      <c r="M1395" s="5">
        <v>25118.66</v>
      </c>
      <c r="N1395" s="2" t="s">
        <v>59</v>
      </c>
    </row>
    <row r="1396" spans="1:14" ht="12" customHeight="1">
      <c r="A1396" s="2" t="s">
        <v>1504</v>
      </c>
      <c r="B1396" s="3">
        <v>45754</v>
      </c>
      <c r="C1396" s="2" t="s">
        <v>28</v>
      </c>
      <c r="D1396" s="2" t="s">
        <v>52</v>
      </c>
      <c r="E1396" s="2" t="s">
        <v>30</v>
      </c>
      <c r="F1396" s="2" t="s">
        <v>40</v>
      </c>
      <c r="G1396" s="2" t="s">
        <v>61</v>
      </c>
      <c r="H1396" s="4">
        <v>5</v>
      </c>
      <c r="I1396" s="5">
        <v>23574.53</v>
      </c>
      <c r="J1396" s="6">
        <v>0.05</v>
      </c>
      <c r="K1396" s="5">
        <v>111979.02</v>
      </c>
      <c r="L1396" s="5">
        <v>80333.36</v>
      </c>
      <c r="M1396" s="5">
        <v>31645.66</v>
      </c>
      <c r="N1396" s="2" t="s">
        <v>59</v>
      </c>
    </row>
    <row r="1397" spans="1:14" ht="12" customHeight="1">
      <c r="A1397" s="2" t="s">
        <v>1505</v>
      </c>
      <c r="B1397" s="3">
        <v>45718</v>
      </c>
      <c r="C1397" s="2" t="s">
        <v>22</v>
      </c>
      <c r="D1397" s="2" t="s">
        <v>37</v>
      </c>
      <c r="E1397" s="2" t="s">
        <v>30</v>
      </c>
      <c r="F1397" s="2" t="s">
        <v>38</v>
      </c>
      <c r="G1397" s="2" t="s">
        <v>58</v>
      </c>
      <c r="H1397" s="4">
        <v>4</v>
      </c>
      <c r="I1397" s="5">
        <v>28287.49</v>
      </c>
      <c r="J1397" s="6">
        <v>0.1</v>
      </c>
      <c r="K1397" s="5">
        <v>101834.96</v>
      </c>
      <c r="L1397" s="5">
        <v>72461.37</v>
      </c>
      <c r="M1397" s="5">
        <v>29373.59</v>
      </c>
      <c r="N1397" s="2" t="s">
        <v>26</v>
      </c>
    </row>
    <row r="1398" spans="1:14" ht="12" customHeight="1">
      <c r="A1398" s="2" t="s">
        <v>1506</v>
      </c>
      <c r="B1398" s="3">
        <v>45796</v>
      </c>
      <c r="C1398" s="2" t="s">
        <v>22</v>
      </c>
      <c r="D1398" s="2" t="s">
        <v>37</v>
      </c>
      <c r="E1398" s="2" t="s">
        <v>30</v>
      </c>
      <c r="F1398" s="2" t="s">
        <v>86</v>
      </c>
      <c r="G1398" s="2" t="s">
        <v>70</v>
      </c>
      <c r="H1398" s="4">
        <v>8</v>
      </c>
      <c r="I1398" s="5">
        <v>32339.99</v>
      </c>
      <c r="J1398" s="6">
        <v>0.05</v>
      </c>
      <c r="K1398" s="5">
        <v>245783.92</v>
      </c>
      <c r="L1398" s="5">
        <v>180702.73</v>
      </c>
      <c r="M1398" s="5">
        <v>65081.19</v>
      </c>
      <c r="N1398" s="2" t="s">
        <v>59</v>
      </c>
    </row>
    <row r="1399" spans="1:14" ht="12" customHeight="1">
      <c r="A1399" s="2" t="s">
        <v>1507</v>
      </c>
      <c r="B1399" s="3">
        <v>45659</v>
      </c>
      <c r="C1399" s="2" t="s">
        <v>22</v>
      </c>
      <c r="D1399" s="2" t="s">
        <v>35</v>
      </c>
      <c r="E1399" s="2" t="s">
        <v>17</v>
      </c>
      <c r="F1399" s="2" t="s">
        <v>18</v>
      </c>
      <c r="G1399" s="2" t="s">
        <v>19</v>
      </c>
      <c r="H1399" s="4">
        <v>2</v>
      </c>
      <c r="I1399" s="5">
        <v>15582.31</v>
      </c>
      <c r="J1399" s="6">
        <v>0.1</v>
      </c>
      <c r="K1399" s="5">
        <v>28048.16</v>
      </c>
      <c r="L1399" s="5">
        <v>17037.48</v>
      </c>
      <c r="M1399" s="5">
        <v>11010.68</v>
      </c>
      <c r="N1399" s="2" t="s">
        <v>26</v>
      </c>
    </row>
    <row r="1400" spans="1:14" ht="12" customHeight="1">
      <c r="A1400" s="2" t="s">
        <v>1508</v>
      </c>
      <c r="B1400" s="3">
        <v>45979</v>
      </c>
      <c r="C1400" s="2" t="s">
        <v>28</v>
      </c>
      <c r="D1400" s="2" t="s">
        <v>56</v>
      </c>
      <c r="E1400" s="2" t="s">
        <v>49</v>
      </c>
      <c r="F1400" s="2" t="s">
        <v>57</v>
      </c>
      <c r="G1400" s="2" t="s">
        <v>70</v>
      </c>
      <c r="H1400" s="4">
        <v>7</v>
      </c>
      <c r="I1400" s="5">
        <v>10946.51</v>
      </c>
      <c r="J1400" s="6">
        <v>0</v>
      </c>
      <c r="K1400" s="5">
        <v>76625.570000000007</v>
      </c>
      <c r="L1400" s="5">
        <v>47261.32</v>
      </c>
      <c r="M1400" s="5">
        <v>29364.25</v>
      </c>
      <c r="N1400" s="2" t="s">
        <v>33</v>
      </c>
    </row>
    <row r="1401" spans="1:14" ht="12" customHeight="1">
      <c r="A1401" s="2" t="s">
        <v>1509</v>
      </c>
      <c r="B1401" s="3">
        <v>45685</v>
      </c>
      <c r="C1401" s="2" t="s">
        <v>28</v>
      </c>
      <c r="D1401" s="2" t="s">
        <v>56</v>
      </c>
      <c r="E1401" s="2" t="s">
        <v>49</v>
      </c>
      <c r="F1401" s="2" t="s">
        <v>57</v>
      </c>
      <c r="G1401" s="2" t="s">
        <v>64</v>
      </c>
      <c r="H1401" s="4">
        <v>2</v>
      </c>
      <c r="I1401" s="5">
        <v>10837.1</v>
      </c>
      <c r="J1401" s="6">
        <v>0</v>
      </c>
      <c r="K1401" s="5">
        <v>21674.2</v>
      </c>
      <c r="L1401" s="5">
        <v>12938.81</v>
      </c>
      <c r="M1401" s="5">
        <v>8735.39</v>
      </c>
      <c r="N1401" s="2" t="s">
        <v>33</v>
      </c>
    </row>
    <row r="1402" spans="1:14" ht="12" customHeight="1">
      <c r="A1402" s="2" t="s">
        <v>1510</v>
      </c>
      <c r="B1402" s="3">
        <v>45678</v>
      </c>
      <c r="C1402" s="2" t="s">
        <v>28</v>
      </c>
      <c r="D1402" s="2" t="s">
        <v>52</v>
      </c>
      <c r="E1402" s="2" t="s">
        <v>30</v>
      </c>
      <c r="F1402" s="2" t="s">
        <v>86</v>
      </c>
      <c r="G1402" s="2" t="s">
        <v>64</v>
      </c>
      <c r="H1402" s="4">
        <v>2</v>
      </c>
      <c r="I1402" s="5">
        <v>35247.949999999997</v>
      </c>
      <c r="J1402" s="6">
        <v>0.15</v>
      </c>
      <c r="K1402" s="5">
        <v>59921.51</v>
      </c>
      <c r="L1402" s="5">
        <v>44983.28</v>
      </c>
      <c r="M1402" s="5">
        <v>14938.23</v>
      </c>
      <c r="N1402" s="2" t="s">
        <v>33</v>
      </c>
    </row>
    <row r="1403" spans="1:14" ht="12" customHeight="1">
      <c r="A1403" s="2" t="s">
        <v>1511</v>
      </c>
      <c r="B1403" s="3">
        <v>45950</v>
      </c>
      <c r="C1403" s="2" t="s">
        <v>301</v>
      </c>
      <c r="D1403" s="2" t="s">
        <v>35</v>
      </c>
      <c r="E1403" s="2" t="s">
        <v>30</v>
      </c>
      <c r="F1403" s="2" t="s">
        <v>38</v>
      </c>
      <c r="G1403" s="2" t="s">
        <v>58</v>
      </c>
      <c r="H1403" s="4">
        <v>7</v>
      </c>
      <c r="I1403" s="5">
        <v>25879.74</v>
      </c>
      <c r="J1403" s="6">
        <v>0</v>
      </c>
      <c r="K1403" s="5">
        <v>181158.18</v>
      </c>
      <c r="L1403" s="5">
        <v>127673.51</v>
      </c>
      <c r="M1403" s="5">
        <v>53484.67</v>
      </c>
      <c r="N1403" s="2" t="s">
        <v>59</v>
      </c>
    </row>
    <row r="1404" spans="1:14" ht="12" customHeight="1">
      <c r="A1404" s="2" t="s">
        <v>1512</v>
      </c>
      <c r="B1404" s="3">
        <v>45973</v>
      </c>
      <c r="C1404" s="2" t="s">
        <v>22</v>
      </c>
      <c r="D1404" s="2" t="s">
        <v>23</v>
      </c>
      <c r="E1404" s="2" t="s">
        <v>17</v>
      </c>
      <c r="F1404" s="2" t="s">
        <v>18</v>
      </c>
      <c r="G1404" s="2" t="s">
        <v>64</v>
      </c>
      <c r="H1404" s="4">
        <v>4</v>
      </c>
      <c r="I1404" s="5">
        <v>13738.67</v>
      </c>
      <c r="J1404" s="6">
        <v>0.05</v>
      </c>
      <c r="K1404" s="5">
        <v>52206.95</v>
      </c>
      <c r="L1404" s="5">
        <v>32282.41</v>
      </c>
      <c r="M1404" s="5">
        <v>19924.54</v>
      </c>
      <c r="N1404" s="2" t="s">
        <v>26</v>
      </c>
    </row>
    <row r="1405" spans="1:14" ht="12" customHeight="1">
      <c r="A1405" s="2" t="s">
        <v>1513</v>
      </c>
      <c r="B1405" s="3">
        <v>45893</v>
      </c>
      <c r="C1405" s="2" t="s">
        <v>22</v>
      </c>
      <c r="D1405" s="2" t="s">
        <v>37</v>
      </c>
      <c r="E1405" s="2" t="s">
        <v>30</v>
      </c>
      <c r="F1405" s="2" t="s">
        <v>40</v>
      </c>
      <c r="G1405" s="2" t="s">
        <v>61</v>
      </c>
      <c r="H1405" s="4">
        <v>2</v>
      </c>
      <c r="I1405" s="5">
        <v>22915.08</v>
      </c>
      <c r="J1405" s="6">
        <v>0.05</v>
      </c>
      <c r="K1405" s="5">
        <v>43538.65</v>
      </c>
      <c r="L1405" s="5">
        <v>31140.79</v>
      </c>
      <c r="M1405" s="5">
        <v>12397.86</v>
      </c>
      <c r="N1405" s="2" t="s">
        <v>26</v>
      </c>
    </row>
    <row r="1406" spans="1:14" ht="12" customHeight="1">
      <c r="A1406" s="2" t="s">
        <v>1514</v>
      </c>
      <c r="B1406" s="3">
        <v>45965</v>
      </c>
      <c r="C1406" s="2" t="s">
        <v>22</v>
      </c>
      <c r="D1406" s="2" t="s">
        <v>35</v>
      </c>
      <c r="E1406" s="2" t="s">
        <v>17</v>
      </c>
      <c r="F1406" s="2" t="s">
        <v>75</v>
      </c>
      <c r="G1406" s="2" t="s">
        <v>25</v>
      </c>
      <c r="H1406" s="4">
        <v>4</v>
      </c>
      <c r="I1406" s="5">
        <v>190066.38</v>
      </c>
      <c r="J1406" s="6">
        <v>0.05</v>
      </c>
      <c r="K1406" s="5">
        <v>722252.24</v>
      </c>
      <c r="L1406" s="5">
        <v>574006.39</v>
      </c>
      <c r="M1406" s="5">
        <v>148245.85</v>
      </c>
      <c r="N1406" s="2" t="s">
        <v>20</v>
      </c>
    </row>
    <row r="1407" spans="1:14" ht="12" customHeight="1">
      <c r="A1407" s="2" t="s">
        <v>1515</v>
      </c>
      <c r="B1407" s="3">
        <v>45854</v>
      </c>
      <c r="C1407" s="2" t="s">
        <v>22</v>
      </c>
      <c r="D1407" s="2" t="s">
        <v>23</v>
      </c>
      <c r="E1407" s="2" t="s">
        <v>17</v>
      </c>
      <c r="F1407" s="2" t="s">
        <v>75</v>
      </c>
      <c r="G1407" s="2" t="s">
        <v>25</v>
      </c>
      <c r="H1407" s="4">
        <v>7</v>
      </c>
      <c r="I1407" s="5">
        <v>191287.78</v>
      </c>
      <c r="J1407" s="6">
        <v>0.05</v>
      </c>
      <c r="K1407" s="5">
        <v>1272063.74</v>
      </c>
      <c r="L1407" s="5">
        <v>974643.83</v>
      </c>
      <c r="M1407" s="5">
        <v>297419.90999999997</v>
      </c>
      <c r="N1407" s="2" t="s">
        <v>33</v>
      </c>
    </row>
    <row r="1408" spans="1:14" ht="12" customHeight="1">
      <c r="A1408" s="2" t="s">
        <v>1516</v>
      </c>
      <c r="B1408" s="3">
        <v>45668</v>
      </c>
      <c r="C1408" s="2" t="s">
        <v>15</v>
      </c>
      <c r="D1408" s="2" t="s">
        <v>63</v>
      </c>
      <c r="E1408" s="2" t="s">
        <v>44</v>
      </c>
      <c r="F1408" s="2" t="s">
        <v>53</v>
      </c>
      <c r="G1408" s="2" t="s">
        <v>70</v>
      </c>
      <c r="H1408" s="4">
        <v>7</v>
      </c>
      <c r="I1408" s="5">
        <v>8893.84</v>
      </c>
      <c r="J1408" s="6">
        <v>0.1</v>
      </c>
      <c r="K1408" s="5">
        <v>56031.19</v>
      </c>
      <c r="L1408" s="5">
        <v>34092.839999999997</v>
      </c>
      <c r="M1408" s="5">
        <v>21938.35</v>
      </c>
      <c r="N1408" s="2" t="s">
        <v>20</v>
      </c>
    </row>
    <row r="1409" spans="1:14" ht="12" customHeight="1">
      <c r="A1409" s="2" t="s">
        <v>1517</v>
      </c>
      <c r="B1409" s="3">
        <v>46007</v>
      </c>
      <c r="C1409" s="2" t="s">
        <v>28</v>
      </c>
      <c r="D1409" s="2" t="s">
        <v>29</v>
      </c>
      <c r="E1409" s="2" t="s">
        <v>44</v>
      </c>
      <c r="F1409" s="2" t="s">
        <v>69</v>
      </c>
      <c r="G1409" s="2" t="s">
        <v>25</v>
      </c>
      <c r="H1409" s="4">
        <v>3</v>
      </c>
      <c r="I1409" s="5">
        <v>39237.01</v>
      </c>
      <c r="J1409" s="6">
        <v>0.1</v>
      </c>
      <c r="K1409" s="5">
        <v>105939.93</v>
      </c>
      <c r="L1409" s="5">
        <v>80229.69</v>
      </c>
      <c r="M1409" s="5">
        <v>25710.240000000002</v>
      </c>
      <c r="N1409" s="2" t="s">
        <v>26</v>
      </c>
    </row>
    <row r="1410" spans="1:14" ht="12" customHeight="1">
      <c r="A1410" s="2" t="s">
        <v>1518</v>
      </c>
      <c r="B1410" s="3">
        <v>45776</v>
      </c>
      <c r="C1410" s="2" t="s">
        <v>138</v>
      </c>
      <c r="D1410" s="2" t="s">
        <v>52</v>
      </c>
      <c r="E1410" s="2" t="s">
        <v>44</v>
      </c>
      <c r="F1410" s="2" t="s">
        <v>69</v>
      </c>
      <c r="G1410" s="2" t="s">
        <v>111</v>
      </c>
      <c r="H1410" s="4">
        <v>6</v>
      </c>
      <c r="I1410" s="5">
        <v>37423.019999999997</v>
      </c>
      <c r="J1410" s="6">
        <v>0</v>
      </c>
      <c r="K1410" s="5">
        <v>224538.12</v>
      </c>
      <c r="L1410" s="5">
        <v>159127.07999999999</v>
      </c>
      <c r="M1410" s="5">
        <v>65411.040000000001</v>
      </c>
      <c r="N1410" s="2" t="s">
        <v>20</v>
      </c>
    </row>
    <row r="1411" spans="1:14" ht="12" customHeight="1">
      <c r="A1411" s="2" t="s">
        <v>1519</v>
      </c>
      <c r="B1411" s="3">
        <v>45834</v>
      </c>
      <c r="C1411" s="2" t="s">
        <v>22</v>
      </c>
      <c r="D1411" s="2" t="s">
        <v>37</v>
      </c>
      <c r="E1411" s="2" t="s">
        <v>44</v>
      </c>
      <c r="F1411" s="2" t="s">
        <v>80</v>
      </c>
      <c r="G1411" s="2" t="s">
        <v>32</v>
      </c>
      <c r="H1411" s="4">
        <v>8</v>
      </c>
      <c r="I1411" s="5">
        <v>44465.919999999998</v>
      </c>
      <c r="J1411" s="6">
        <v>0</v>
      </c>
      <c r="K1411" s="5">
        <v>355727.35999999999</v>
      </c>
      <c r="L1411" s="5">
        <v>247310.78</v>
      </c>
      <c r="M1411" s="5">
        <v>108416.58</v>
      </c>
      <c r="N1411" s="2" t="s">
        <v>20</v>
      </c>
    </row>
    <row r="1412" spans="1:14" ht="12" customHeight="1">
      <c r="A1412" s="2" t="s">
        <v>1520</v>
      </c>
      <c r="B1412" s="3">
        <v>45795</v>
      </c>
      <c r="C1412" s="2" t="s">
        <v>22</v>
      </c>
      <c r="D1412" s="2" t="s">
        <v>35</v>
      </c>
      <c r="E1412" s="2" t="s">
        <v>49</v>
      </c>
      <c r="F1412" s="2" t="s">
        <v>107</v>
      </c>
      <c r="G1412" s="2" t="s">
        <v>32</v>
      </c>
      <c r="H1412" s="4">
        <v>7</v>
      </c>
      <c r="I1412" s="5">
        <v>4858.43</v>
      </c>
      <c r="J1412" s="6">
        <v>0.05</v>
      </c>
      <c r="K1412" s="5">
        <v>32308.560000000001</v>
      </c>
      <c r="L1412" s="5">
        <v>18793.71</v>
      </c>
      <c r="M1412" s="5">
        <v>13514.85</v>
      </c>
      <c r="N1412" s="2" t="s">
        <v>59</v>
      </c>
    </row>
    <row r="1413" spans="1:14" ht="12" customHeight="1">
      <c r="A1413" s="2" t="s">
        <v>1521</v>
      </c>
      <c r="B1413" s="3">
        <v>45775</v>
      </c>
      <c r="C1413" s="2" t="s">
        <v>28</v>
      </c>
      <c r="D1413" s="2" t="s">
        <v>52</v>
      </c>
      <c r="E1413" s="2" t="s">
        <v>44</v>
      </c>
      <c r="F1413" s="2" t="s">
        <v>45</v>
      </c>
      <c r="G1413" s="2" t="s">
        <v>19</v>
      </c>
      <c r="H1413" s="4">
        <v>4</v>
      </c>
      <c r="I1413" s="5">
        <v>30077.32</v>
      </c>
      <c r="J1413" s="6">
        <v>0.05</v>
      </c>
      <c r="K1413" s="5">
        <v>114293.82</v>
      </c>
      <c r="L1413" s="5">
        <v>75659.520000000004</v>
      </c>
      <c r="M1413" s="5">
        <v>38634.300000000003</v>
      </c>
      <c r="N1413" s="2" t="s">
        <v>26</v>
      </c>
    </row>
    <row r="1414" spans="1:14" ht="12" customHeight="1">
      <c r="A1414" s="2" t="s">
        <v>1522</v>
      </c>
      <c r="B1414" s="3">
        <v>45808</v>
      </c>
      <c r="C1414" s="2" t="s">
        <v>22</v>
      </c>
      <c r="D1414" s="2" t="s">
        <v>37</v>
      </c>
      <c r="E1414" s="2" t="s">
        <v>17</v>
      </c>
      <c r="F1414" s="2" t="s">
        <v>18</v>
      </c>
      <c r="G1414" s="2" t="s">
        <v>61</v>
      </c>
      <c r="H1414" s="4">
        <v>2</v>
      </c>
      <c r="I1414" s="5">
        <v>14558.59</v>
      </c>
      <c r="J1414" s="6">
        <v>0.05</v>
      </c>
      <c r="K1414" s="5">
        <v>27661.32</v>
      </c>
      <c r="L1414" s="5">
        <v>16428.16</v>
      </c>
      <c r="M1414" s="5">
        <v>11233.16</v>
      </c>
      <c r="N1414" s="2" t="s">
        <v>20</v>
      </c>
    </row>
    <row r="1415" spans="1:14" ht="12" customHeight="1">
      <c r="A1415" s="2" t="s">
        <v>1523</v>
      </c>
      <c r="B1415" s="3">
        <v>45705</v>
      </c>
      <c r="C1415" s="2" t="s">
        <v>28</v>
      </c>
      <c r="D1415" s="2" t="s">
        <v>52</v>
      </c>
      <c r="E1415" s="2" t="s">
        <v>44</v>
      </c>
      <c r="F1415" s="2" t="s">
        <v>53</v>
      </c>
      <c r="G1415" s="2" t="s">
        <v>64</v>
      </c>
      <c r="H1415" s="4">
        <v>5</v>
      </c>
      <c r="I1415" s="5">
        <v>8046.62</v>
      </c>
      <c r="J1415" s="6">
        <v>0</v>
      </c>
      <c r="K1415" s="5">
        <v>40233.1</v>
      </c>
      <c r="L1415" s="5">
        <v>24162.560000000001</v>
      </c>
      <c r="M1415" s="5">
        <v>16070.54</v>
      </c>
      <c r="N1415" s="2" t="s">
        <v>26</v>
      </c>
    </row>
    <row r="1416" spans="1:14" ht="12" customHeight="1">
      <c r="A1416" s="2" t="s">
        <v>1524</v>
      </c>
      <c r="B1416" s="3">
        <v>45697</v>
      </c>
      <c r="C1416" s="2" t="s">
        <v>28</v>
      </c>
      <c r="D1416" s="2" t="s">
        <v>29</v>
      </c>
      <c r="E1416" s="2" t="s">
        <v>49</v>
      </c>
      <c r="F1416" s="2" t="s">
        <v>107</v>
      </c>
      <c r="G1416" s="2" t="s">
        <v>19</v>
      </c>
      <c r="H1416" s="4">
        <v>3</v>
      </c>
      <c r="I1416" s="5">
        <v>4980.5600000000004</v>
      </c>
      <c r="J1416" s="6">
        <v>0</v>
      </c>
      <c r="K1416" s="5">
        <v>14941.68</v>
      </c>
      <c r="L1416" s="5">
        <v>8198.69</v>
      </c>
      <c r="M1416" s="5">
        <v>6742.99</v>
      </c>
      <c r="N1416" s="2" t="s">
        <v>33</v>
      </c>
    </row>
    <row r="1417" spans="1:14" ht="12" customHeight="1">
      <c r="A1417" s="2" t="s">
        <v>1525</v>
      </c>
      <c r="B1417" s="3">
        <v>45753</v>
      </c>
      <c r="C1417" s="2" t="s">
        <v>28</v>
      </c>
      <c r="D1417" s="2" t="s">
        <v>52</v>
      </c>
      <c r="E1417" s="2" t="s">
        <v>17</v>
      </c>
      <c r="F1417" s="2" t="s">
        <v>114</v>
      </c>
      <c r="G1417" s="2" t="s">
        <v>47</v>
      </c>
      <c r="H1417" s="4">
        <v>6</v>
      </c>
      <c r="I1417" s="5">
        <v>53857.09</v>
      </c>
      <c r="J1417" s="6">
        <v>0</v>
      </c>
      <c r="K1417" s="5">
        <v>323142.53999999998</v>
      </c>
      <c r="L1417" s="5">
        <v>220610.97</v>
      </c>
      <c r="M1417" s="5">
        <v>102531.57</v>
      </c>
      <c r="N1417" s="2" t="s">
        <v>33</v>
      </c>
    </row>
    <row r="1418" spans="1:14" ht="12" customHeight="1">
      <c r="A1418" s="2" t="s">
        <v>1526</v>
      </c>
      <c r="B1418" s="3">
        <v>45737</v>
      </c>
      <c r="C1418" s="2" t="s">
        <v>28</v>
      </c>
      <c r="D1418" s="2" t="s">
        <v>52</v>
      </c>
      <c r="E1418" s="2" t="s">
        <v>30</v>
      </c>
      <c r="F1418" s="2" t="s">
        <v>31</v>
      </c>
      <c r="G1418" s="2" t="s">
        <v>61</v>
      </c>
      <c r="H1418" s="4">
        <v>1</v>
      </c>
      <c r="I1418" s="5">
        <v>132706.20000000001</v>
      </c>
      <c r="J1418" s="6">
        <v>0</v>
      </c>
      <c r="K1418" s="5">
        <v>132706.20000000001</v>
      </c>
      <c r="L1418" s="5">
        <v>98311.8</v>
      </c>
      <c r="M1418" s="5">
        <v>34394.400000000001</v>
      </c>
      <c r="N1418" s="2" t="s">
        <v>26</v>
      </c>
    </row>
    <row r="1419" spans="1:14" ht="12" customHeight="1">
      <c r="A1419" s="2" t="s">
        <v>1527</v>
      </c>
      <c r="B1419" s="3">
        <v>45785</v>
      </c>
      <c r="C1419" s="2" t="s">
        <v>15</v>
      </c>
      <c r="D1419" s="2" t="s">
        <v>63</v>
      </c>
      <c r="E1419" s="2" t="s">
        <v>30</v>
      </c>
      <c r="F1419" s="2" t="s">
        <v>40</v>
      </c>
      <c r="G1419" s="2" t="s">
        <v>61</v>
      </c>
      <c r="H1419" s="4">
        <v>4</v>
      </c>
      <c r="I1419" s="5">
        <v>24323.38</v>
      </c>
      <c r="J1419" s="6">
        <v>0.15</v>
      </c>
      <c r="K1419" s="5">
        <v>82699.490000000005</v>
      </c>
      <c r="L1419" s="5">
        <v>61790.09</v>
      </c>
      <c r="M1419" s="5">
        <v>20909.400000000001</v>
      </c>
      <c r="N1419" s="2" t="s">
        <v>33</v>
      </c>
    </row>
    <row r="1420" spans="1:14" ht="12" customHeight="1">
      <c r="A1420" s="2" t="s">
        <v>1528</v>
      </c>
      <c r="B1420" s="3">
        <v>45860</v>
      </c>
      <c r="C1420" s="2" t="s">
        <v>22</v>
      </c>
      <c r="D1420" s="2" t="s">
        <v>35</v>
      </c>
      <c r="E1420" s="2" t="s">
        <v>44</v>
      </c>
      <c r="F1420" s="2" t="s">
        <v>80</v>
      </c>
      <c r="G1420" s="2" t="s">
        <v>25</v>
      </c>
      <c r="H1420" s="4">
        <v>5</v>
      </c>
      <c r="I1420" s="5">
        <v>42730.12</v>
      </c>
      <c r="J1420" s="6">
        <v>0.05</v>
      </c>
      <c r="K1420" s="5">
        <v>202968.07</v>
      </c>
      <c r="L1420" s="5">
        <v>157701.15</v>
      </c>
      <c r="M1420" s="5">
        <v>45266.92</v>
      </c>
      <c r="N1420" s="2" t="s">
        <v>20</v>
      </c>
    </row>
    <row r="1421" spans="1:14" ht="12" customHeight="1">
      <c r="A1421" s="2" t="s">
        <v>1529</v>
      </c>
      <c r="B1421" s="3">
        <v>45913</v>
      </c>
      <c r="C1421" s="2" t="s">
        <v>15</v>
      </c>
      <c r="D1421" s="2" t="s">
        <v>43</v>
      </c>
      <c r="E1421" s="2" t="s">
        <v>30</v>
      </c>
      <c r="F1421" s="2" t="s">
        <v>40</v>
      </c>
      <c r="G1421" s="2" t="s">
        <v>61</v>
      </c>
      <c r="H1421" s="4">
        <v>5</v>
      </c>
      <c r="I1421" s="5">
        <v>24592</v>
      </c>
      <c r="J1421" s="6">
        <v>0.05</v>
      </c>
      <c r="K1421" s="5">
        <v>116812</v>
      </c>
      <c r="L1421" s="5">
        <v>77552.929999999993</v>
      </c>
      <c r="M1421" s="5">
        <v>39259.07</v>
      </c>
      <c r="N1421" s="2" t="s">
        <v>33</v>
      </c>
    </row>
    <row r="1422" spans="1:14" ht="12" customHeight="1">
      <c r="A1422" s="2" t="s">
        <v>1530</v>
      </c>
      <c r="B1422" s="3">
        <v>45811</v>
      </c>
      <c r="C1422" s="2" t="s">
        <v>22</v>
      </c>
      <c r="D1422" s="2" t="s">
        <v>23</v>
      </c>
      <c r="E1422" s="2" t="s">
        <v>30</v>
      </c>
      <c r="F1422" s="2" t="s">
        <v>38</v>
      </c>
      <c r="G1422" s="2" t="s">
        <v>32</v>
      </c>
      <c r="H1422" s="4">
        <v>2</v>
      </c>
      <c r="I1422" s="5">
        <v>27450.99</v>
      </c>
      <c r="J1422" s="6">
        <v>0.05</v>
      </c>
      <c r="K1422" s="5">
        <v>52156.88</v>
      </c>
      <c r="L1422" s="5">
        <v>35884.080000000002</v>
      </c>
      <c r="M1422" s="5">
        <v>16272.8</v>
      </c>
      <c r="N1422" s="2" t="s">
        <v>33</v>
      </c>
    </row>
    <row r="1423" spans="1:14" ht="12" customHeight="1">
      <c r="A1423" s="2" t="s">
        <v>1531</v>
      </c>
      <c r="B1423" s="3">
        <v>45888</v>
      </c>
      <c r="C1423" s="2" t="s">
        <v>28</v>
      </c>
      <c r="D1423" s="2" t="s">
        <v>56</v>
      </c>
      <c r="E1423" s="2" t="s">
        <v>44</v>
      </c>
      <c r="F1423" s="2" t="s">
        <v>80</v>
      </c>
      <c r="G1423" s="2" t="s">
        <v>61</v>
      </c>
      <c r="H1423" s="4">
        <v>4</v>
      </c>
      <c r="I1423" s="5">
        <v>42556.5</v>
      </c>
      <c r="J1423" s="6">
        <v>0.15</v>
      </c>
      <c r="K1423" s="5">
        <v>144692.1</v>
      </c>
      <c r="L1423" s="5">
        <v>126793.02</v>
      </c>
      <c r="M1423" s="5">
        <v>17899.080000000002</v>
      </c>
      <c r="N1423" s="2" t="s">
        <v>59</v>
      </c>
    </row>
    <row r="1424" spans="1:14" ht="12" customHeight="1">
      <c r="A1424" s="2" t="s">
        <v>1532</v>
      </c>
      <c r="B1424" s="3">
        <v>45896</v>
      </c>
      <c r="C1424" s="2" t="s">
        <v>28</v>
      </c>
      <c r="D1424" s="2" t="s">
        <v>52</v>
      </c>
      <c r="E1424" s="2" t="s">
        <v>44</v>
      </c>
      <c r="F1424" s="2" t="s">
        <v>80</v>
      </c>
      <c r="G1424" s="2" t="s">
        <v>70</v>
      </c>
      <c r="H1424" s="4">
        <v>4</v>
      </c>
      <c r="I1424" s="5">
        <v>45777.21</v>
      </c>
      <c r="J1424" s="6">
        <v>0.05</v>
      </c>
      <c r="K1424" s="5">
        <v>173953.4</v>
      </c>
      <c r="L1424" s="5">
        <v>124505.21</v>
      </c>
      <c r="M1424" s="5">
        <v>49448.19</v>
      </c>
      <c r="N1424" s="2" t="s">
        <v>59</v>
      </c>
    </row>
    <row r="1425" spans="1:14" ht="12" customHeight="1">
      <c r="A1425" s="2" t="s">
        <v>1533</v>
      </c>
      <c r="B1425" s="3">
        <v>45709</v>
      </c>
      <c r="C1425" s="2" t="s">
        <v>22</v>
      </c>
      <c r="D1425" s="2" t="s">
        <v>35</v>
      </c>
      <c r="E1425" s="2" t="s">
        <v>44</v>
      </c>
      <c r="F1425" s="2" t="s">
        <v>53</v>
      </c>
      <c r="G1425" s="2" t="s">
        <v>58</v>
      </c>
      <c r="H1425" s="4">
        <v>1</v>
      </c>
      <c r="I1425" s="5">
        <v>8153.7</v>
      </c>
      <c r="J1425" s="6">
        <v>0</v>
      </c>
      <c r="K1425" s="5">
        <v>8153.7</v>
      </c>
      <c r="L1425" s="5">
        <v>5060.68</v>
      </c>
      <c r="M1425" s="5">
        <v>3093.02</v>
      </c>
      <c r="N1425" s="2" t="s">
        <v>59</v>
      </c>
    </row>
    <row r="1426" spans="1:14" ht="12" customHeight="1">
      <c r="A1426" s="2" t="s">
        <v>1534</v>
      </c>
      <c r="B1426" s="3">
        <v>45920</v>
      </c>
      <c r="C1426" s="2" t="s">
        <v>22</v>
      </c>
      <c r="D1426" s="2" t="s">
        <v>35</v>
      </c>
      <c r="E1426" s="2" t="s">
        <v>49</v>
      </c>
      <c r="F1426" s="2" t="s">
        <v>107</v>
      </c>
      <c r="G1426" s="2" t="s">
        <v>70</v>
      </c>
      <c r="H1426" s="4">
        <v>7</v>
      </c>
      <c r="I1426" s="5">
        <v>4849</v>
      </c>
      <c r="J1426" s="6">
        <v>0.05</v>
      </c>
      <c r="K1426" s="5">
        <v>32245.85</v>
      </c>
      <c r="L1426" s="5">
        <v>18802.37</v>
      </c>
      <c r="M1426" s="5">
        <v>13443.48</v>
      </c>
      <c r="N1426" s="2" t="s">
        <v>33</v>
      </c>
    </row>
    <row r="1427" spans="1:14" ht="12" customHeight="1">
      <c r="A1427" s="2" t="s">
        <v>1535</v>
      </c>
      <c r="B1427" s="3">
        <v>45709</v>
      </c>
      <c r="C1427" s="2" t="s">
        <v>28</v>
      </c>
      <c r="D1427" s="2" t="s">
        <v>52</v>
      </c>
      <c r="E1427" s="2" t="s">
        <v>30</v>
      </c>
      <c r="F1427" s="2" t="s">
        <v>38</v>
      </c>
      <c r="G1427" s="2" t="s">
        <v>61</v>
      </c>
      <c r="H1427" s="4">
        <v>4</v>
      </c>
      <c r="I1427" s="5">
        <v>26180.68</v>
      </c>
      <c r="J1427" s="6">
        <v>0.1</v>
      </c>
      <c r="K1427" s="5">
        <v>94250.45</v>
      </c>
      <c r="L1427" s="5">
        <v>70676.36</v>
      </c>
      <c r="M1427" s="5">
        <v>23574.09</v>
      </c>
      <c r="N1427" s="2" t="s">
        <v>59</v>
      </c>
    </row>
    <row r="1428" spans="1:14" ht="12" customHeight="1">
      <c r="A1428" s="2" t="s">
        <v>1536</v>
      </c>
      <c r="B1428" s="3">
        <v>45893</v>
      </c>
      <c r="C1428" s="2" t="s">
        <v>22</v>
      </c>
      <c r="D1428" s="2" t="s">
        <v>23</v>
      </c>
      <c r="E1428" s="2" t="s">
        <v>44</v>
      </c>
      <c r="F1428" s="2" t="s">
        <v>69</v>
      </c>
      <c r="G1428" s="2" t="s">
        <v>32</v>
      </c>
      <c r="H1428" s="4">
        <v>1</v>
      </c>
      <c r="I1428" s="5">
        <v>37686.019999999997</v>
      </c>
      <c r="J1428" s="6">
        <v>0.05</v>
      </c>
      <c r="K1428" s="5">
        <v>35801.72</v>
      </c>
      <c r="L1428" s="5">
        <v>26673.29</v>
      </c>
      <c r="M1428" s="5">
        <v>9128.43</v>
      </c>
      <c r="N1428" s="2" t="s">
        <v>59</v>
      </c>
    </row>
    <row r="1429" spans="1:14" ht="12" customHeight="1">
      <c r="A1429" s="2" t="s">
        <v>1537</v>
      </c>
      <c r="B1429" s="3">
        <v>45676</v>
      </c>
      <c r="C1429" s="2" t="s">
        <v>28</v>
      </c>
      <c r="D1429" s="2" t="s">
        <v>56</v>
      </c>
      <c r="E1429" s="2" t="s">
        <v>17</v>
      </c>
      <c r="F1429" s="2" t="s">
        <v>75</v>
      </c>
      <c r="G1429" s="2" t="s">
        <v>19</v>
      </c>
      <c r="H1429" s="4">
        <v>8</v>
      </c>
      <c r="I1429" s="5">
        <v>192651.38</v>
      </c>
      <c r="J1429" s="6">
        <v>0.05</v>
      </c>
      <c r="K1429" s="5">
        <v>1464150.49</v>
      </c>
      <c r="L1429" s="5">
        <v>1162644.6200000001</v>
      </c>
      <c r="M1429" s="5">
        <v>301505.87</v>
      </c>
      <c r="N1429" s="2" t="s">
        <v>26</v>
      </c>
    </row>
    <row r="1430" spans="1:14" ht="12" customHeight="1">
      <c r="A1430" s="2" t="s">
        <v>1538</v>
      </c>
      <c r="B1430" s="3">
        <v>45854</v>
      </c>
      <c r="C1430" s="2" t="s">
        <v>28</v>
      </c>
      <c r="D1430" s="2" t="s">
        <v>56</v>
      </c>
      <c r="E1430" s="2" t="s">
        <v>49</v>
      </c>
      <c r="F1430" s="2" t="s">
        <v>57</v>
      </c>
      <c r="G1430" s="2" t="s">
        <v>58</v>
      </c>
      <c r="H1430" s="4">
        <v>3</v>
      </c>
      <c r="I1430" s="5">
        <v>10841.67</v>
      </c>
      <c r="J1430" s="6">
        <v>0</v>
      </c>
      <c r="K1430" s="5">
        <v>32525.01</v>
      </c>
      <c r="L1430" s="5">
        <v>19042.2</v>
      </c>
      <c r="M1430" s="5">
        <v>13482.81</v>
      </c>
      <c r="N1430" s="2" t="s">
        <v>20</v>
      </c>
    </row>
    <row r="1431" spans="1:14" ht="12" customHeight="1">
      <c r="A1431" s="2" t="s">
        <v>1539</v>
      </c>
      <c r="B1431" s="3">
        <v>45757</v>
      </c>
      <c r="C1431" s="2" t="s">
        <v>22</v>
      </c>
      <c r="D1431" s="2" t="s">
        <v>23</v>
      </c>
      <c r="E1431" s="2" t="s">
        <v>17</v>
      </c>
      <c r="F1431" s="2" t="s">
        <v>18</v>
      </c>
      <c r="G1431" s="2" t="s">
        <v>25</v>
      </c>
      <c r="H1431" s="4">
        <v>1</v>
      </c>
      <c r="I1431" s="5">
        <v>15552.26</v>
      </c>
      <c r="J1431" s="6">
        <v>0</v>
      </c>
      <c r="K1431" s="5">
        <v>15552.26</v>
      </c>
      <c r="L1431" s="5">
        <v>8194.15</v>
      </c>
      <c r="M1431" s="5">
        <v>7358.11</v>
      </c>
      <c r="N1431" s="2" t="s">
        <v>26</v>
      </c>
    </row>
    <row r="1432" spans="1:14" ht="12" customHeight="1">
      <c r="A1432" s="2" t="s">
        <v>1540</v>
      </c>
      <c r="B1432" s="3">
        <v>45793</v>
      </c>
      <c r="C1432" s="2" t="s">
        <v>28</v>
      </c>
      <c r="D1432" s="2" t="s">
        <v>29</v>
      </c>
      <c r="E1432" s="2" t="s">
        <v>30</v>
      </c>
      <c r="F1432" s="2" t="s">
        <v>86</v>
      </c>
      <c r="G1432" s="2" t="s">
        <v>70</v>
      </c>
      <c r="H1432" s="4">
        <v>1</v>
      </c>
      <c r="I1432" s="5">
        <v>35592.620000000003</v>
      </c>
      <c r="J1432" s="6">
        <v>0</v>
      </c>
      <c r="K1432" s="5">
        <v>35592.620000000003</v>
      </c>
      <c r="L1432" s="5">
        <v>23177.67</v>
      </c>
      <c r="M1432" s="5">
        <v>12414.95</v>
      </c>
      <c r="N1432" s="2" t="s">
        <v>33</v>
      </c>
    </row>
    <row r="1433" spans="1:14" ht="12" customHeight="1">
      <c r="A1433" s="2" t="s">
        <v>1541</v>
      </c>
      <c r="B1433" s="3">
        <v>45833</v>
      </c>
      <c r="C1433" s="2" t="s">
        <v>22</v>
      </c>
      <c r="D1433" s="2" t="s">
        <v>35</v>
      </c>
      <c r="E1433" s="2" t="s">
        <v>44</v>
      </c>
      <c r="F1433" s="2" t="s">
        <v>53</v>
      </c>
      <c r="G1433" s="2" t="s">
        <v>32</v>
      </c>
      <c r="H1433" s="4">
        <v>2</v>
      </c>
      <c r="I1433" s="5">
        <v>7928.76</v>
      </c>
      <c r="J1433" s="6">
        <v>0.05</v>
      </c>
      <c r="K1433" s="5">
        <v>15064.64</v>
      </c>
      <c r="L1433" s="5">
        <v>10062.82</v>
      </c>
      <c r="M1433" s="5">
        <v>5001.82</v>
      </c>
      <c r="N1433" s="2" t="s">
        <v>20</v>
      </c>
    </row>
    <row r="1434" spans="1:14" ht="12" customHeight="1">
      <c r="A1434" s="2" t="s">
        <v>1542</v>
      </c>
      <c r="B1434" s="3">
        <v>46007</v>
      </c>
      <c r="C1434" s="2" t="s">
        <v>28</v>
      </c>
      <c r="D1434" s="2" t="s">
        <v>29</v>
      </c>
      <c r="E1434" s="2" t="s">
        <v>30</v>
      </c>
      <c r="F1434" s="2" t="s">
        <v>38</v>
      </c>
      <c r="G1434" s="2" t="s">
        <v>58</v>
      </c>
      <c r="H1434" s="4">
        <v>3</v>
      </c>
      <c r="I1434" s="5">
        <v>27724.69</v>
      </c>
      <c r="J1434" s="6">
        <v>0.15</v>
      </c>
      <c r="K1434" s="5">
        <v>70697.960000000006</v>
      </c>
      <c r="L1434" s="5">
        <v>54609.37</v>
      </c>
      <c r="M1434" s="5">
        <v>16088.59</v>
      </c>
      <c r="N1434" s="2" t="s">
        <v>26</v>
      </c>
    </row>
    <row r="1435" spans="1:14" ht="12" customHeight="1">
      <c r="A1435" s="2" t="s">
        <v>1543</v>
      </c>
      <c r="B1435" s="3">
        <v>45865</v>
      </c>
      <c r="C1435" s="2" t="s">
        <v>22</v>
      </c>
      <c r="D1435" s="2" t="s">
        <v>23</v>
      </c>
      <c r="E1435" s="2" t="s">
        <v>49</v>
      </c>
      <c r="F1435" s="2" t="s">
        <v>107</v>
      </c>
      <c r="G1435" s="2" t="s">
        <v>64</v>
      </c>
      <c r="H1435" s="4">
        <v>5</v>
      </c>
      <c r="I1435" s="5">
        <v>5057.0200000000004</v>
      </c>
      <c r="J1435" s="6">
        <v>0.1</v>
      </c>
      <c r="K1435" s="5">
        <v>22756.59</v>
      </c>
      <c r="L1435" s="5">
        <v>13379.04</v>
      </c>
      <c r="M1435" s="5">
        <v>9377.5499999999993</v>
      </c>
      <c r="N1435" s="2" t="s">
        <v>59</v>
      </c>
    </row>
    <row r="1436" spans="1:14" ht="12" customHeight="1">
      <c r="A1436" s="2" t="s">
        <v>1544</v>
      </c>
      <c r="B1436" s="3">
        <v>45736</v>
      </c>
      <c r="C1436" s="2" t="s">
        <v>28</v>
      </c>
      <c r="D1436" s="2" t="s">
        <v>52</v>
      </c>
      <c r="E1436" s="2" t="s">
        <v>316</v>
      </c>
      <c r="F1436" s="2" t="s">
        <v>45</v>
      </c>
      <c r="G1436" s="2" t="s">
        <v>19</v>
      </c>
      <c r="H1436" s="4">
        <v>4</v>
      </c>
      <c r="I1436" s="5">
        <v>30236.2</v>
      </c>
      <c r="J1436" s="6">
        <v>0</v>
      </c>
      <c r="K1436" s="5">
        <v>120944.8</v>
      </c>
      <c r="L1436" s="5">
        <v>76190.33</v>
      </c>
      <c r="M1436" s="5">
        <v>44754.47</v>
      </c>
      <c r="N1436" s="2" t="s">
        <v>59</v>
      </c>
    </row>
    <row r="1437" spans="1:14" ht="12" customHeight="1">
      <c r="A1437" s="2" t="s">
        <v>1545</v>
      </c>
      <c r="B1437" s="3">
        <v>45904</v>
      </c>
      <c r="C1437" s="2" t="s">
        <v>28</v>
      </c>
      <c r="D1437" s="2" t="s">
        <v>29</v>
      </c>
      <c r="E1437" s="2" t="s">
        <v>49</v>
      </c>
      <c r="F1437" s="2" t="s">
        <v>107</v>
      </c>
      <c r="G1437" s="2" t="s">
        <v>19</v>
      </c>
      <c r="H1437" s="4">
        <v>6</v>
      </c>
      <c r="I1437" s="5">
        <v>5032.84</v>
      </c>
      <c r="J1437" s="6">
        <v>0</v>
      </c>
      <c r="K1437" s="5">
        <v>30197.040000000001</v>
      </c>
      <c r="L1437" s="5">
        <v>15898.21</v>
      </c>
      <c r="M1437" s="5">
        <v>14298.83</v>
      </c>
      <c r="N1437" s="2" t="s">
        <v>59</v>
      </c>
    </row>
    <row r="1438" spans="1:14" ht="12" customHeight="1">
      <c r="A1438" s="2" t="s">
        <v>1546</v>
      </c>
      <c r="B1438" s="3">
        <v>45847</v>
      </c>
      <c r="C1438" s="2" t="s">
        <v>22</v>
      </c>
      <c r="D1438" s="2" t="s">
        <v>35</v>
      </c>
      <c r="E1438" s="2" t="s">
        <v>49</v>
      </c>
      <c r="F1438" s="2" t="s">
        <v>107</v>
      </c>
      <c r="G1438" s="2" t="s">
        <v>19</v>
      </c>
      <c r="H1438" s="4">
        <v>3</v>
      </c>
      <c r="I1438" s="5">
        <v>5128.63</v>
      </c>
      <c r="J1438" s="6">
        <v>0</v>
      </c>
      <c r="K1438" s="5">
        <v>15385.89</v>
      </c>
      <c r="L1438" s="5">
        <v>8046.26</v>
      </c>
      <c r="M1438" s="5">
        <v>7339.63</v>
      </c>
      <c r="N1438" s="2" t="s">
        <v>59</v>
      </c>
    </row>
    <row r="1439" spans="1:14" ht="12" customHeight="1">
      <c r="A1439" s="2" t="s">
        <v>1547</v>
      </c>
      <c r="B1439" s="3">
        <v>45970</v>
      </c>
      <c r="C1439" s="2" t="s">
        <v>22</v>
      </c>
      <c r="D1439" s="2" t="s">
        <v>35</v>
      </c>
      <c r="E1439" s="2" t="s">
        <v>49</v>
      </c>
      <c r="F1439" s="2" t="s">
        <v>107</v>
      </c>
      <c r="G1439" s="2" t="s">
        <v>61</v>
      </c>
      <c r="H1439" s="4">
        <v>4</v>
      </c>
      <c r="I1439" s="5">
        <v>5121.22</v>
      </c>
      <c r="J1439" s="6">
        <v>0</v>
      </c>
      <c r="K1439" s="5">
        <v>20484.88</v>
      </c>
      <c r="L1439" s="5">
        <v>10692.57</v>
      </c>
      <c r="M1439" s="5">
        <v>9792.31</v>
      </c>
      <c r="N1439" s="2" t="s">
        <v>59</v>
      </c>
    </row>
    <row r="1440" spans="1:14" ht="12" customHeight="1">
      <c r="A1440" s="2" t="s">
        <v>1548</v>
      </c>
      <c r="B1440" s="3">
        <v>45662</v>
      </c>
      <c r="C1440" s="2" t="s">
        <v>22</v>
      </c>
      <c r="D1440" s="2" t="s">
        <v>37</v>
      </c>
      <c r="E1440" s="2" t="s">
        <v>30</v>
      </c>
      <c r="F1440" s="2" t="s">
        <v>40</v>
      </c>
      <c r="G1440" s="2" t="s">
        <v>61</v>
      </c>
      <c r="H1440" s="4">
        <v>2</v>
      </c>
      <c r="I1440" s="5">
        <v>22934.59</v>
      </c>
      <c r="J1440" s="6">
        <v>0</v>
      </c>
      <c r="K1440" s="5">
        <v>45869.18</v>
      </c>
      <c r="L1440" s="5">
        <v>32413.18</v>
      </c>
      <c r="M1440" s="5">
        <v>13456</v>
      </c>
      <c r="N1440" s="2" t="s">
        <v>20</v>
      </c>
    </row>
    <row r="1441" spans="1:14" ht="12" customHeight="1">
      <c r="A1441" s="2" t="s">
        <v>1549</v>
      </c>
      <c r="B1441" s="3">
        <v>45845</v>
      </c>
      <c r="C1441" s="2" t="s">
        <v>28</v>
      </c>
      <c r="D1441" s="2" t="s">
        <v>52</v>
      </c>
      <c r="E1441" s="2" t="s">
        <v>44</v>
      </c>
      <c r="F1441" s="2" t="s">
        <v>80</v>
      </c>
      <c r="G1441" s="2" t="s">
        <v>32</v>
      </c>
      <c r="H1441" s="4">
        <v>1</v>
      </c>
      <c r="I1441" s="5">
        <v>42801.91</v>
      </c>
      <c r="J1441" s="6">
        <v>0</v>
      </c>
      <c r="K1441" s="5">
        <v>42801.91</v>
      </c>
      <c r="L1441" s="5">
        <v>30359.66</v>
      </c>
      <c r="M1441" s="5">
        <v>12442.25</v>
      </c>
      <c r="N1441" s="2" t="s">
        <v>33</v>
      </c>
    </row>
    <row r="1442" spans="1:14" ht="12" customHeight="1">
      <c r="A1442" s="2" t="s">
        <v>1550</v>
      </c>
      <c r="B1442" s="3">
        <v>45678</v>
      </c>
      <c r="C1442" s="2" t="s">
        <v>22</v>
      </c>
      <c r="D1442" s="2" t="s">
        <v>23</v>
      </c>
      <c r="E1442" s="2" t="s">
        <v>30</v>
      </c>
      <c r="F1442" s="2" t="s">
        <v>38</v>
      </c>
      <c r="G1442" s="2" t="s">
        <v>64</v>
      </c>
      <c r="H1442" s="4">
        <v>2</v>
      </c>
      <c r="I1442" s="5">
        <v>25008.23</v>
      </c>
      <c r="J1442" s="6">
        <v>0.1</v>
      </c>
      <c r="K1442" s="5">
        <v>45014.81</v>
      </c>
      <c r="L1442" s="5">
        <v>35127.51</v>
      </c>
      <c r="M1442" s="5">
        <v>9887.2999999999993</v>
      </c>
      <c r="N1442" s="2" t="s">
        <v>26</v>
      </c>
    </row>
    <row r="1443" spans="1:14" ht="12" customHeight="1">
      <c r="A1443" s="2" t="s">
        <v>1551</v>
      </c>
      <c r="B1443" s="3">
        <v>45694</v>
      </c>
      <c r="C1443" s="2" t="s">
        <v>22</v>
      </c>
      <c r="D1443" s="2" t="s">
        <v>35</v>
      </c>
      <c r="E1443" s="2" t="s">
        <v>49</v>
      </c>
      <c r="F1443" s="2" t="s">
        <v>91</v>
      </c>
      <c r="G1443" s="2" t="s">
        <v>58</v>
      </c>
      <c r="H1443" s="4">
        <v>5</v>
      </c>
      <c r="I1443" s="5">
        <v>6597.1</v>
      </c>
      <c r="J1443" s="6">
        <v>0.1</v>
      </c>
      <c r="K1443" s="5">
        <v>29686.95</v>
      </c>
      <c r="L1443" s="5">
        <v>18514.43</v>
      </c>
      <c r="M1443" s="5">
        <v>11172.52</v>
      </c>
      <c r="N1443" s="2" t="s">
        <v>26</v>
      </c>
    </row>
    <row r="1444" spans="1:14" ht="12" customHeight="1">
      <c r="A1444" s="2" t="s">
        <v>1552</v>
      </c>
      <c r="B1444" s="3">
        <v>45674</v>
      </c>
      <c r="C1444" s="2" t="s">
        <v>22</v>
      </c>
      <c r="D1444" s="2" t="s">
        <v>35</v>
      </c>
      <c r="E1444" s="2" t="s">
        <v>30</v>
      </c>
      <c r="F1444" s="2" t="s">
        <v>86</v>
      </c>
      <c r="G1444" s="2" t="s">
        <v>25</v>
      </c>
      <c r="H1444" s="4">
        <v>2</v>
      </c>
      <c r="I1444" s="5">
        <v>32981.07</v>
      </c>
      <c r="J1444" s="6">
        <v>0</v>
      </c>
      <c r="K1444" s="5">
        <v>65962.14</v>
      </c>
      <c r="L1444" s="5">
        <v>45820.45</v>
      </c>
      <c r="M1444" s="5">
        <v>20141.689999999999</v>
      </c>
      <c r="N1444" s="2" t="s">
        <v>59</v>
      </c>
    </row>
    <row r="1445" spans="1:14" ht="12" customHeight="1">
      <c r="A1445" s="2" t="s">
        <v>1553</v>
      </c>
      <c r="B1445" s="3">
        <v>46019</v>
      </c>
      <c r="C1445" s="2" t="s">
        <v>15</v>
      </c>
      <c r="D1445" s="2" t="s">
        <v>16</v>
      </c>
      <c r="E1445" s="2" t="s">
        <v>49</v>
      </c>
      <c r="F1445" s="2" t="s">
        <v>107</v>
      </c>
      <c r="G1445" s="2" t="s">
        <v>25</v>
      </c>
      <c r="H1445" s="4">
        <v>6</v>
      </c>
      <c r="I1445" s="5">
        <v>5575.82</v>
      </c>
      <c r="J1445" s="6">
        <v>0.05</v>
      </c>
      <c r="K1445" s="5">
        <v>31782.17</v>
      </c>
      <c r="L1445" s="5">
        <v>16047</v>
      </c>
      <c r="M1445" s="5">
        <v>15735.17</v>
      </c>
      <c r="N1445" s="2" t="s">
        <v>20</v>
      </c>
    </row>
    <row r="1446" spans="1:14" ht="12" customHeight="1">
      <c r="A1446" s="2" t="s">
        <v>1554</v>
      </c>
      <c r="B1446" s="3">
        <v>45698</v>
      </c>
      <c r="C1446" s="2" t="s">
        <v>22</v>
      </c>
      <c r="D1446" s="2" t="s">
        <v>35</v>
      </c>
      <c r="E1446" s="2" t="s">
        <v>30</v>
      </c>
      <c r="F1446" s="2" t="s">
        <v>86</v>
      </c>
      <c r="G1446" s="2" t="s">
        <v>64</v>
      </c>
      <c r="H1446" s="4">
        <v>4</v>
      </c>
      <c r="I1446" s="5">
        <v>32795.589999999997</v>
      </c>
      <c r="J1446" s="6">
        <v>0.15</v>
      </c>
      <c r="K1446" s="5">
        <v>111505.01</v>
      </c>
      <c r="L1446" s="5">
        <v>88277.88</v>
      </c>
      <c r="M1446" s="5">
        <v>23227.13</v>
      </c>
      <c r="N1446" s="2" t="s">
        <v>33</v>
      </c>
    </row>
    <row r="1447" spans="1:14" ht="12" customHeight="1">
      <c r="A1447" s="2" t="s">
        <v>1555</v>
      </c>
      <c r="B1447" s="3">
        <v>46010</v>
      </c>
      <c r="C1447" s="2" t="s">
        <v>22</v>
      </c>
      <c r="D1447" s="2" t="s">
        <v>23</v>
      </c>
      <c r="E1447" s="2" t="s">
        <v>49</v>
      </c>
      <c r="F1447" s="2" t="s">
        <v>50</v>
      </c>
      <c r="G1447" s="2" t="s">
        <v>32</v>
      </c>
      <c r="H1447" s="4">
        <v>3</v>
      </c>
      <c r="I1447" s="5">
        <v>4349.7</v>
      </c>
      <c r="J1447" s="6">
        <v>0.05</v>
      </c>
      <c r="K1447" s="5">
        <v>12396.64</v>
      </c>
      <c r="L1447" s="5">
        <v>6450.73</v>
      </c>
      <c r="M1447" s="5">
        <v>5945.91</v>
      </c>
      <c r="N1447" s="2" t="s">
        <v>26</v>
      </c>
    </row>
    <row r="1448" spans="1:14" ht="12" customHeight="1">
      <c r="A1448" s="2" t="s">
        <v>1556</v>
      </c>
      <c r="B1448" s="3">
        <v>45940</v>
      </c>
      <c r="C1448" s="2" t="s">
        <v>15</v>
      </c>
      <c r="D1448" s="2" t="s">
        <v>63</v>
      </c>
      <c r="E1448" s="2" t="s">
        <v>49</v>
      </c>
      <c r="F1448" s="2" t="s">
        <v>107</v>
      </c>
      <c r="G1448" s="2" t="s">
        <v>58</v>
      </c>
      <c r="H1448" s="4">
        <v>2</v>
      </c>
      <c r="I1448" s="5">
        <v>5557.65</v>
      </c>
      <c r="J1448" s="6">
        <v>0.15</v>
      </c>
      <c r="K1448" s="5">
        <v>9448</v>
      </c>
      <c r="L1448" s="5">
        <v>5594.29</v>
      </c>
      <c r="M1448" s="5">
        <v>3853.71</v>
      </c>
      <c r="N1448" s="2" t="s">
        <v>26</v>
      </c>
    </row>
    <row r="1449" spans="1:14" ht="12" customHeight="1">
      <c r="A1449" s="2" t="s">
        <v>1557</v>
      </c>
      <c r="B1449" s="3">
        <v>45674</v>
      </c>
      <c r="C1449" s="2" t="s">
        <v>28</v>
      </c>
      <c r="D1449" s="2" t="s">
        <v>29</v>
      </c>
      <c r="E1449" s="2" t="s">
        <v>17</v>
      </c>
      <c r="F1449" s="2" t="s">
        <v>18</v>
      </c>
      <c r="G1449" s="2" t="s">
        <v>58</v>
      </c>
      <c r="H1449" s="4">
        <v>3</v>
      </c>
      <c r="I1449" s="5">
        <v>14246.64</v>
      </c>
      <c r="J1449" s="6">
        <v>0.05</v>
      </c>
      <c r="K1449" s="5">
        <v>40602.92</v>
      </c>
      <c r="L1449" s="5">
        <v>23975.75</v>
      </c>
      <c r="M1449" s="5">
        <v>16627.169999999998</v>
      </c>
      <c r="N1449" s="2" t="s">
        <v>20</v>
      </c>
    </row>
    <row r="1450" spans="1:14" ht="12" customHeight="1">
      <c r="A1450" s="2" t="s">
        <v>1558</v>
      </c>
      <c r="B1450" s="3">
        <v>46020</v>
      </c>
      <c r="C1450" s="2" t="s">
        <v>22</v>
      </c>
      <c r="D1450" s="2" t="s">
        <v>35</v>
      </c>
      <c r="E1450" s="2" t="s">
        <v>49</v>
      </c>
      <c r="F1450" s="2" t="s">
        <v>107</v>
      </c>
      <c r="G1450" s="2" t="s">
        <v>25</v>
      </c>
      <c r="H1450" s="4">
        <v>6</v>
      </c>
      <c r="I1450" s="5">
        <v>5158.08</v>
      </c>
      <c r="J1450" s="6">
        <v>0.05</v>
      </c>
      <c r="K1450" s="5">
        <v>29401.06</v>
      </c>
      <c r="L1450" s="5">
        <v>16559.150000000001</v>
      </c>
      <c r="M1450" s="5">
        <v>12841.91</v>
      </c>
      <c r="N1450" s="2" t="s">
        <v>59</v>
      </c>
    </row>
    <row r="1451" spans="1:14" ht="12" customHeight="1">
      <c r="A1451" s="2" t="s">
        <v>1559</v>
      </c>
      <c r="B1451" s="3">
        <v>45829</v>
      </c>
      <c r="C1451" s="2" t="s">
        <v>15</v>
      </c>
      <c r="D1451" s="2" t="s">
        <v>43</v>
      </c>
      <c r="E1451" s="2" t="s">
        <v>44</v>
      </c>
      <c r="F1451" s="2" t="s">
        <v>80</v>
      </c>
      <c r="G1451" s="2" t="s">
        <v>61</v>
      </c>
      <c r="H1451" s="4">
        <v>3</v>
      </c>
      <c r="I1451" s="5">
        <v>46125.51</v>
      </c>
      <c r="J1451" s="6">
        <v>0.05</v>
      </c>
      <c r="K1451" s="5">
        <v>131457.70000000001</v>
      </c>
      <c r="L1451" s="5">
        <v>90816.84</v>
      </c>
      <c r="M1451" s="5">
        <v>40640.86</v>
      </c>
      <c r="N1451" s="2" t="s">
        <v>33</v>
      </c>
    </row>
    <row r="1452" spans="1:14" ht="12" customHeight="1">
      <c r="A1452" s="2" t="s">
        <v>1560</v>
      </c>
      <c r="B1452" s="3">
        <v>45662</v>
      </c>
      <c r="C1452" s="2" t="s">
        <v>22</v>
      </c>
      <c r="D1452" s="2" t="s">
        <v>23</v>
      </c>
      <c r="E1452" s="2" t="s">
        <v>49</v>
      </c>
      <c r="F1452" s="2" t="s">
        <v>57</v>
      </c>
      <c r="G1452" s="2" t="s">
        <v>32</v>
      </c>
      <c r="H1452" s="4">
        <v>4</v>
      </c>
      <c r="I1452" s="5">
        <v>11906.24</v>
      </c>
      <c r="J1452" s="6">
        <v>0.05</v>
      </c>
      <c r="K1452" s="5">
        <v>45243.71</v>
      </c>
      <c r="L1452" s="5">
        <v>25289.98</v>
      </c>
      <c r="M1452" s="5">
        <v>19953.73</v>
      </c>
      <c r="N1452" s="2" t="s">
        <v>59</v>
      </c>
    </row>
    <row r="1453" spans="1:14" ht="12" customHeight="1">
      <c r="A1453" s="2" t="s">
        <v>1561</v>
      </c>
      <c r="B1453" s="3">
        <v>45733</v>
      </c>
      <c r="C1453" s="2" t="s">
        <v>15</v>
      </c>
      <c r="D1453" s="2" t="s">
        <v>63</v>
      </c>
      <c r="E1453" s="2" t="s">
        <v>30</v>
      </c>
      <c r="F1453" s="2" t="s">
        <v>31</v>
      </c>
      <c r="G1453" s="2" t="s">
        <v>32</v>
      </c>
      <c r="H1453" s="4">
        <v>2</v>
      </c>
      <c r="I1453" s="5">
        <v>134628.44</v>
      </c>
      <c r="J1453" s="6">
        <v>0.1</v>
      </c>
      <c r="K1453" s="5">
        <v>242331.19</v>
      </c>
      <c r="L1453" s="5">
        <v>198792.23</v>
      </c>
      <c r="M1453" s="5">
        <v>43538.96</v>
      </c>
      <c r="N1453" s="2" t="s">
        <v>59</v>
      </c>
    </row>
    <row r="1454" spans="1:14" ht="12" customHeight="1">
      <c r="A1454" s="2" t="s">
        <v>1562</v>
      </c>
      <c r="B1454" s="3">
        <v>45806</v>
      </c>
      <c r="C1454" s="2" t="s">
        <v>15</v>
      </c>
      <c r="D1454" s="2" t="s">
        <v>63</v>
      </c>
      <c r="E1454" s="2" t="s">
        <v>44</v>
      </c>
      <c r="F1454" s="2" t="s">
        <v>53</v>
      </c>
      <c r="G1454" s="2" t="s">
        <v>70</v>
      </c>
      <c r="H1454" s="4">
        <v>1</v>
      </c>
      <c r="I1454" s="5">
        <v>8438.74</v>
      </c>
      <c r="J1454" s="6">
        <v>0.15</v>
      </c>
      <c r="K1454" s="5">
        <v>7172.93</v>
      </c>
      <c r="L1454" s="5">
        <v>4955.7</v>
      </c>
      <c r="M1454" s="5">
        <v>2217.23</v>
      </c>
      <c r="N1454" s="2" t="s">
        <v>33</v>
      </c>
    </row>
    <row r="1455" spans="1:14" ht="12" customHeight="1">
      <c r="A1455" s="2" t="s">
        <v>1563</v>
      </c>
      <c r="B1455" s="3">
        <v>45969</v>
      </c>
      <c r="C1455" s="2" t="s">
        <v>28</v>
      </c>
      <c r="D1455" s="2" t="s">
        <v>56</v>
      </c>
      <c r="E1455" s="2" t="s">
        <v>17</v>
      </c>
      <c r="F1455" s="2" t="s">
        <v>114</v>
      </c>
      <c r="G1455" s="2" t="s">
        <v>47</v>
      </c>
      <c r="H1455" s="4">
        <v>2</v>
      </c>
      <c r="I1455" s="5">
        <v>51787.99</v>
      </c>
      <c r="J1455" s="6">
        <v>0.05</v>
      </c>
      <c r="K1455" s="5">
        <v>98397.18</v>
      </c>
      <c r="L1455" s="5">
        <v>75557.440000000002</v>
      </c>
      <c r="M1455" s="5">
        <v>22839.74</v>
      </c>
      <c r="N1455" s="2" t="s">
        <v>59</v>
      </c>
    </row>
    <row r="1456" spans="1:14" ht="12" customHeight="1">
      <c r="A1456" s="2" t="s">
        <v>1564</v>
      </c>
      <c r="B1456" s="3">
        <v>46000</v>
      </c>
      <c r="C1456" s="2" t="s">
        <v>15</v>
      </c>
      <c r="D1456" s="2" t="s">
        <v>16</v>
      </c>
      <c r="E1456" s="2" t="s">
        <v>49</v>
      </c>
      <c r="F1456" s="2" t="s">
        <v>57</v>
      </c>
      <c r="G1456" s="2" t="s">
        <v>58</v>
      </c>
      <c r="H1456" s="4">
        <v>5</v>
      </c>
      <c r="I1456" s="5">
        <v>12220.38</v>
      </c>
      <c r="J1456" s="6">
        <v>0</v>
      </c>
      <c r="K1456" s="5">
        <v>61101.9</v>
      </c>
      <c r="L1456" s="5">
        <v>33383.08</v>
      </c>
      <c r="M1456" s="5">
        <v>27718.82</v>
      </c>
      <c r="N1456" s="2" t="s">
        <v>20</v>
      </c>
    </row>
    <row r="1457" spans="1:14" ht="12" customHeight="1">
      <c r="A1457" s="2" t="s">
        <v>1565</v>
      </c>
      <c r="B1457" s="3">
        <v>45659</v>
      </c>
      <c r="C1457" s="2" t="s">
        <v>28</v>
      </c>
      <c r="D1457" s="2" t="s">
        <v>52</v>
      </c>
      <c r="E1457" s="2" t="s">
        <v>44</v>
      </c>
      <c r="F1457" s="2" t="s">
        <v>80</v>
      </c>
      <c r="G1457" s="2" t="s">
        <v>25</v>
      </c>
      <c r="H1457" s="4">
        <v>4</v>
      </c>
      <c r="I1457" s="5">
        <v>46109.82</v>
      </c>
      <c r="J1457" s="6">
        <v>0.05</v>
      </c>
      <c r="K1457" s="5">
        <v>175217.32</v>
      </c>
      <c r="L1457" s="5">
        <v>122354.35</v>
      </c>
      <c r="M1457" s="5">
        <v>52862.97</v>
      </c>
      <c r="N1457" s="2" t="s">
        <v>33</v>
      </c>
    </row>
    <row r="1458" spans="1:14" ht="12" customHeight="1">
      <c r="A1458" s="2" t="s">
        <v>1566</v>
      </c>
      <c r="B1458" s="3">
        <v>45955</v>
      </c>
      <c r="C1458" s="2" t="s">
        <v>22</v>
      </c>
      <c r="D1458" s="2" t="s">
        <v>35</v>
      </c>
      <c r="E1458" s="2" t="s">
        <v>49</v>
      </c>
      <c r="F1458" s="2" t="s">
        <v>91</v>
      </c>
      <c r="G1458" s="2" t="s">
        <v>47</v>
      </c>
      <c r="H1458" s="4">
        <v>5</v>
      </c>
      <c r="I1458" s="5">
        <v>6779.66</v>
      </c>
      <c r="J1458" s="6">
        <v>0.15</v>
      </c>
      <c r="K1458" s="5">
        <v>28813.56</v>
      </c>
      <c r="L1458" s="5">
        <v>17524.509999999998</v>
      </c>
      <c r="M1458" s="5">
        <v>11289.05</v>
      </c>
      <c r="N1458" s="2" t="s">
        <v>59</v>
      </c>
    </row>
    <row r="1459" spans="1:14" ht="12" customHeight="1">
      <c r="A1459" s="2" t="s">
        <v>1567</v>
      </c>
      <c r="B1459" s="3">
        <v>45877</v>
      </c>
      <c r="C1459" s="2" t="s">
        <v>22</v>
      </c>
      <c r="D1459" s="2" t="s">
        <v>23</v>
      </c>
      <c r="E1459" s="2" t="s">
        <v>49</v>
      </c>
      <c r="F1459" s="2" t="s">
        <v>57</v>
      </c>
      <c r="G1459" s="2" t="s">
        <v>19</v>
      </c>
      <c r="H1459" s="4">
        <v>3</v>
      </c>
      <c r="I1459" s="5">
        <v>11582.92</v>
      </c>
      <c r="J1459" s="6">
        <v>0</v>
      </c>
      <c r="K1459" s="5">
        <v>34748.76</v>
      </c>
      <c r="L1459" s="5">
        <v>18934.400000000001</v>
      </c>
      <c r="M1459" s="5">
        <v>15814.36</v>
      </c>
      <c r="N1459" s="2" t="s">
        <v>59</v>
      </c>
    </row>
    <row r="1460" spans="1:14" ht="12" customHeight="1">
      <c r="A1460" s="2" t="s">
        <v>1568</v>
      </c>
      <c r="B1460" s="3">
        <v>45744</v>
      </c>
      <c r="C1460" s="2" t="s">
        <v>15</v>
      </c>
      <c r="D1460" s="2" t="s">
        <v>16</v>
      </c>
      <c r="E1460" s="2" t="s">
        <v>49</v>
      </c>
      <c r="F1460" s="2" t="s">
        <v>91</v>
      </c>
      <c r="G1460" s="2" t="s">
        <v>58</v>
      </c>
      <c r="H1460" s="4">
        <v>2</v>
      </c>
      <c r="I1460" s="5">
        <v>6115.07</v>
      </c>
      <c r="J1460" s="6">
        <v>0.15</v>
      </c>
      <c r="K1460" s="5">
        <v>10395.620000000001</v>
      </c>
      <c r="L1460" s="5">
        <v>7352.43</v>
      </c>
      <c r="M1460" s="5">
        <v>3043.19</v>
      </c>
      <c r="N1460" s="2" t="s">
        <v>59</v>
      </c>
    </row>
    <row r="1461" spans="1:14" ht="12" customHeight="1">
      <c r="A1461" s="2" t="s">
        <v>1569</v>
      </c>
      <c r="B1461" s="3">
        <v>45935</v>
      </c>
      <c r="C1461" s="2" t="s">
        <v>28</v>
      </c>
      <c r="D1461" s="2" t="s">
        <v>52</v>
      </c>
      <c r="E1461" s="2" t="s">
        <v>907</v>
      </c>
      <c r="F1461" s="2" t="s">
        <v>50</v>
      </c>
      <c r="G1461" s="2" t="s">
        <v>19</v>
      </c>
      <c r="H1461" s="4">
        <v>3</v>
      </c>
      <c r="I1461" s="5">
        <v>4106.88</v>
      </c>
      <c r="J1461" s="6">
        <v>0.05</v>
      </c>
      <c r="K1461" s="5">
        <v>11704.61</v>
      </c>
      <c r="L1461" s="5">
        <v>6247.49</v>
      </c>
      <c r="M1461" s="5">
        <v>5457.12</v>
      </c>
      <c r="N1461" s="2" t="s">
        <v>33</v>
      </c>
    </row>
    <row r="1462" spans="1:14" ht="12" customHeight="1">
      <c r="A1462" s="2" t="s">
        <v>1570</v>
      </c>
      <c r="B1462" s="3">
        <v>45716</v>
      </c>
      <c r="C1462" s="2" t="s">
        <v>22</v>
      </c>
      <c r="D1462" s="2" t="s">
        <v>23</v>
      </c>
      <c r="E1462" s="2" t="s">
        <v>17</v>
      </c>
      <c r="F1462" s="2" t="s">
        <v>24</v>
      </c>
      <c r="G1462" s="2" t="s">
        <v>70</v>
      </c>
      <c r="H1462" s="4">
        <v>2</v>
      </c>
      <c r="I1462" s="5">
        <v>96101.95</v>
      </c>
      <c r="J1462" s="6">
        <v>0.05</v>
      </c>
      <c r="K1462" s="5">
        <v>182593.7</v>
      </c>
      <c r="L1462" s="5">
        <v>141108.17000000001</v>
      </c>
      <c r="M1462" s="5">
        <v>41485.53</v>
      </c>
      <c r="N1462" s="2" t="s">
        <v>59</v>
      </c>
    </row>
    <row r="1463" spans="1:14" ht="12" customHeight="1">
      <c r="A1463" s="2" t="s">
        <v>1571</v>
      </c>
      <c r="B1463" s="3">
        <v>45840</v>
      </c>
      <c r="C1463" s="2" t="s">
        <v>22</v>
      </c>
      <c r="D1463" s="2" t="s">
        <v>37</v>
      </c>
      <c r="E1463" s="2" t="s">
        <v>49</v>
      </c>
      <c r="F1463" s="2" t="s">
        <v>91</v>
      </c>
      <c r="G1463" s="2" t="s">
        <v>19</v>
      </c>
      <c r="H1463" s="4">
        <v>8</v>
      </c>
      <c r="I1463" s="5">
        <v>6674.72</v>
      </c>
      <c r="J1463" s="6">
        <v>0.05</v>
      </c>
      <c r="K1463" s="5">
        <v>50727.87</v>
      </c>
      <c r="L1463" s="5">
        <v>29519.56</v>
      </c>
      <c r="M1463" s="5">
        <v>21208.31</v>
      </c>
      <c r="N1463" s="2" t="s">
        <v>59</v>
      </c>
    </row>
    <row r="1464" spans="1:14" ht="12" customHeight="1">
      <c r="A1464" s="2" t="s">
        <v>1572</v>
      </c>
      <c r="B1464" s="3">
        <v>45702</v>
      </c>
      <c r="C1464" s="2" t="s">
        <v>22</v>
      </c>
      <c r="D1464" s="2"/>
      <c r="E1464" s="2" t="s">
        <v>44</v>
      </c>
      <c r="F1464" s="2" t="s">
        <v>69</v>
      </c>
      <c r="G1464" s="2" t="s">
        <v>19</v>
      </c>
      <c r="H1464" s="4">
        <v>1</v>
      </c>
      <c r="I1464" s="5">
        <v>40498.39</v>
      </c>
      <c r="J1464" s="6">
        <v>0.1</v>
      </c>
      <c r="K1464" s="5">
        <v>36448.550000000003</v>
      </c>
      <c r="L1464" s="5">
        <v>26683.96</v>
      </c>
      <c r="M1464" s="5">
        <v>9764.59</v>
      </c>
      <c r="N1464" s="2" t="s">
        <v>26</v>
      </c>
    </row>
    <row r="1465" spans="1:14" ht="12" customHeight="1">
      <c r="A1465" s="2" t="s">
        <v>1573</v>
      </c>
      <c r="B1465" s="3">
        <v>45832</v>
      </c>
      <c r="C1465" s="2" t="s">
        <v>22</v>
      </c>
      <c r="D1465" s="2" t="s">
        <v>35</v>
      </c>
      <c r="E1465" s="2" t="s">
        <v>44</v>
      </c>
      <c r="F1465" s="2" t="s">
        <v>45</v>
      </c>
      <c r="G1465" s="2" t="s">
        <v>25</v>
      </c>
      <c r="H1465" s="4">
        <v>8</v>
      </c>
      <c r="I1465" s="5">
        <v>30739.48</v>
      </c>
      <c r="J1465" s="6">
        <v>0.15</v>
      </c>
      <c r="K1465" s="5">
        <v>209028.46</v>
      </c>
      <c r="L1465" s="5">
        <v>151178.71</v>
      </c>
      <c r="M1465" s="5">
        <v>57849.75</v>
      </c>
      <c r="N1465" s="2" t="s">
        <v>20</v>
      </c>
    </row>
    <row r="1466" spans="1:14" ht="12" customHeight="1">
      <c r="A1466" s="2" t="s">
        <v>1574</v>
      </c>
      <c r="B1466" s="3">
        <v>45958</v>
      </c>
      <c r="C1466" s="2" t="s">
        <v>22</v>
      </c>
      <c r="D1466" s="2" t="s">
        <v>37</v>
      </c>
      <c r="E1466" s="2" t="s">
        <v>49</v>
      </c>
      <c r="F1466" s="2" t="s">
        <v>50</v>
      </c>
      <c r="G1466" s="2" t="s">
        <v>19</v>
      </c>
      <c r="H1466" s="4">
        <v>3</v>
      </c>
      <c r="I1466" s="5">
        <v>3991.78</v>
      </c>
      <c r="J1466" s="6">
        <v>0.15</v>
      </c>
      <c r="K1466" s="5">
        <v>10179.040000000001</v>
      </c>
      <c r="L1466" s="5">
        <v>6324.19</v>
      </c>
      <c r="M1466" s="5">
        <v>3854.85</v>
      </c>
      <c r="N1466" s="2" t="s">
        <v>26</v>
      </c>
    </row>
    <row r="1467" spans="1:14" ht="12" customHeight="1">
      <c r="A1467" s="2" t="s">
        <v>1575</v>
      </c>
      <c r="B1467" s="3">
        <v>45676</v>
      </c>
      <c r="C1467" s="2" t="s">
        <v>15</v>
      </c>
      <c r="D1467" s="2" t="s">
        <v>63</v>
      </c>
      <c r="E1467" s="2" t="s">
        <v>49</v>
      </c>
      <c r="F1467" s="2" t="s">
        <v>107</v>
      </c>
      <c r="G1467" s="2" t="s">
        <v>70</v>
      </c>
      <c r="H1467" s="4">
        <v>6</v>
      </c>
      <c r="I1467" s="5">
        <v>5318.58</v>
      </c>
      <c r="J1467" s="6">
        <v>0</v>
      </c>
      <c r="K1467" s="5">
        <v>31911.48</v>
      </c>
      <c r="L1467" s="5">
        <v>16734.57</v>
      </c>
      <c r="M1467" s="5">
        <v>15176.91</v>
      </c>
      <c r="N1467" s="2" t="s">
        <v>26</v>
      </c>
    </row>
    <row r="1468" spans="1:14" ht="12" customHeight="1">
      <c r="A1468" s="2" t="s">
        <v>1576</v>
      </c>
      <c r="B1468" s="3">
        <v>45661</v>
      </c>
      <c r="C1468" s="2" t="s">
        <v>22</v>
      </c>
      <c r="D1468" s="2" t="s">
        <v>37</v>
      </c>
      <c r="E1468" s="2" t="s">
        <v>30</v>
      </c>
      <c r="F1468" s="2" t="s">
        <v>31</v>
      </c>
      <c r="G1468" s="2" t="s">
        <v>32</v>
      </c>
      <c r="H1468" s="4">
        <v>6</v>
      </c>
      <c r="I1468" s="5">
        <v>138212.28</v>
      </c>
      <c r="J1468" s="6">
        <v>0.05</v>
      </c>
      <c r="K1468" s="5">
        <v>787810</v>
      </c>
      <c r="L1468" s="5">
        <v>619623.66</v>
      </c>
      <c r="M1468" s="5">
        <v>168186.34</v>
      </c>
      <c r="N1468" s="2" t="s">
        <v>20</v>
      </c>
    </row>
    <row r="1469" spans="1:14" ht="12" customHeight="1">
      <c r="A1469" s="2" t="s">
        <v>1577</v>
      </c>
      <c r="B1469" s="3">
        <v>45832</v>
      </c>
      <c r="C1469" s="2" t="s">
        <v>22</v>
      </c>
      <c r="D1469" s="2" t="s">
        <v>23</v>
      </c>
      <c r="E1469" s="2" t="s">
        <v>17</v>
      </c>
      <c r="F1469" s="2" t="s">
        <v>75</v>
      </c>
      <c r="G1469" s="2" t="s">
        <v>19</v>
      </c>
      <c r="H1469" s="4">
        <v>3</v>
      </c>
      <c r="I1469" s="5">
        <v>184213.52</v>
      </c>
      <c r="J1469" s="6">
        <v>0.1</v>
      </c>
      <c r="K1469" s="5">
        <v>497376.5</v>
      </c>
      <c r="L1469" s="5">
        <v>442924.77</v>
      </c>
      <c r="M1469" s="5">
        <v>54451.73</v>
      </c>
      <c r="N1469" s="2" t="s">
        <v>33</v>
      </c>
    </row>
    <row r="1470" spans="1:14" ht="12" customHeight="1">
      <c r="A1470" s="2" t="s">
        <v>1578</v>
      </c>
      <c r="B1470" s="3">
        <v>45811</v>
      </c>
      <c r="C1470" s="2" t="s">
        <v>15</v>
      </c>
      <c r="D1470" s="2" t="s">
        <v>63</v>
      </c>
      <c r="E1470" s="2" t="s">
        <v>44</v>
      </c>
      <c r="F1470" s="2" t="s">
        <v>69</v>
      </c>
      <c r="G1470" s="2" t="s">
        <v>61</v>
      </c>
      <c r="H1470" s="4"/>
      <c r="I1470" s="5">
        <v>36744.18</v>
      </c>
      <c r="J1470" s="6">
        <v>0</v>
      </c>
      <c r="K1470" s="5">
        <v>257209.26</v>
      </c>
      <c r="L1470" s="5">
        <v>177239.59</v>
      </c>
      <c r="M1470" s="5">
        <v>79969.67</v>
      </c>
      <c r="N1470" s="2" t="s">
        <v>59</v>
      </c>
    </row>
    <row r="1471" spans="1:14" ht="12" customHeight="1">
      <c r="A1471" s="2" t="s">
        <v>1579</v>
      </c>
      <c r="B1471" s="3">
        <v>45913</v>
      </c>
      <c r="C1471" s="2" t="s">
        <v>28</v>
      </c>
      <c r="D1471" s="2" t="s">
        <v>52</v>
      </c>
      <c r="E1471" s="2" t="s">
        <v>30</v>
      </c>
      <c r="F1471" s="2" t="s">
        <v>38</v>
      </c>
      <c r="G1471" s="2" t="s">
        <v>58</v>
      </c>
      <c r="H1471" s="4">
        <v>7</v>
      </c>
      <c r="I1471" s="5">
        <v>29079.26</v>
      </c>
      <c r="J1471" s="6">
        <v>0.1</v>
      </c>
      <c r="K1471" s="5">
        <v>183199.34</v>
      </c>
      <c r="L1471" s="5">
        <v>125428.59</v>
      </c>
      <c r="M1471" s="5">
        <v>57770.75</v>
      </c>
      <c r="N1471" s="2" t="s">
        <v>59</v>
      </c>
    </row>
    <row r="1472" spans="1:14" ht="12" customHeight="1">
      <c r="A1472" s="2" t="s">
        <v>1580</v>
      </c>
      <c r="B1472" s="3">
        <v>45926</v>
      </c>
      <c r="C1472" s="2" t="s">
        <v>28</v>
      </c>
      <c r="D1472" s="2" t="s">
        <v>52</v>
      </c>
      <c r="E1472" s="2" t="s">
        <v>17</v>
      </c>
      <c r="F1472" s="2" t="s">
        <v>18</v>
      </c>
      <c r="G1472" s="2" t="s">
        <v>19</v>
      </c>
      <c r="H1472" s="4">
        <v>6</v>
      </c>
      <c r="I1472" s="5">
        <v>13768.68</v>
      </c>
      <c r="J1472" s="6">
        <v>0</v>
      </c>
      <c r="K1472" s="5">
        <v>82612.08</v>
      </c>
      <c r="L1472" s="5">
        <v>50718.57</v>
      </c>
      <c r="M1472" s="5">
        <v>31893.51</v>
      </c>
      <c r="N1472" s="2" t="s">
        <v>59</v>
      </c>
    </row>
    <row r="1473" spans="1:14" ht="12" customHeight="1">
      <c r="A1473" s="2" t="s">
        <v>1581</v>
      </c>
      <c r="B1473" s="3">
        <v>45956</v>
      </c>
      <c r="C1473" s="2" t="s">
        <v>22</v>
      </c>
      <c r="D1473" s="2" t="s">
        <v>23</v>
      </c>
      <c r="E1473" s="2" t="s">
        <v>30</v>
      </c>
      <c r="F1473" s="2" t="s">
        <v>38</v>
      </c>
      <c r="G1473" s="2" t="s">
        <v>19</v>
      </c>
      <c r="H1473" s="4">
        <v>6</v>
      </c>
      <c r="I1473" s="5">
        <v>28677.919999999998</v>
      </c>
      <c r="J1473" s="6">
        <v>0</v>
      </c>
      <c r="K1473" s="5">
        <v>172067.52</v>
      </c>
      <c r="L1473" s="5">
        <v>109117.67</v>
      </c>
      <c r="M1473" s="5">
        <v>62949.85</v>
      </c>
      <c r="N1473" s="2" t="s">
        <v>26</v>
      </c>
    </row>
    <row r="1474" spans="1:14" ht="12" customHeight="1">
      <c r="A1474" s="2" t="s">
        <v>1582</v>
      </c>
      <c r="B1474" s="3">
        <v>45864</v>
      </c>
      <c r="C1474" s="2" t="s">
        <v>22</v>
      </c>
      <c r="D1474" s="2" t="s">
        <v>35</v>
      </c>
      <c r="E1474" s="2" t="s">
        <v>30</v>
      </c>
      <c r="F1474" s="2" t="s">
        <v>31</v>
      </c>
      <c r="G1474" s="2" t="s">
        <v>64</v>
      </c>
      <c r="H1474" s="4">
        <v>5</v>
      </c>
      <c r="I1474" s="5">
        <v>143776.5</v>
      </c>
      <c r="J1474" s="6">
        <v>0.15</v>
      </c>
      <c r="K1474" s="5">
        <v>611050.12</v>
      </c>
      <c r="L1474" s="5">
        <v>500368.25</v>
      </c>
      <c r="M1474" s="5">
        <v>110681.87</v>
      </c>
      <c r="N1474" s="2" t="s">
        <v>59</v>
      </c>
    </row>
    <row r="1475" spans="1:14" ht="12" customHeight="1">
      <c r="A1475" s="2" t="s">
        <v>1583</v>
      </c>
      <c r="B1475" s="3">
        <v>45959</v>
      </c>
      <c r="C1475" s="2" t="s">
        <v>28</v>
      </c>
      <c r="D1475" s="2" t="s">
        <v>52</v>
      </c>
      <c r="E1475" s="2" t="s">
        <v>30</v>
      </c>
      <c r="F1475" s="2" t="s">
        <v>38</v>
      </c>
      <c r="G1475" s="2" t="s">
        <v>64</v>
      </c>
      <c r="H1475" s="4">
        <v>1</v>
      </c>
      <c r="I1475" s="5">
        <v>25431.37</v>
      </c>
      <c r="J1475" s="6">
        <v>0</v>
      </c>
      <c r="K1475" s="5">
        <v>25431.37</v>
      </c>
      <c r="L1475" s="5">
        <v>18655.72</v>
      </c>
      <c r="M1475" s="5">
        <v>6775.65</v>
      </c>
      <c r="N1475" s="2" t="s">
        <v>33</v>
      </c>
    </row>
    <row r="1476" spans="1:14" ht="12" customHeight="1">
      <c r="A1476" s="2" t="s">
        <v>1584</v>
      </c>
      <c r="B1476" s="3">
        <v>45945</v>
      </c>
      <c r="C1476" s="2" t="s">
        <v>28</v>
      </c>
      <c r="D1476" s="2" t="s">
        <v>52</v>
      </c>
      <c r="E1476" s="2" t="s">
        <v>49</v>
      </c>
      <c r="F1476" s="2" t="s">
        <v>57</v>
      </c>
      <c r="G1476" s="2" t="s">
        <v>47</v>
      </c>
      <c r="H1476" s="4">
        <v>7</v>
      </c>
      <c r="I1476" s="5">
        <v>11577.21</v>
      </c>
      <c r="J1476" s="6">
        <v>0.05</v>
      </c>
      <c r="K1476" s="5">
        <v>76988.45</v>
      </c>
      <c r="L1476" s="5">
        <v>44640.800000000003</v>
      </c>
      <c r="M1476" s="5">
        <v>32347.65</v>
      </c>
      <c r="N1476" s="2" t="s">
        <v>33</v>
      </c>
    </row>
    <row r="1477" spans="1:14" ht="12" customHeight="1">
      <c r="A1477" s="2" t="s">
        <v>1585</v>
      </c>
      <c r="B1477" s="3">
        <v>45744</v>
      </c>
      <c r="C1477" s="2" t="s">
        <v>28</v>
      </c>
      <c r="D1477" s="2" t="s">
        <v>52</v>
      </c>
      <c r="E1477" s="2" t="s">
        <v>44</v>
      </c>
      <c r="F1477" s="2" t="s">
        <v>80</v>
      </c>
      <c r="G1477" s="2" t="s">
        <v>47</v>
      </c>
      <c r="H1477" s="4">
        <v>1</v>
      </c>
      <c r="I1477" s="5">
        <v>42795.77</v>
      </c>
      <c r="J1477" s="6">
        <v>0.15</v>
      </c>
      <c r="K1477" s="5">
        <v>36376.400000000001</v>
      </c>
      <c r="L1477" s="5">
        <v>31606.71</v>
      </c>
      <c r="M1477" s="5">
        <v>4769.6899999999996</v>
      </c>
      <c r="N1477" s="2" t="s">
        <v>20</v>
      </c>
    </row>
    <row r="1478" spans="1:14" ht="12" customHeight="1">
      <c r="A1478" s="2" t="s">
        <v>1586</v>
      </c>
      <c r="B1478" s="3">
        <v>45971</v>
      </c>
      <c r="C1478" s="2" t="s">
        <v>22</v>
      </c>
      <c r="D1478" s="2" t="s">
        <v>37</v>
      </c>
      <c r="E1478" s="2" t="s">
        <v>30</v>
      </c>
      <c r="F1478" s="2" t="s">
        <v>86</v>
      </c>
      <c r="G1478" s="2" t="s">
        <v>25</v>
      </c>
      <c r="H1478" s="4">
        <v>8</v>
      </c>
      <c r="I1478" s="5">
        <v>33251.14</v>
      </c>
      <c r="J1478" s="6">
        <v>0</v>
      </c>
      <c r="K1478" s="5">
        <v>266009.12</v>
      </c>
      <c r="L1478" s="5">
        <v>180014.51</v>
      </c>
      <c r="M1478" s="5">
        <v>85994.61</v>
      </c>
      <c r="N1478" s="2" t="s">
        <v>26</v>
      </c>
    </row>
    <row r="1479" spans="1:14" ht="12" customHeight="1">
      <c r="A1479" s="2" t="s">
        <v>1587</v>
      </c>
      <c r="B1479" s="3">
        <v>45805</v>
      </c>
      <c r="C1479" s="2" t="s">
        <v>15</v>
      </c>
      <c r="D1479" s="2" t="s">
        <v>63</v>
      </c>
      <c r="E1479" s="2" t="s">
        <v>30</v>
      </c>
      <c r="F1479" s="2" t="s">
        <v>86</v>
      </c>
      <c r="G1479" s="2" t="s">
        <v>58</v>
      </c>
      <c r="H1479" s="4">
        <v>7</v>
      </c>
      <c r="I1479" s="5">
        <v>35501.25</v>
      </c>
      <c r="J1479" s="6">
        <v>0.05</v>
      </c>
      <c r="K1479" s="5">
        <v>236083.31</v>
      </c>
      <c r="L1479" s="5">
        <v>162815.98000000001</v>
      </c>
      <c r="M1479" s="5">
        <v>73267.33</v>
      </c>
      <c r="N1479" s="2" t="s">
        <v>26</v>
      </c>
    </row>
    <row r="1480" spans="1:14" ht="12" customHeight="1">
      <c r="A1480" s="2" t="s">
        <v>1588</v>
      </c>
      <c r="B1480" s="3">
        <v>45755</v>
      </c>
      <c r="C1480" s="2" t="s">
        <v>15</v>
      </c>
      <c r="D1480" s="2" t="s">
        <v>16</v>
      </c>
      <c r="E1480" s="2" t="s">
        <v>49</v>
      </c>
      <c r="F1480" s="2" t="s">
        <v>57</v>
      </c>
      <c r="G1480" s="2" t="s">
        <v>58</v>
      </c>
      <c r="H1480" s="4">
        <v>8</v>
      </c>
      <c r="I1480" s="5">
        <v>10582.67</v>
      </c>
      <c r="J1480" s="6">
        <v>0</v>
      </c>
      <c r="K1480" s="5">
        <v>84661.36</v>
      </c>
      <c r="L1480" s="5">
        <v>51916.18</v>
      </c>
      <c r="M1480" s="5">
        <v>32745.18</v>
      </c>
      <c r="N1480" s="2" t="s">
        <v>26</v>
      </c>
    </row>
    <row r="1481" spans="1:14" ht="12" customHeight="1">
      <c r="A1481" s="2" t="s">
        <v>1589</v>
      </c>
      <c r="B1481" s="3">
        <v>45681</v>
      </c>
      <c r="C1481" s="2" t="s">
        <v>15</v>
      </c>
      <c r="D1481" s="2" t="s">
        <v>16</v>
      </c>
      <c r="E1481" s="2" t="s">
        <v>17</v>
      </c>
      <c r="F1481" s="2" t="s">
        <v>24</v>
      </c>
      <c r="G1481" s="2" t="s">
        <v>19</v>
      </c>
      <c r="H1481" s="4">
        <v>3</v>
      </c>
      <c r="I1481" s="5">
        <v>95106.92</v>
      </c>
      <c r="J1481" s="6">
        <v>0.5</v>
      </c>
      <c r="K1481" s="5">
        <v>285320.76</v>
      </c>
      <c r="L1481" s="5">
        <v>212133.51</v>
      </c>
      <c r="M1481" s="5">
        <v>73187.25</v>
      </c>
      <c r="N1481" s="2" t="s">
        <v>20</v>
      </c>
    </row>
    <row r="1482" spans="1:14" ht="12" customHeight="1">
      <c r="A1482" s="2" t="s">
        <v>407</v>
      </c>
      <c r="B1482" s="3">
        <v>45675</v>
      </c>
      <c r="C1482" s="2" t="s">
        <v>28</v>
      </c>
      <c r="D1482" s="2" t="s">
        <v>29</v>
      </c>
      <c r="E1482" s="2" t="s">
        <v>49</v>
      </c>
      <c r="F1482" s="2" t="s">
        <v>107</v>
      </c>
      <c r="G1482" s="2" t="s">
        <v>61</v>
      </c>
      <c r="H1482" s="4">
        <v>4</v>
      </c>
      <c r="I1482" s="5">
        <v>5180.25</v>
      </c>
      <c r="J1482" s="6">
        <v>0</v>
      </c>
      <c r="K1482" s="5">
        <v>20721</v>
      </c>
      <c r="L1482" s="5">
        <v>10774.47</v>
      </c>
      <c r="M1482" s="5">
        <v>9946.5300000000007</v>
      </c>
      <c r="N1482" s="2" t="s">
        <v>33</v>
      </c>
    </row>
    <row r="1483" spans="1:14" ht="12" customHeight="1">
      <c r="A1483" s="2" t="s">
        <v>823</v>
      </c>
      <c r="B1483" s="3">
        <v>45813</v>
      </c>
      <c r="C1483" s="2" t="s">
        <v>28</v>
      </c>
      <c r="D1483" s="2" t="s">
        <v>29</v>
      </c>
      <c r="E1483" s="2" t="s">
        <v>30</v>
      </c>
      <c r="F1483" s="2" t="s">
        <v>31</v>
      </c>
      <c r="G1483" s="2" t="s">
        <v>58</v>
      </c>
      <c r="H1483" s="4">
        <v>3</v>
      </c>
      <c r="I1483" s="5">
        <v>126743.23</v>
      </c>
      <c r="J1483" s="6">
        <v>0.05</v>
      </c>
      <c r="K1483" s="5">
        <v>361218.21</v>
      </c>
      <c r="L1483" s="5">
        <v>314929.53999999998</v>
      </c>
      <c r="M1483" s="5">
        <v>46288.67</v>
      </c>
      <c r="N1483" s="2" t="s">
        <v>20</v>
      </c>
    </row>
    <row r="1484" spans="1:14" ht="12" customHeight="1">
      <c r="A1484" s="2" t="s">
        <v>862</v>
      </c>
      <c r="B1484" s="3">
        <v>46012</v>
      </c>
      <c r="C1484" s="2" t="s">
        <v>28</v>
      </c>
      <c r="D1484" s="2" t="s">
        <v>52</v>
      </c>
      <c r="E1484" s="2" t="s">
        <v>17</v>
      </c>
      <c r="F1484" s="2" t="s">
        <v>114</v>
      </c>
      <c r="G1484" s="2" t="s">
        <v>47</v>
      </c>
      <c r="H1484" s="4">
        <v>1</v>
      </c>
      <c r="I1484" s="5">
        <v>51966.14</v>
      </c>
      <c r="J1484" s="6">
        <v>0</v>
      </c>
      <c r="K1484" s="5">
        <v>51966.14</v>
      </c>
      <c r="L1484" s="5">
        <v>37037.050000000003</v>
      </c>
      <c r="M1484" s="5">
        <v>14929.09</v>
      </c>
      <c r="N1484" s="2" t="s">
        <v>20</v>
      </c>
    </row>
    <row r="1485" spans="1:14" ht="12" customHeight="1">
      <c r="A1485" s="2" t="s">
        <v>690</v>
      </c>
      <c r="B1485" s="3">
        <v>45678</v>
      </c>
      <c r="C1485" s="2" t="s">
        <v>15</v>
      </c>
      <c r="D1485" s="2" t="s">
        <v>63</v>
      </c>
      <c r="E1485" s="2" t="s">
        <v>17</v>
      </c>
      <c r="F1485" s="2" t="s">
        <v>18</v>
      </c>
      <c r="G1485" s="2" t="s">
        <v>32</v>
      </c>
      <c r="H1485" s="4">
        <v>1</v>
      </c>
      <c r="I1485" s="5">
        <v>13597.44</v>
      </c>
      <c r="J1485" s="6">
        <v>0.05</v>
      </c>
      <c r="K1485" s="5">
        <v>12917.57</v>
      </c>
      <c r="L1485" s="5">
        <v>8221.11</v>
      </c>
      <c r="M1485" s="5">
        <v>4696.46</v>
      </c>
      <c r="N1485" s="2" t="s">
        <v>59</v>
      </c>
    </row>
    <row r="1486" spans="1:14" ht="12" customHeight="1">
      <c r="A1486" s="2" t="s">
        <v>154</v>
      </c>
      <c r="B1486" s="3">
        <v>45793</v>
      </c>
      <c r="C1486" s="2" t="s">
        <v>15</v>
      </c>
      <c r="D1486" s="2" t="s">
        <v>63</v>
      </c>
      <c r="E1486" s="2" t="s">
        <v>17</v>
      </c>
      <c r="F1486" s="2" t="s">
        <v>24</v>
      </c>
      <c r="G1486" s="2" t="s">
        <v>32</v>
      </c>
      <c r="H1486" s="4">
        <v>7</v>
      </c>
      <c r="I1486" s="5">
        <v>97460.13</v>
      </c>
      <c r="J1486" s="6">
        <v>0</v>
      </c>
      <c r="K1486" s="5">
        <v>682220.91</v>
      </c>
      <c r="L1486" s="5">
        <v>464213.28</v>
      </c>
      <c r="M1486" s="5">
        <v>218007.63</v>
      </c>
      <c r="N1486" s="2" t="s">
        <v>155</v>
      </c>
    </row>
    <row r="1487" spans="1:14" ht="12" customHeight="1">
      <c r="A1487" s="2" t="s">
        <v>471</v>
      </c>
      <c r="B1487" s="3">
        <v>46000</v>
      </c>
      <c r="C1487" s="2" t="s">
        <v>28</v>
      </c>
      <c r="D1487" s="2" t="s">
        <v>56</v>
      </c>
      <c r="E1487" s="2" t="s">
        <v>30</v>
      </c>
      <c r="F1487" s="2" t="s">
        <v>86</v>
      </c>
      <c r="G1487" s="2" t="s">
        <v>32</v>
      </c>
      <c r="H1487" s="4">
        <v>8</v>
      </c>
      <c r="I1487" s="5">
        <v>35622.21</v>
      </c>
      <c r="J1487" s="6">
        <v>0.15</v>
      </c>
      <c r="K1487" s="5">
        <v>242231.03</v>
      </c>
      <c r="L1487" s="5">
        <v>174710.93</v>
      </c>
      <c r="M1487" s="5">
        <v>67520.100000000006</v>
      </c>
      <c r="N1487" s="2" t="s">
        <v>20</v>
      </c>
    </row>
    <row r="1488" spans="1:14" ht="12" customHeight="1">
      <c r="A1488" s="2" t="s">
        <v>924</v>
      </c>
      <c r="B1488" s="3">
        <v>45658</v>
      </c>
      <c r="C1488" s="2" t="s">
        <v>28</v>
      </c>
      <c r="D1488" s="2" t="s">
        <v>29</v>
      </c>
      <c r="E1488" s="2" t="s">
        <v>44</v>
      </c>
      <c r="F1488" s="2" t="s">
        <v>53</v>
      </c>
      <c r="G1488" s="2" t="s">
        <v>19</v>
      </c>
      <c r="H1488" s="4">
        <v>5</v>
      </c>
      <c r="I1488" s="5">
        <v>7828.73</v>
      </c>
      <c r="J1488" s="6">
        <v>0</v>
      </c>
      <c r="K1488" s="5">
        <v>39143.65</v>
      </c>
      <c r="L1488" s="5">
        <v>25165.11</v>
      </c>
      <c r="M1488" s="5">
        <v>13978.54</v>
      </c>
      <c r="N1488" s="2" t="s">
        <v>33</v>
      </c>
    </row>
    <row r="1489" spans="1:14" ht="12" customHeight="1">
      <c r="A1489" s="2" t="s">
        <v>559</v>
      </c>
      <c r="B1489" s="3">
        <v>45776</v>
      </c>
      <c r="C1489" s="2" t="s">
        <v>428</v>
      </c>
      <c r="D1489" s="2" t="s">
        <v>16</v>
      </c>
      <c r="E1489" s="2" t="s">
        <v>30</v>
      </c>
      <c r="F1489" s="2" t="s">
        <v>31</v>
      </c>
      <c r="G1489" s="2" t="s">
        <v>25</v>
      </c>
      <c r="H1489" s="4">
        <v>4</v>
      </c>
      <c r="I1489" s="5">
        <v>144948.67000000001</v>
      </c>
      <c r="J1489" s="6">
        <v>0</v>
      </c>
      <c r="K1489" s="5">
        <v>579794.68000000005</v>
      </c>
      <c r="L1489" s="5">
        <v>394742.65</v>
      </c>
      <c r="M1489" s="5">
        <v>185052.03</v>
      </c>
      <c r="N1489" s="2" t="s">
        <v>26</v>
      </c>
    </row>
    <row r="1490" spans="1:14" ht="12" customHeight="1">
      <c r="A1490" s="2" t="s">
        <v>1586</v>
      </c>
      <c r="B1490" s="3">
        <v>45971</v>
      </c>
      <c r="C1490" s="2" t="s">
        <v>22</v>
      </c>
      <c r="D1490" s="2" t="s">
        <v>37</v>
      </c>
      <c r="E1490" s="2" t="s">
        <v>30</v>
      </c>
      <c r="F1490" s="2" t="s">
        <v>86</v>
      </c>
      <c r="G1490" s="2" t="s">
        <v>25</v>
      </c>
      <c r="H1490" s="4">
        <v>8</v>
      </c>
      <c r="I1490" s="5">
        <v>33251.14</v>
      </c>
      <c r="J1490" s="6">
        <v>0</v>
      </c>
      <c r="K1490" s="5">
        <v>266009.12</v>
      </c>
      <c r="L1490" s="5">
        <v>180014.51</v>
      </c>
      <c r="M1490" s="5">
        <v>85994.61</v>
      </c>
      <c r="N1490" s="2" t="s">
        <v>26</v>
      </c>
    </row>
    <row r="1491" spans="1:14" ht="12" customHeight="1">
      <c r="A1491" s="2" t="s">
        <v>1493</v>
      </c>
      <c r="B1491" s="3">
        <v>45792</v>
      </c>
      <c r="C1491" s="2" t="s">
        <v>22</v>
      </c>
      <c r="D1491" s="2" t="s">
        <v>23</v>
      </c>
      <c r="E1491" s="2" t="s">
        <v>44</v>
      </c>
      <c r="F1491" s="2" t="s">
        <v>45</v>
      </c>
      <c r="G1491" s="2" t="s">
        <v>70</v>
      </c>
      <c r="H1491" s="4">
        <v>8</v>
      </c>
      <c r="I1491" s="5">
        <v>29228.97</v>
      </c>
      <c r="J1491" s="6">
        <v>0.1</v>
      </c>
      <c r="K1491" s="5">
        <v>210448.58</v>
      </c>
      <c r="L1491" s="5">
        <v>151412.09</v>
      </c>
      <c r="M1491" s="5">
        <v>59036.49</v>
      </c>
      <c r="N1491" s="2" t="s">
        <v>33</v>
      </c>
    </row>
    <row r="1492" spans="1:14" ht="12" customHeight="1">
      <c r="A1492" s="2" t="s">
        <v>852</v>
      </c>
      <c r="B1492" s="3">
        <v>45832</v>
      </c>
      <c r="C1492" s="2" t="s">
        <v>28</v>
      </c>
      <c r="D1492" s="2" t="s">
        <v>56</v>
      </c>
      <c r="E1492" s="2" t="s">
        <v>17</v>
      </c>
      <c r="F1492" s="2" t="s">
        <v>18</v>
      </c>
      <c r="G1492" s="2" t="s">
        <v>64</v>
      </c>
      <c r="H1492" s="4">
        <v>5</v>
      </c>
      <c r="I1492" s="5">
        <v>13913.4</v>
      </c>
      <c r="J1492" s="6">
        <v>0.05</v>
      </c>
      <c r="K1492" s="5">
        <v>66088.649999999994</v>
      </c>
      <c r="L1492" s="5">
        <v>40454.089999999997</v>
      </c>
      <c r="M1492" s="5">
        <v>25634.560000000001</v>
      </c>
      <c r="N1492" s="2" t="s">
        <v>59</v>
      </c>
    </row>
    <row r="1493" spans="1:14" ht="12" customHeight="1">
      <c r="A1493" s="2" t="s">
        <v>793</v>
      </c>
      <c r="B1493" s="3">
        <v>46012</v>
      </c>
      <c r="C1493" s="2" t="s">
        <v>15</v>
      </c>
      <c r="D1493" s="2" t="s">
        <v>16</v>
      </c>
      <c r="E1493" s="2" t="s">
        <v>17</v>
      </c>
      <c r="F1493" s="2" t="s">
        <v>114</v>
      </c>
      <c r="G1493" s="2" t="s">
        <v>25</v>
      </c>
      <c r="H1493" s="4">
        <v>2</v>
      </c>
      <c r="I1493" s="5">
        <v>47950.69</v>
      </c>
      <c r="J1493" s="6">
        <v>0.15</v>
      </c>
      <c r="K1493" s="5">
        <v>81516.17</v>
      </c>
      <c r="L1493" s="5">
        <v>73248.08</v>
      </c>
      <c r="M1493" s="5">
        <v>8268.09</v>
      </c>
      <c r="N1493" s="2" t="s">
        <v>20</v>
      </c>
    </row>
    <row r="1494" spans="1:14" ht="12" customHeight="1">
      <c r="A1494" s="2" t="s">
        <v>1220</v>
      </c>
      <c r="B1494" s="3">
        <v>45698</v>
      </c>
      <c r="C1494" s="2" t="s">
        <v>15</v>
      </c>
      <c r="D1494" s="2" t="s">
        <v>63</v>
      </c>
      <c r="E1494" s="2" t="s">
        <v>49</v>
      </c>
      <c r="F1494" s="2" t="s">
        <v>107</v>
      </c>
      <c r="G1494" s="2" t="s">
        <v>47</v>
      </c>
      <c r="H1494" s="4">
        <v>8</v>
      </c>
      <c r="I1494" s="5">
        <v>5079.3500000000004</v>
      </c>
      <c r="J1494" s="6">
        <v>0.1</v>
      </c>
      <c r="K1494" s="5">
        <v>36571.32</v>
      </c>
      <c r="L1494" s="5">
        <v>21431.26</v>
      </c>
      <c r="M1494" s="5">
        <v>15140.06</v>
      </c>
      <c r="N1494" s="2" t="s">
        <v>26</v>
      </c>
    </row>
    <row r="1495" spans="1:14" ht="12" customHeight="1">
      <c r="A1495" s="2" t="s">
        <v>1509</v>
      </c>
      <c r="B1495" s="3">
        <v>45685</v>
      </c>
      <c r="C1495" s="2" t="s">
        <v>28</v>
      </c>
      <c r="D1495" s="2" t="s">
        <v>56</v>
      </c>
      <c r="E1495" s="2" t="s">
        <v>49</v>
      </c>
      <c r="F1495" s="2" t="s">
        <v>57</v>
      </c>
      <c r="G1495" s="2" t="s">
        <v>64</v>
      </c>
      <c r="H1495" s="4">
        <v>2</v>
      </c>
      <c r="I1495" s="5">
        <v>10837.1</v>
      </c>
      <c r="J1495" s="6">
        <v>0</v>
      </c>
      <c r="K1495" s="5">
        <v>21674.2</v>
      </c>
      <c r="L1495" s="5">
        <v>12938.81</v>
      </c>
      <c r="M1495" s="5">
        <v>8735.39</v>
      </c>
      <c r="N1495" s="2" t="s">
        <v>33</v>
      </c>
    </row>
    <row r="1496" spans="1:14" ht="12" customHeight="1">
      <c r="A1496" s="2" t="s">
        <v>696</v>
      </c>
      <c r="B1496" s="3">
        <v>45924</v>
      </c>
      <c r="C1496" s="2" t="s">
        <v>28</v>
      </c>
      <c r="D1496" s="2" t="s">
        <v>56</v>
      </c>
      <c r="E1496" s="2" t="s">
        <v>17</v>
      </c>
      <c r="F1496" s="2" t="s">
        <v>18</v>
      </c>
      <c r="G1496" s="2" t="s">
        <v>32</v>
      </c>
      <c r="H1496" s="4">
        <v>4</v>
      </c>
      <c r="I1496" s="5">
        <v>13486.04</v>
      </c>
      <c r="J1496" s="6">
        <v>0</v>
      </c>
      <c r="K1496" s="5">
        <v>53944.160000000003</v>
      </c>
      <c r="L1496" s="5">
        <v>33733.040000000001</v>
      </c>
      <c r="M1496" s="5">
        <v>20211.12</v>
      </c>
      <c r="N1496" s="2" t="s">
        <v>20</v>
      </c>
    </row>
    <row r="1497" spans="1:14" ht="12" customHeight="1">
      <c r="A1497" s="2" t="s">
        <v>481</v>
      </c>
      <c r="B1497" s="3">
        <v>45752</v>
      </c>
      <c r="C1497" s="2" t="s">
        <v>22</v>
      </c>
      <c r="D1497" s="2" t="s">
        <v>37</v>
      </c>
      <c r="E1497" s="2" t="s">
        <v>30</v>
      </c>
      <c r="F1497" s="2" t="s">
        <v>86</v>
      </c>
      <c r="G1497" s="2" t="s">
        <v>47</v>
      </c>
      <c r="H1497" s="4">
        <v>7</v>
      </c>
      <c r="I1497" s="5">
        <v>35141.72</v>
      </c>
      <c r="J1497" s="6">
        <v>0.1</v>
      </c>
      <c r="K1497" s="5">
        <v>221392.84</v>
      </c>
      <c r="L1497" s="5">
        <v>154345.57</v>
      </c>
      <c r="M1497" s="5">
        <v>67047.27</v>
      </c>
      <c r="N1497" s="2" t="s">
        <v>59</v>
      </c>
    </row>
    <row r="1498" spans="1:14" ht="12" customHeight="1">
      <c r="A1498" s="2" t="s">
        <v>108</v>
      </c>
      <c r="B1498" s="3">
        <v>45821</v>
      </c>
      <c r="C1498" s="2" t="s">
        <v>15</v>
      </c>
      <c r="D1498" s="2" t="s">
        <v>16</v>
      </c>
      <c r="E1498" s="2" t="s">
        <v>30</v>
      </c>
      <c r="F1498" s="2" t="s">
        <v>40</v>
      </c>
      <c r="G1498" s="2" t="s">
        <v>19</v>
      </c>
      <c r="H1498" s="4">
        <v>2</v>
      </c>
      <c r="I1498" s="5">
        <v>25337.1</v>
      </c>
      <c r="J1498" s="6">
        <v>0</v>
      </c>
      <c r="K1498" s="5">
        <v>50674.2</v>
      </c>
      <c r="L1498" s="5">
        <v>31253.03</v>
      </c>
      <c r="M1498" s="5">
        <v>19421.169999999998</v>
      </c>
      <c r="N1498" s="2" t="s">
        <v>26</v>
      </c>
    </row>
    <row r="1499" spans="1:14" ht="12" customHeight="1">
      <c r="A1499" s="2" t="s">
        <v>1479</v>
      </c>
      <c r="B1499" s="3">
        <v>45755</v>
      </c>
      <c r="C1499" s="2" t="s">
        <v>15</v>
      </c>
      <c r="D1499" s="2" t="s">
        <v>63</v>
      </c>
      <c r="E1499" s="2" t="s">
        <v>44</v>
      </c>
      <c r="F1499" s="2" t="s">
        <v>53</v>
      </c>
      <c r="G1499" s="2" t="s">
        <v>64</v>
      </c>
      <c r="H1499" s="4">
        <v>5</v>
      </c>
      <c r="I1499" s="5">
        <v>8942.32</v>
      </c>
      <c r="J1499" s="6">
        <v>0.1</v>
      </c>
      <c r="K1499" s="5">
        <v>40240.44</v>
      </c>
      <c r="L1499" s="5">
        <v>24859.599999999999</v>
      </c>
      <c r="M1499" s="5">
        <v>15380.84</v>
      </c>
      <c r="N1499" s="2" t="s">
        <v>33</v>
      </c>
    </row>
    <row r="1500" spans="1:14" ht="12" customHeight="1">
      <c r="A1500" s="2" t="s">
        <v>251</v>
      </c>
      <c r="B1500" s="3">
        <v>45864</v>
      </c>
      <c r="C1500" s="2" t="s">
        <v>15</v>
      </c>
      <c r="D1500" s="2" t="s">
        <v>16</v>
      </c>
      <c r="E1500" s="2" t="s">
        <v>17</v>
      </c>
      <c r="F1500" s="2" t="s">
        <v>114</v>
      </c>
      <c r="G1500" s="2" t="s">
        <v>32</v>
      </c>
      <c r="H1500" s="4">
        <v>3</v>
      </c>
      <c r="I1500" s="5">
        <v>55182.03</v>
      </c>
      <c r="J1500" s="6">
        <v>0.15</v>
      </c>
      <c r="K1500" s="5">
        <v>140714.18</v>
      </c>
      <c r="L1500" s="5">
        <v>109018.69</v>
      </c>
      <c r="M1500" s="5">
        <v>31695.49</v>
      </c>
      <c r="N1500" s="2" t="s">
        <v>33</v>
      </c>
    </row>
    <row r="1501" spans="1:14" ht="12" customHeight="1">
      <c r="A1501" s="2" t="s">
        <v>1061</v>
      </c>
      <c r="B1501" s="3">
        <v>45730</v>
      </c>
      <c r="C1501" s="2" t="s">
        <v>28</v>
      </c>
      <c r="D1501" s="2"/>
      <c r="E1501" s="2" t="s">
        <v>44</v>
      </c>
      <c r="F1501" s="2" t="s">
        <v>80</v>
      </c>
      <c r="G1501" s="2" t="s">
        <v>58</v>
      </c>
      <c r="H1501" s="4">
        <v>2</v>
      </c>
      <c r="I1501" s="5">
        <v>40323.21</v>
      </c>
      <c r="J1501" s="6">
        <v>0.1</v>
      </c>
      <c r="K1501" s="5">
        <v>72581.78</v>
      </c>
      <c r="L1501" s="5">
        <v>60672.45</v>
      </c>
      <c r="M1501" s="5">
        <v>11909.33</v>
      </c>
      <c r="N1501" s="2" t="s">
        <v>59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FADC7-054F-44E4-900F-83C7D3C8664E}">
  <dimension ref="A1:O1437"/>
  <sheetViews>
    <sheetView topLeftCell="A11" zoomScale="80" zoomScaleNormal="80" workbookViewId="0">
      <selection activeCell="C17" sqref="C17"/>
    </sheetView>
  </sheetViews>
  <sheetFormatPr defaultRowHeight="14"/>
  <cols>
    <col min="1" max="1" width="14.08203125" bestFit="1" customWidth="1"/>
    <col min="2" max="2" width="12.08203125" bestFit="1" customWidth="1"/>
    <col min="3" max="3" width="8.83203125" bestFit="1" customWidth="1"/>
    <col min="4" max="4" width="9.58203125" bestFit="1" customWidth="1"/>
    <col min="5" max="5" width="17.83203125" bestFit="1" customWidth="1"/>
    <col min="6" max="6" width="14.25" bestFit="1" customWidth="1"/>
    <col min="7" max="7" width="13.4140625" bestFit="1" customWidth="1"/>
    <col min="8" max="8" width="11.58203125" bestFit="1" customWidth="1"/>
    <col min="9" max="9" width="11.08203125" bestFit="1" customWidth="1"/>
    <col min="10" max="10" width="10.4140625" bestFit="1" customWidth="1"/>
    <col min="11" max="12" width="10.75" bestFit="1" customWidth="1"/>
    <col min="13" max="13" width="9.75" bestFit="1" customWidth="1"/>
    <col min="14" max="14" width="17.08203125" bestFit="1" customWidth="1"/>
    <col min="15" max="15" width="15.08203125" style="9" bestFit="1" customWidth="1"/>
  </cols>
  <sheetData>
    <row r="1" spans="1:15">
      <c r="A1" t="s">
        <v>0</v>
      </c>
      <c r="B1" t="s">
        <v>1</v>
      </c>
      <c r="C1" t="s">
        <v>2</v>
      </c>
      <c r="D1" t="s">
        <v>3</v>
      </c>
      <c r="E1" t="s">
        <v>4</v>
      </c>
      <c r="F1" t="s">
        <v>5</v>
      </c>
      <c r="G1" t="s">
        <v>6</v>
      </c>
      <c r="H1" t="s">
        <v>7</v>
      </c>
      <c r="I1" t="s">
        <v>8</v>
      </c>
      <c r="J1" t="s">
        <v>9</v>
      </c>
      <c r="K1" t="s">
        <v>10</v>
      </c>
      <c r="L1" t="s">
        <v>11</v>
      </c>
      <c r="M1" t="s">
        <v>12</v>
      </c>
      <c r="N1" t="s">
        <v>13</v>
      </c>
      <c r="O1" s="9" t="s">
        <v>1591</v>
      </c>
    </row>
    <row r="2" spans="1:15">
      <c r="A2" s="7" t="s">
        <v>14</v>
      </c>
      <c r="B2" s="8">
        <v>45937</v>
      </c>
      <c r="C2" s="7" t="s">
        <v>15</v>
      </c>
      <c r="D2" s="7" t="s">
        <v>16</v>
      </c>
      <c r="E2" s="7" t="s">
        <v>17</v>
      </c>
      <c r="F2" s="7" t="s">
        <v>18</v>
      </c>
      <c r="G2" s="7" t="s">
        <v>19</v>
      </c>
      <c r="H2">
        <v>4</v>
      </c>
      <c r="I2">
        <v>13857.85</v>
      </c>
      <c r="J2">
        <v>0.15</v>
      </c>
      <c r="K2">
        <v>47116.69</v>
      </c>
      <c r="L2">
        <v>32051.33</v>
      </c>
      <c r="M2">
        <v>15065.36</v>
      </c>
      <c r="N2" s="7" t="s">
        <v>20</v>
      </c>
      <c r="O2" s="9">
        <f>IFERROR(RawSalesTable_[[#This Row],[Profit]]/RawSalesTable_[[#This Row],[Revenue]],0)</f>
        <v>0.31974572067774709</v>
      </c>
    </row>
    <row r="3" spans="1:15">
      <c r="A3" s="7" t="s">
        <v>21</v>
      </c>
      <c r="B3" s="8">
        <v>45990</v>
      </c>
      <c r="C3" s="7" t="s">
        <v>22</v>
      </c>
      <c r="D3" s="7" t="s">
        <v>23</v>
      </c>
      <c r="E3" s="7" t="s">
        <v>17</v>
      </c>
      <c r="F3" s="7" t="s">
        <v>24</v>
      </c>
      <c r="G3" s="7" t="s">
        <v>25</v>
      </c>
      <c r="H3">
        <v>4</v>
      </c>
      <c r="I3">
        <v>92078.83</v>
      </c>
      <c r="J3">
        <v>0</v>
      </c>
      <c r="K3">
        <v>368315.32</v>
      </c>
      <c r="L3">
        <v>274526.11</v>
      </c>
      <c r="M3">
        <v>93789.21</v>
      </c>
      <c r="N3" s="7" t="s">
        <v>26</v>
      </c>
      <c r="O3" s="9">
        <f>IFERROR(RawSalesTable_[[#This Row],[Profit]]/RawSalesTable_[[#This Row],[Revenue]],0)</f>
        <v>0.25464379271543741</v>
      </c>
    </row>
    <row r="4" spans="1:15">
      <c r="A4" s="7" t="s">
        <v>27</v>
      </c>
      <c r="B4" s="8">
        <v>45768</v>
      </c>
      <c r="C4" s="7" t="s">
        <v>28</v>
      </c>
      <c r="D4" s="7" t="s">
        <v>29</v>
      </c>
      <c r="E4" s="7" t="s">
        <v>30</v>
      </c>
      <c r="F4" s="7" t="s">
        <v>31</v>
      </c>
      <c r="G4" s="7" t="s">
        <v>32</v>
      </c>
      <c r="H4">
        <v>3</v>
      </c>
      <c r="I4">
        <v>139279.81</v>
      </c>
      <c r="J4">
        <v>0.05</v>
      </c>
      <c r="K4">
        <v>396947.46</v>
      </c>
      <c r="L4">
        <v>299803.65000000002</v>
      </c>
      <c r="M4">
        <v>97143.81</v>
      </c>
      <c r="N4" s="7" t="s">
        <v>33</v>
      </c>
      <c r="O4" s="9">
        <f>IFERROR(RawSalesTable_[[#This Row],[Profit]]/RawSalesTable_[[#This Row],[Revenue]],0)</f>
        <v>0.24472712333264457</v>
      </c>
    </row>
    <row r="5" spans="1:15">
      <c r="A5" s="7" t="s">
        <v>34</v>
      </c>
      <c r="B5" s="8">
        <v>45932</v>
      </c>
      <c r="C5" s="7" t="s">
        <v>22</v>
      </c>
      <c r="D5" s="7" t="s">
        <v>35</v>
      </c>
      <c r="E5" s="7" t="s">
        <v>17</v>
      </c>
      <c r="F5" s="7" t="s">
        <v>18</v>
      </c>
      <c r="G5" s="7" t="s">
        <v>19</v>
      </c>
      <c r="H5">
        <v>6</v>
      </c>
      <c r="I5">
        <v>14740.64</v>
      </c>
      <c r="J5">
        <v>0</v>
      </c>
      <c r="K5">
        <v>88443.839999999997</v>
      </c>
      <c r="L5">
        <v>50237.2</v>
      </c>
      <c r="M5">
        <v>38206.639999999999</v>
      </c>
      <c r="N5" s="7" t="s">
        <v>20</v>
      </c>
      <c r="O5" s="9">
        <f>IFERROR(RawSalesTable_[[#This Row],[Profit]]/RawSalesTable_[[#This Row],[Revenue]],0)</f>
        <v>0.43198757539247506</v>
      </c>
    </row>
    <row r="6" spans="1:15">
      <c r="A6" s="7" t="s">
        <v>36</v>
      </c>
      <c r="B6" s="8">
        <v>45806</v>
      </c>
      <c r="C6" s="7" t="s">
        <v>22</v>
      </c>
      <c r="D6" s="7" t="s">
        <v>37</v>
      </c>
      <c r="E6" s="7" t="s">
        <v>30</v>
      </c>
      <c r="F6" s="7" t="s">
        <v>38</v>
      </c>
      <c r="G6" s="7" t="s">
        <v>19</v>
      </c>
      <c r="H6">
        <v>4</v>
      </c>
      <c r="I6">
        <v>27883.75</v>
      </c>
      <c r="J6">
        <v>0</v>
      </c>
      <c r="K6">
        <v>111535</v>
      </c>
      <c r="L6">
        <v>73172.77</v>
      </c>
      <c r="M6">
        <v>38362.230000000003</v>
      </c>
      <c r="N6" s="7" t="s">
        <v>26</v>
      </c>
      <c r="O6" s="9">
        <f>IFERROR(RawSalesTable_[[#This Row],[Profit]]/RawSalesTable_[[#This Row],[Revenue]],0)</f>
        <v>0.34394790872820191</v>
      </c>
    </row>
    <row r="7" spans="1:15">
      <c r="A7" s="7" t="s">
        <v>39</v>
      </c>
      <c r="B7" s="8">
        <v>45794</v>
      </c>
      <c r="C7" s="7" t="s">
        <v>22</v>
      </c>
      <c r="D7" s="7" t="s">
        <v>35</v>
      </c>
      <c r="E7" s="7" t="s">
        <v>30</v>
      </c>
      <c r="F7" s="7" t="s">
        <v>40</v>
      </c>
      <c r="G7" s="7" t="s">
        <v>19</v>
      </c>
      <c r="H7">
        <v>6</v>
      </c>
      <c r="I7">
        <v>23177.599999999999</v>
      </c>
      <c r="J7">
        <v>0.05</v>
      </c>
      <c r="K7">
        <v>132112.32000000001</v>
      </c>
      <c r="L7">
        <v>93346.29</v>
      </c>
      <c r="M7">
        <v>38766.03</v>
      </c>
      <c r="N7" s="7" t="s">
        <v>26</v>
      </c>
      <c r="O7" s="9">
        <f>IFERROR(RawSalesTable_[[#This Row],[Profit]]/RawSalesTable_[[#This Row],[Revenue]],0)</f>
        <v>0.29343236119084121</v>
      </c>
    </row>
    <row r="8" spans="1:15">
      <c r="A8" s="7" t="s">
        <v>42</v>
      </c>
      <c r="B8" s="8">
        <v>45770</v>
      </c>
      <c r="C8" s="7" t="s">
        <v>15</v>
      </c>
      <c r="D8" s="7" t="s">
        <v>43</v>
      </c>
      <c r="E8" s="7" t="s">
        <v>44</v>
      </c>
      <c r="F8" s="7" t="s">
        <v>45</v>
      </c>
      <c r="G8" s="7" t="s">
        <v>32</v>
      </c>
      <c r="H8">
        <v>8</v>
      </c>
      <c r="I8">
        <v>27950.32</v>
      </c>
      <c r="J8">
        <v>0.15</v>
      </c>
      <c r="K8">
        <v>190062.18</v>
      </c>
      <c r="L8">
        <v>154762.04</v>
      </c>
      <c r="M8">
        <v>35300.14</v>
      </c>
      <c r="N8" s="7" t="s">
        <v>33</v>
      </c>
      <c r="O8" s="9">
        <f>IFERROR(RawSalesTable_[[#This Row],[Profit]]/RawSalesTable_[[#This Row],[Revenue]],0)</f>
        <v>0.18572942812715293</v>
      </c>
    </row>
    <row r="9" spans="1:15">
      <c r="A9" s="7" t="s">
        <v>46</v>
      </c>
      <c r="B9" s="8">
        <v>45819</v>
      </c>
      <c r="C9" s="7" t="s">
        <v>22</v>
      </c>
      <c r="D9" s="7" t="s">
        <v>23</v>
      </c>
      <c r="E9" s="7" t="s">
        <v>30</v>
      </c>
      <c r="F9" s="7" t="s">
        <v>40</v>
      </c>
      <c r="G9" s="7" t="s">
        <v>47</v>
      </c>
      <c r="H9">
        <v>5</v>
      </c>
      <c r="I9">
        <v>22799.46</v>
      </c>
      <c r="J9">
        <v>0.1</v>
      </c>
      <c r="K9">
        <v>102597.57</v>
      </c>
      <c r="L9">
        <v>81476.31</v>
      </c>
      <c r="M9">
        <v>21121.26</v>
      </c>
      <c r="N9" s="7" t="s">
        <v>20</v>
      </c>
      <c r="O9" s="9">
        <f>IFERROR(RawSalesTable_[[#This Row],[Profit]]/RawSalesTable_[[#This Row],[Revenue]],0)</f>
        <v>0.20586510967072608</v>
      </c>
    </row>
    <row r="10" spans="1:15">
      <c r="A10" s="7" t="s">
        <v>48</v>
      </c>
      <c r="B10" s="8">
        <v>45792</v>
      </c>
      <c r="C10" s="7" t="s">
        <v>28</v>
      </c>
      <c r="D10" s="7" t="s">
        <v>29</v>
      </c>
      <c r="E10" s="7" t="s">
        <v>49</v>
      </c>
      <c r="F10" s="7" t="s">
        <v>1590</v>
      </c>
      <c r="G10" s="7" t="s">
        <v>25</v>
      </c>
      <c r="H10">
        <v>5</v>
      </c>
      <c r="I10">
        <v>3957.83</v>
      </c>
      <c r="J10">
        <v>0.15</v>
      </c>
      <c r="K10">
        <v>16820.78</v>
      </c>
      <c r="L10">
        <v>10597.61</v>
      </c>
      <c r="M10">
        <v>6223.17</v>
      </c>
      <c r="N10" s="7" t="s">
        <v>20</v>
      </c>
      <c r="O10" s="9">
        <f>IFERROR(RawSalesTable_[[#This Row],[Profit]]/RawSalesTable_[[#This Row],[Revenue]],0)</f>
        <v>0.36996916908728372</v>
      </c>
    </row>
    <row r="11" spans="1:15">
      <c r="A11" s="7" t="s">
        <v>51</v>
      </c>
      <c r="B11" s="8">
        <v>45739</v>
      </c>
      <c r="C11" s="7" t="s">
        <v>28</v>
      </c>
      <c r="D11" s="7" t="s">
        <v>52</v>
      </c>
      <c r="E11" s="7" t="s">
        <v>44</v>
      </c>
      <c r="F11" s="7" t="s">
        <v>53</v>
      </c>
      <c r="G11" s="7" t="s">
        <v>25</v>
      </c>
      <c r="H11">
        <v>2</v>
      </c>
      <c r="I11">
        <v>8847.86</v>
      </c>
      <c r="J11">
        <v>0</v>
      </c>
      <c r="K11">
        <v>17695.72</v>
      </c>
      <c r="L11">
        <v>9610.85</v>
      </c>
      <c r="M11">
        <v>8084.87</v>
      </c>
      <c r="N11" s="7" t="s">
        <v>33</v>
      </c>
      <c r="O11" s="9">
        <f>IFERROR(RawSalesTable_[[#This Row],[Profit]]/RawSalesTable_[[#This Row],[Revenue]],0)</f>
        <v>0.45688279425759448</v>
      </c>
    </row>
    <row r="12" spans="1:15">
      <c r="A12" s="7" t="s">
        <v>54</v>
      </c>
      <c r="B12" s="8">
        <v>45698</v>
      </c>
      <c r="C12" s="7" t="s">
        <v>28</v>
      </c>
      <c r="D12" s="7" t="s">
        <v>56</v>
      </c>
      <c r="E12" s="7" t="s">
        <v>49</v>
      </c>
      <c r="F12" s="7" t="s">
        <v>57</v>
      </c>
      <c r="G12" s="7" t="s">
        <v>58</v>
      </c>
      <c r="H12">
        <v>1</v>
      </c>
      <c r="I12">
        <v>11831.72</v>
      </c>
      <c r="J12">
        <v>0</v>
      </c>
      <c r="K12">
        <v>11831.72</v>
      </c>
      <c r="L12">
        <v>6615.18</v>
      </c>
      <c r="M12">
        <v>5216.54</v>
      </c>
      <c r="N12" s="7" t="s">
        <v>59</v>
      </c>
      <c r="O12" s="9">
        <f>IFERROR(RawSalesTable_[[#This Row],[Profit]]/RawSalesTable_[[#This Row],[Revenue]],0)</f>
        <v>0.44089447688079164</v>
      </c>
    </row>
    <row r="13" spans="1:15">
      <c r="A13" s="7" t="s">
        <v>60</v>
      </c>
      <c r="B13" s="8">
        <v>45792</v>
      </c>
      <c r="C13" s="7" t="s">
        <v>22</v>
      </c>
      <c r="D13" s="7" t="s">
        <v>35</v>
      </c>
      <c r="E13" s="7" t="s">
        <v>49</v>
      </c>
      <c r="F13" s="7" t="s">
        <v>1590</v>
      </c>
      <c r="G13" s="7" t="s">
        <v>61</v>
      </c>
      <c r="H13">
        <v>8</v>
      </c>
      <c r="I13">
        <v>3866.18</v>
      </c>
      <c r="J13">
        <v>0.15</v>
      </c>
      <c r="K13">
        <v>26290.02</v>
      </c>
      <c r="L13">
        <v>17326</v>
      </c>
      <c r="M13">
        <v>8964.02</v>
      </c>
      <c r="N13" s="7" t="s">
        <v>33</v>
      </c>
      <c r="O13" s="9">
        <f>IFERROR(RawSalesTable_[[#This Row],[Profit]]/RawSalesTable_[[#This Row],[Revenue]],0)</f>
        <v>0.34096664818056432</v>
      </c>
    </row>
    <row r="14" spans="1:15">
      <c r="A14" s="7" t="s">
        <v>62</v>
      </c>
      <c r="B14" s="8">
        <v>45929</v>
      </c>
      <c r="C14" s="7" t="s">
        <v>15</v>
      </c>
      <c r="D14" s="7" t="s">
        <v>63</v>
      </c>
      <c r="E14" s="7" t="s">
        <v>44</v>
      </c>
      <c r="F14" s="7" t="s">
        <v>45</v>
      </c>
      <c r="G14" s="7" t="s">
        <v>64</v>
      </c>
      <c r="H14">
        <v>6</v>
      </c>
      <c r="I14">
        <v>29697.05</v>
      </c>
      <c r="J14">
        <v>0.1</v>
      </c>
      <c r="K14">
        <v>160364.07</v>
      </c>
      <c r="L14">
        <v>118188.93</v>
      </c>
      <c r="M14">
        <v>42175.14</v>
      </c>
      <c r="N14" s="7" t="s">
        <v>59</v>
      </c>
      <c r="O14" s="9">
        <f>IFERROR(RawSalesTable_[[#This Row],[Profit]]/RawSalesTable_[[#This Row],[Revenue]],0)</f>
        <v>0.26299619359872817</v>
      </c>
    </row>
    <row r="15" spans="1:15">
      <c r="A15" s="7" t="s">
        <v>65</v>
      </c>
      <c r="B15" s="8">
        <v>45698</v>
      </c>
      <c r="C15" s="7" t="s">
        <v>28</v>
      </c>
      <c r="D15" s="7" t="s">
        <v>52</v>
      </c>
      <c r="E15" s="7" t="s">
        <v>17</v>
      </c>
      <c r="F15" s="7" t="s">
        <v>18</v>
      </c>
      <c r="G15" s="7" t="s">
        <v>19</v>
      </c>
      <c r="H15">
        <v>5</v>
      </c>
      <c r="I15">
        <v>13895.53</v>
      </c>
      <c r="J15">
        <v>0</v>
      </c>
      <c r="K15">
        <v>69477.649999999994</v>
      </c>
      <c r="L15">
        <v>42289.89</v>
      </c>
      <c r="M15">
        <v>27187.759999999998</v>
      </c>
      <c r="N15" s="7" t="s">
        <v>20</v>
      </c>
      <c r="O15" s="9">
        <f>IFERROR(RawSalesTable_[[#This Row],[Profit]]/RawSalesTable_[[#This Row],[Revenue]],0)</f>
        <v>0.39131663203922412</v>
      </c>
    </row>
    <row r="16" spans="1:15">
      <c r="A16" s="7" t="s">
        <v>66</v>
      </c>
      <c r="B16" s="8">
        <v>45968</v>
      </c>
      <c r="C16" s="7" t="s">
        <v>22</v>
      </c>
      <c r="D16" s="7" t="s">
        <v>37</v>
      </c>
      <c r="E16" s="7" t="s">
        <v>44</v>
      </c>
      <c r="F16" s="7" t="s">
        <v>45</v>
      </c>
      <c r="G16" s="7" t="s">
        <v>25</v>
      </c>
      <c r="H16">
        <v>8</v>
      </c>
      <c r="I16">
        <v>30537.63</v>
      </c>
      <c r="J16">
        <v>0</v>
      </c>
      <c r="K16">
        <v>244301.04</v>
      </c>
      <c r="L16">
        <v>150260.20000000001</v>
      </c>
      <c r="M16">
        <v>94040.84</v>
      </c>
      <c r="N16" s="7" t="s">
        <v>26</v>
      </c>
      <c r="O16" s="9">
        <f>IFERROR(RawSalesTable_[[#This Row],[Profit]]/RawSalesTable_[[#This Row],[Revenue]],0)</f>
        <v>0.3849383531072974</v>
      </c>
    </row>
    <row r="17" spans="1:15">
      <c r="A17" s="7" t="s">
        <v>67</v>
      </c>
      <c r="B17" s="8">
        <v>45922</v>
      </c>
      <c r="C17" s="7" t="s">
        <v>15</v>
      </c>
      <c r="D17" s="7" t="s">
        <v>43</v>
      </c>
      <c r="E17" s="7" t="s">
        <v>44</v>
      </c>
      <c r="F17" s="7" t="s">
        <v>69</v>
      </c>
      <c r="G17" s="7" t="s">
        <v>70</v>
      </c>
      <c r="H17">
        <v>7</v>
      </c>
      <c r="I17">
        <v>41010.51</v>
      </c>
      <c r="J17">
        <v>0.15</v>
      </c>
      <c r="K17">
        <v>244012.53</v>
      </c>
      <c r="L17">
        <v>181297.38</v>
      </c>
      <c r="M17">
        <v>62715.15</v>
      </c>
      <c r="N17" s="7" t="s">
        <v>33</v>
      </c>
      <c r="O17" s="9">
        <f>IFERROR(RawSalesTable_[[#This Row],[Profit]]/RawSalesTable_[[#This Row],[Revenue]],0)</f>
        <v>0.25701610486969667</v>
      </c>
    </row>
    <row r="18" spans="1:15">
      <c r="A18" s="7" t="s">
        <v>71</v>
      </c>
      <c r="B18" s="8">
        <v>45661</v>
      </c>
      <c r="C18" s="7" t="s">
        <v>22</v>
      </c>
      <c r="D18" s="7" t="s">
        <v>23</v>
      </c>
      <c r="E18" s="7" t="s">
        <v>17</v>
      </c>
      <c r="F18" s="7" t="s">
        <v>18</v>
      </c>
      <c r="G18" s="7" t="s">
        <v>19</v>
      </c>
      <c r="H18">
        <v>1</v>
      </c>
      <c r="I18">
        <v>14704.88</v>
      </c>
      <c r="J18">
        <v>0</v>
      </c>
      <c r="K18">
        <v>14704.88</v>
      </c>
      <c r="L18">
        <v>8291.76</v>
      </c>
      <c r="M18">
        <v>6413.12</v>
      </c>
      <c r="N18" s="7" t="s">
        <v>33</v>
      </c>
      <c r="O18" s="9">
        <f>IFERROR(RawSalesTable_[[#This Row],[Profit]]/RawSalesTable_[[#This Row],[Revenue]],0)</f>
        <v>0.43612188606775437</v>
      </c>
    </row>
    <row r="19" spans="1:15">
      <c r="A19" s="7" t="s">
        <v>72</v>
      </c>
      <c r="B19" s="8">
        <v>45767</v>
      </c>
      <c r="C19" s="7" t="s">
        <v>22</v>
      </c>
      <c r="D19" s="7" t="s">
        <v>23</v>
      </c>
      <c r="E19" s="7" t="s">
        <v>17</v>
      </c>
      <c r="F19" s="7" t="s">
        <v>18</v>
      </c>
      <c r="G19" s="7" t="s">
        <v>61</v>
      </c>
      <c r="H19">
        <v>2</v>
      </c>
      <c r="I19">
        <v>14532.84</v>
      </c>
      <c r="J19">
        <v>0.05</v>
      </c>
      <c r="K19">
        <v>27612.400000000001</v>
      </c>
      <c r="L19">
        <v>16675.990000000002</v>
      </c>
      <c r="M19">
        <v>10936.41</v>
      </c>
      <c r="N19" s="7" t="s">
        <v>20</v>
      </c>
      <c r="O19" s="9">
        <f>IFERROR(RawSalesTable_[[#This Row],[Profit]]/RawSalesTable_[[#This Row],[Revenue]],0)</f>
        <v>0.39606879517897753</v>
      </c>
    </row>
    <row r="20" spans="1:15">
      <c r="A20" s="7" t="s">
        <v>73</v>
      </c>
      <c r="B20" s="8">
        <v>45868</v>
      </c>
      <c r="C20" s="7" t="s">
        <v>22</v>
      </c>
      <c r="D20" s="7" t="s">
        <v>35</v>
      </c>
      <c r="E20" s="7" t="s">
        <v>49</v>
      </c>
      <c r="F20" s="7" t="s">
        <v>1590</v>
      </c>
      <c r="G20" s="7" t="s">
        <v>70</v>
      </c>
      <c r="H20">
        <v>2</v>
      </c>
      <c r="I20">
        <v>3929.14</v>
      </c>
      <c r="J20">
        <v>0.05</v>
      </c>
      <c r="K20">
        <v>7465.37</v>
      </c>
      <c r="L20">
        <v>4178.16</v>
      </c>
      <c r="M20">
        <v>3287.21</v>
      </c>
      <c r="N20" s="7" t="s">
        <v>33</v>
      </c>
      <c r="O20" s="9">
        <f>IFERROR(RawSalesTable_[[#This Row],[Profit]]/RawSalesTable_[[#This Row],[Revenue]],0)</f>
        <v>0.44032780692718515</v>
      </c>
    </row>
    <row r="21" spans="1:15">
      <c r="A21" s="7" t="s">
        <v>74</v>
      </c>
      <c r="B21" s="8">
        <v>45755</v>
      </c>
      <c r="C21" s="7" t="s">
        <v>15</v>
      </c>
      <c r="D21" s="7" t="s">
        <v>43</v>
      </c>
      <c r="E21" s="7" t="s">
        <v>17</v>
      </c>
      <c r="F21" s="7" t="s">
        <v>75</v>
      </c>
      <c r="G21" s="7" t="s">
        <v>70</v>
      </c>
      <c r="H21">
        <v>7</v>
      </c>
      <c r="I21">
        <v>191755.12</v>
      </c>
      <c r="J21">
        <v>0</v>
      </c>
      <c r="K21">
        <v>1342285.84</v>
      </c>
      <c r="L21">
        <v>981481.51</v>
      </c>
      <c r="M21">
        <v>360804.33</v>
      </c>
      <c r="N21" s="7" t="s">
        <v>26</v>
      </c>
      <c r="O21" s="9">
        <f>IFERROR(RawSalesTable_[[#This Row],[Profit]]/RawSalesTable_[[#This Row],[Revenue]],0)</f>
        <v>0.26879843267958486</v>
      </c>
    </row>
    <row r="22" spans="1:15">
      <c r="A22" s="7" t="s">
        <v>76</v>
      </c>
      <c r="B22" s="8">
        <v>45939</v>
      </c>
      <c r="C22" s="7" t="s">
        <v>28</v>
      </c>
      <c r="D22" s="7" t="s">
        <v>52</v>
      </c>
      <c r="E22" s="7" t="s">
        <v>30</v>
      </c>
      <c r="F22" s="7" t="s">
        <v>40</v>
      </c>
      <c r="G22" s="7" t="s">
        <v>19</v>
      </c>
      <c r="H22">
        <v>4</v>
      </c>
      <c r="I22">
        <v>25967.98</v>
      </c>
      <c r="J22">
        <v>0</v>
      </c>
      <c r="K22">
        <v>103871.92</v>
      </c>
      <c r="L22">
        <v>63264.41</v>
      </c>
      <c r="M22">
        <v>40607.51</v>
      </c>
      <c r="N22" s="7" t="s">
        <v>33</v>
      </c>
      <c r="O22" s="9">
        <f>IFERROR(RawSalesTable_[[#This Row],[Profit]]/RawSalesTable_[[#This Row],[Revenue]],0)</f>
        <v>0.39093828245400686</v>
      </c>
    </row>
    <row r="23" spans="1:15">
      <c r="A23" s="7" t="s">
        <v>77</v>
      </c>
      <c r="B23" s="8">
        <v>45863</v>
      </c>
      <c r="C23" s="7" t="s">
        <v>15</v>
      </c>
      <c r="D23" s="7" t="s">
        <v>43</v>
      </c>
      <c r="E23" s="7" t="s">
        <v>17</v>
      </c>
      <c r="F23" s="7" t="s">
        <v>75</v>
      </c>
      <c r="G23" s="7" t="s">
        <v>64</v>
      </c>
      <c r="H23">
        <v>4</v>
      </c>
      <c r="I23">
        <v>175122.81</v>
      </c>
      <c r="J23">
        <v>0.05</v>
      </c>
      <c r="K23">
        <v>665466.68000000005</v>
      </c>
      <c r="L23">
        <v>570098.81000000006</v>
      </c>
      <c r="M23">
        <v>95367.87</v>
      </c>
      <c r="N23" s="7" t="s">
        <v>26</v>
      </c>
      <c r="O23" s="9">
        <f>IFERROR(RawSalesTable_[[#This Row],[Profit]]/RawSalesTable_[[#This Row],[Revenue]],0)</f>
        <v>0.14330975970126708</v>
      </c>
    </row>
    <row r="24" spans="1:15">
      <c r="A24" s="7" t="s">
        <v>78</v>
      </c>
      <c r="B24" s="8">
        <v>45942</v>
      </c>
      <c r="C24" s="7" t="s">
        <v>28</v>
      </c>
      <c r="D24" s="7" t="s">
        <v>52</v>
      </c>
      <c r="E24" s="7" t="s">
        <v>49</v>
      </c>
      <c r="F24" s="7" t="s">
        <v>57</v>
      </c>
      <c r="G24" s="7" t="s">
        <v>70</v>
      </c>
      <c r="H24">
        <v>8</v>
      </c>
      <c r="I24">
        <v>11104.86</v>
      </c>
      <c r="J24">
        <v>0.15</v>
      </c>
      <c r="K24">
        <v>75513.05</v>
      </c>
      <c r="L24">
        <v>53924.639999999999</v>
      </c>
      <c r="M24">
        <v>21588.41</v>
      </c>
      <c r="N24" s="7" t="s">
        <v>26</v>
      </c>
      <c r="O24" s="9">
        <f>IFERROR(RawSalesTable_[[#This Row],[Profit]]/RawSalesTable_[[#This Row],[Revenue]],0)</f>
        <v>0.28588978991048564</v>
      </c>
    </row>
    <row r="25" spans="1:15">
      <c r="A25" s="7" t="s">
        <v>79</v>
      </c>
      <c r="B25" s="8">
        <v>45902</v>
      </c>
      <c r="C25" s="7" t="s">
        <v>22</v>
      </c>
      <c r="D25" s="7" t="s">
        <v>35</v>
      </c>
      <c r="E25" s="7" t="s">
        <v>44</v>
      </c>
      <c r="F25" s="7" t="s">
        <v>80</v>
      </c>
      <c r="G25" s="7" t="s">
        <v>61</v>
      </c>
      <c r="H25">
        <v>1</v>
      </c>
      <c r="I25">
        <v>44706.07</v>
      </c>
      <c r="J25">
        <v>0</v>
      </c>
      <c r="K25">
        <v>44706.07</v>
      </c>
      <c r="L25">
        <v>30178.81</v>
      </c>
      <c r="M25">
        <v>14527.26</v>
      </c>
      <c r="N25" s="7" t="s">
        <v>33</v>
      </c>
      <c r="O25" s="9">
        <f>IFERROR(RawSalesTable_[[#This Row],[Profit]]/RawSalesTable_[[#This Row],[Revenue]],0)</f>
        <v>0.3249505044840667</v>
      </c>
    </row>
    <row r="26" spans="1:15">
      <c r="A26" s="7" t="s">
        <v>82</v>
      </c>
      <c r="B26" s="8">
        <v>45949</v>
      </c>
      <c r="C26" s="7" t="s">
        <v>15</v>
      </c>
      <c r="D26" s="7" t="s">
        <v>16</v>
      </c>
      <c r="E26" s="7" t="s">
        <v>44</v>
      </c>
      <c r="F26" s="7" t="s">
        <v>80</v>
      </c>
      <c r="G26" s="7" t="s">
        <v>47</v>
      </c>
      <c r="H26">
        <v>2</v>
      </c>
      <c r="I26">
        <v>44205.46</v>
      </c>
      <c r="J26">
        <v>0</v>
      </c>
      <c r="K26">
        <v>88410.92</v>
      </c>
      <c r="L26">
        <v>61892.39</v>
      </c>
      <c r="M26">
        <v>26518.53</v>
      </c>
      <c r="N26" s="7" t="s">
        <v>33</v>
      </c>
      <c r="O26" s="9">
        <f>IFERROR(RawSalesTable_[[#This Row],[Profit]]/RawSalesTable_[[#This Row],[Revenue]],0)</f>
        <v>0.29994631884839562</v>
      </c>
    </row>
    <row r="27" spans="1:15">
      <c r="A27" s="7" t="s">
        <v>83</v>
      </c>
      <c r="B27" s="8">
        <v>45793</v>
      </c>
      <c r="C27" s="7" t="s">
        <v>15</v>
      </c>
      <c r="D27" s="7" t="s">
        <v>16</v>
      </c>
      <c r="E27" s="7" t="s">
        <v>49</v>
      </c>
      <c r="F27" s="7" t="s">
        <v>57</v>
      </c>
      <c r="G27" s="7" t="s">
        <v>25</v>
      </c>
      <c r="H27">
        <v>5</v>
      </c>
      <c r="I27">
        <v>10955.84</v>
      </c>
      <c r="J27">
        <v>0.15</v>
      </c>
      <c r="K27">
        <v>46562.32</v>
      </c>
      <c r="L27">
        <v>32239.77</v>
      </c>
      <c r="M27">
        <v>14322.55</v>
      </c>
      <c r="N27" s="7" t="s">
        <v>26</v>
      </c>
      <c r="O27" s="9">
        <f>IFERROR(RawSalesTable_[[#This Row],[Profit]]/RawSalesTable_[[#This Row],[Revenue]],0)</f>
        <v>0.30759957837152441</v>
      </c>
    </row>
    <row r="28" spans="1:15">
      <c r="A28" s="7" t="s">
        <v>84</v>
      </c>
      <c r="B28" s="8">
        <v>45976</v>
      </c>
      <c r="C28" s="7" t="s">
        <v>15</v>
      </c>
      <c r="D28" s="7" t="s">
        <v>43</v>
      </c>
      <c r="E28" s="7" t="s">
        <v>30</v>
      </c>
      <c r="F28" s="7" t="s">
        <v>40</v>
      </c>
      <c r="G28" s="7" t="s">
        <v>19</v>
      </c>
      <c r="H28">
        <v>6</v>
      </c>
      <c r="I28">
        <v>26181.75</v>
      </c>
      <c r="J28">
        <v>0</v>
      </c>
      <c r="K28">
        <v>157090.5</v>
      </c>
      <c r="L28">
        <v>92017.82</v>
      </c>
      <c r="M28">
        <v>65072.68</v>
      </c>
      <c r="N28" s="7" t="s">
        <v>33</v>
      </c>
      <c r="O28" s="9">
        <f>IFERROR(RawSalesTable_[[#This Row],[Profit]]/RawSalesTable_[[#This Row],[Revenue]],0)</f>
        <v>0.41423688892708344</v>
      </c>
    </row>
    <row r="29" spans="1:15">
      <c r="A29" s="7" t="s">
        <v>85</v>
      </c>
      <c r="B29" s="8">
        <v>45738</v>
      </c>
      <c r="C29" s="7" t="s">
        <v>15</v>
      </c>
      <c r="D29" s="7" t="s">
        <v>16</v>
      </c>
      <c r="E29" s="7" t="s">
        <v>30</v>
      </c>
      <c r="F29" s="7" t="s">
        <v>86</v>
      </c>
      <c r="G29" s="7" t="s">
        <v>70</v>
      </c>
      <c r="H29">
        <v>6</v>
      </c>
      <c r="I29">
        <v>35010.959999999999</v>
      </c>
      <c r="J29">
        <v>0</v>
      </c>
      <c r="K29">
        <v>210065.76</v>
      </c>
      <c r="L29">
        <v>134442.03</v>
      </c>
      <c r="M29">
        <v>75623.73</v>
      </c>
      <c r="N29" s="7" t="s">
        <v>59</v>
      </c>
      <c r="O29" s="9">
        <f>IFERROR(RawSalesTable_[[#This Row],[Profit]]/RawSalesTable_[[#This Row],[Revenue]],0)</f>
        <v>0.36000026848735361</v>
      </c>
    </row>
    <row r="30" spans="1:15">
      <c r="A30" s="7" t="s">
        <v>87</v>
      </c>
      <c r="B30" s="8">
        <v>45712</v>
      </c>
      <c r="C30" s="7" t="s">
        <v>15</v>
      </c>
      <c r="D30" s="7" t="s">
        <v>43</v>
      </c>
      <c r="E30" s="7" t="s">
        <v>17</v>
      </c>
      <c r="F30" s="7" t="s">
        <v>18</v>
      </c>
      <c r="G30" s="7" t="s">
        <v>61</v>
      </c>
      <c r="H30">
        <v>2</v>
      </c>
      <c r="I30">
        <v>15518.32</v>
      </c>
      <c r="J30">
        <v>0</v>
      </c>
      <c r="K30">
        <v>31036.639999999999</v>
      </c>
      <c r="L30">
        <v>16211.61</v>
      </c>
      <c r="M30">
        <v>14825.03</v>
      </c>
      <c r="N30" s="7" t="s">
        <v>59</v>
      </c>
      <c r="O30" s="9">
        <f>IFERROR(RawSalesTable_[[#This Row],[Profit]]/RawSalesTable_[[#This Row],[Revenue]],0)</f>
        <v>0.47766220828027778</v>
      </c>
    </row>
    <row r="31" spans="1:15">
      <c r="A31" s="7" t="s">
        <v>88</v>
      </c>
      <c r="B31" s="8">
        <v>45786</v>
      </c>
      <c r="C31" s="7" t="s">
        <v>28</v>
      </c>
      <c r="D31" s="7" t="s">
        <v>29</v>
      </c>
      <c r="E31" s="7" t="s">
        <v>44</v>
      </c>
      <c r="F31" s="7" t="s">
        <v>69</v>
      </c>
      <c r="G31" s="7" t="s">
        <v>64</v>
      </c>
      <c r="H31">
        <v>4</v>
      </c>
      <c r="I31">
        <v>39139.980000000003</v>
      </c>
      <c r="J31">
        <v>0.05</v>
      </c>
      <c r="K31">
        <v>148731.92000000001</v>
      </c>
      <c r="L31">
        <v>104559.38</v>
      </c>
      <c r="M31">
        <v>44172.54</v>
      </c>
      <c r="N31" s="7" t="s">
        <v>33</v>
      </c>
      <c r="O31" s="9">
        <f>IFERROR(RawSalesTable_[[#This Row],[Profit]]/RawSalesTable_[[#This Row],[Revenue]],0)</f>
        <v>0.29699435064107288</v>
      </c>
    </row>
    <row r="32" spans="1:15">
      <c r="A32" s="7" t="s">
        <v>89</v>
      </c>
      <c r="B32" s="8">
        <v>45792</v>
      </c>
      <c r="C32" s="7" t="s">
        <v>15</v>
      </c>
      <c r="D32" s="7" t="s">
        <v>63</v>
      </c>
      <c r="E32" s="7" t="s">
        <v>30</v>
      </c>
      <c r="F32" s="7" t="s">
        <v>31</v>
      </c>
      <c r="G32" s="7" t="s">
        <v>61</v>
      </c>
      <c r="H32">
        <v>1</v>
      </c>
      <c r="I32">
        <v>131404.82</v>
      </c>
      <c r="J32">
        <v>0</v>
      </c>
      <c r="K32">
        <v>131404.82</v>
      </c>
      <c r="L32">
        <v>102474.39</v>
      </c>
      <c r="M32">
        <v>28930.43</v>
      </c>
      <c r="N32" s="7" t="s">
        <v>20</v>
      </c>
      <c r="O32" s="9">
        <f>IFERROR(RawSalesTable_[[#This Row],[Profit]]/RawSalesTable_[[#This Row],[Revenue]],0)</f>
        <v>0.22016262417162474</v>
      </c>
    </row>
    <row r="33" spans="1:15">
      <c r="A33" s="7" t="s">
        <v>90</v>
      </c>
      <c r="B33" s="8">
        <v>45937</v>
      </c>
      <c r="C33" s="7" t="s">
        <v>15</v>
      </c>
      <c r="D33" s="7" t="s">
        <v>43</v>
      </c>
      <c r="E33" s="7" t="s">
        <v>49</v>
      </c>
      <c r="F33" s="7" t="s">
        <v>91</v>
      </c>
      <c r="G33" s="7" t="s">
        <v>64</v>
      </c>
      <c r="H33">
        <v>2</v>
      </c>
      <c r="I33">
        <v>6058.25</v>
      </c>
      <c r="J33">
        <v>0.15</v>
      </c>
      <c r="K33">
        <v>10299.02</v>
      </c>
      <c r="L33">
        <v>7439.58</v>
      </c>
      <c r="M33">
        <v>2859.44</v>
      </c>
      <c r="N33" s="7" t="s">
        <v>59</v>
      </c>
      <c r="O33" s="9">
        <f>IFERROR(RawSalesTable_[[#This Row],[Profit]]/RawSalesTable_[[#This Row],[Revenue]],0)</f>
        <v>0.27764195039916417</v>
      </c>
    </row>
    <row r="34" spans="1:15">
      <c r="A34" s="7" t="s">
        <v>92</v>
      </c>
      <c r="B34" s="8">
        <v>45678</v>
      </c>
      <c r="C34" s="7" t="s">
        <v>15</v>
      </c>
      <c r="D34" s="7" t="s">
        <v>43</v>
      </c>
      <c r="E34" s="7" t="s">
        <v>44</v>
      </c>
      <c r="F34" s="7" t="s">
        <v>53</v>
      </c>
      <c r="G34" s="7" t="s">
        <v>32</v>
      </c>
      <c r="H34">
        <v>3</v>
      </c>
      <c r="I34">
        <v>7876.89</v>
      </c>
      <c r="J34">
        <v>0.05</v>
      </c>
      <c r="K34">
        <v>22449.14</v>
      </c>
      <c r="L34">
        <v>15184.05</v>
      </c>
      <c r="M34">
        <v>7265.09</v>
      </c>
      <c r="N34" s="7" t="s">
        <v>26</v>
      </c>
      <c r="O34" s="9">
        <f>IFERROR(RawSalesTable_[[#This Row],[Profit]]/RawSalesTable_[[#This Row],[Revenue]],0)</f>
        <v>0.32362442392002544</v>
      </c>
    </row>
    <row r="35" spans="1:15">
      <c r="A35" s="7" t="s">
        <v>93</v>
      </c>
      <c r="B35" s="8">
        <v>45779</v>
      </c>
      <c r="C35" s="7" t="s">
        <v>15</v>
      </c>
      <c r="D35" s="7" t="s">
        <v>16</v>
      </c>
      <c r="E35" s="7" t="s">
        <v>17</v>
      </c>
      <c r="F35" s="7" t="s">
        <v>18</v>
      </c>
      <c r="G35" s="7" t="s">
        <v>61</v>
      </c>
      <c r="H35">
        <v>7</v>
      </c>
      <c r="I35">
        <v>15599.3</v>
      </c>
      <c r="J35">
        <v>0.15</v>
      </c>
      <c r="K35">
        <v>92815.83</v>
      </c>
      <c r="L35">
        <v>56299</v>
      </c>
      <c r="M35">
        <v>36516.83</v>
      </c>
      <c r="N35" s="7" t="s">
        <v>26</v>
      </c>
      <c r="O35" s="9">
        <f>IFERROR(RawSalesTable_[[#This Row],[Profit]]/RawSalesTable_[[#This Row],[Revenue]],0)</f>
        <v>0.39343321069261572</v>
      </c>
    </row>
    <row r="36" spans="1:15">
      <c r="A36" s="7" t="s">
        <v>95</v>
      </c>
      <c r="B36" s="8">
        <v>45774</v>
      </c>
      <c r="C36" s="7" t="s">
        <v>28</v>
      </c>
      <c r="D36" s="7" t="s">
        <v>52</v>
      </c>
      <c r="E36" s="7" t="s">
        <v>49</v>
      </c>
      <c r="F36" s="7" t="s">
        <v>1590</v>
      </c>
      <c r="G36" s="7" t="s">
        <v>47</v>
      </c>
      <c r="H36">
        <v>4</v>
      </c>
      <c r="I36">
        <v>4412.75</v>
      </c>
      <c r="J36">
        <v>0.05</v>
      </c>
      <c r="K36">
        <v>16768.45</v>
      </c>
      <c r="L36">
        <v>8353.6</v>
      </c>
      <c r="M36">
        <v>8414.85</v>
      </c>
      <c r="N36" s="7" t="s">
        <v>33</v>
      </c>
      <c r="O36" s="9">
        <f>IFERROR(RawSalesTable_[[#This Row],[Profit]]/RawSalesTable_[[#This Row],[Revenue]],0)</f>
        <v>0.50182634650191282</v>
      </c>
    </row>
    <row r="37" spans="1:15">
      <c r="A37" s="7" t="s">
        <v>96</v>
      </c>
      <c r="B37" s="8">
        <v>45918</v>
      </c>
      <c r="C37" s="7" t="s">
        <v>15</v>
      </c>
      <c r="D37" s="7" t="s">
        <v>16</v>
      </c>
      <c r="E37" s="7" t="s">
        <v>49</v>
      </c>
      <c r="F37" s="7" t="s">
        <v>57</v>
      </c>
      <c r="G37" s="7" t="s">
        <v>25</v>
      </c>
      <c r="H37">
        <v>5</v>
      </c>
      <c r="I37">
        <v>12170.41</v>
      </c>
      <c r="J37">
        <v>0.05</v>
      </c>
      <c r="K37">
        <v>57809.45</v>
      </c>
      <c r="L37">
        <v>32323.86</v>
      </c>
      <c r="M37">
        <v>25485.59</v>
      </c>
      <c r="N37" s="7" t="s">
        <v>59</v>
      </c>
      <c r="O37" s="9">
        <f>IFERROR(RawSalesTable_[[#This Row],[Profit]]/RawSalesTable_[[#This Row],[Revenue]],0)</f>
        <v>0.44085508511151728</v>
      </c>
    </row>
    <row r="38" spans="1:15">
      <c r="A38" s="7" t="s">
        <v>97</v>
      </c>
      <c r="B38" s="8">
        <v>45818</v>
      </c>
      <c r="C38" s="7" t="s">
        <v>22</v>
      </c>
      <c r="D38" s="7" t="s">
        <v>23</v>
      </c>
      <c r="E38" s="7" t="s">
        <v>30</v>
      </c>
      <c r="F38" s="7" t="s">
        <v>86</v>
      </c>
      <c r="G38" s="7" t="s">
        <v>25</v>
      </c>
      <c r="H38">
        <v>5</v>
      </c>
      <c r="I38">
        <v>30562</v>
      </c>
      <c r="J38">
        <v>0.1</v>
      </c>
      <c r="K38">
        <v>137529</v>
      </c>
      <c r="L38">
        <v>112547.19</v>
      </c>
      <c r="M38">
        <v>24981.81</v>
      </c>
      <c r="N38" s="7" t="s">
        <v>33</v>
      </c>
      <c r="O38" s="9">
        <f>IFERROR(RawSalesTable_[[#This Row],[Profit]]/RawSalesTable_[[#This Row],[Revenue]],0)</f>
        <v>0.181647579783173</v>
      </c>
    </row>
    <row r="39" spans="1:15">
      <c r="A39" s="7" t="s">
        <v>98</v>
      </c>
      <c r="B39" s="8">
        <v>45933</v>
      </c>
      <c r="C39" s="7" t="s">
        <v>28</v>
      </c>
      <c r="D39" s="7" t="s">
        <v>29</v>
      </c>
      <c r="E39" s="7" t="s">
        <v>44</v>
      </c>
      <c r="F39" s="7" t="s">
        <v>69</v>
      </c>
      <c r="G39" s="7" t="s">
        <v>47</v>
      </c>
      <c r="H39">
        <v>1</v>
      </c>
      <c r="I39">
        <v>39269.410000000003</v>
      </c>
      <c r="J39">
        <v>0</v>
      </c>
      <c r="K39">
        <v>39269.410000000003</v>
      </c>
      <c r="L39">
        <v>26166.26</v>
      </c>
      <c r="M39">
        <v>13103.15</v>
      </c>
      <c r="N39" s="7" t="s">
        <v>59</v>
      </c>
      <c r="O39" s="9">
        <f>IFERROR(RawSalesTable_[[#This Row],[Profit]]/RawSalesTable_[[#This Row],[Revenue]],0)</f>
        <v>0.3336732077207169</v>
      </c>
    </row>
    <row r="40" spans="1:15">
      <c r="A40" s="7" t="s">
        <v>99</v>
      </c>
      <c r="B40" s="8">
        <v>45999</v>
      </c>
      <c r="C40" s="7" t="s">
        <v>28</v>
      </c>
      <c r="D40" s="7" t="s">
        <v>52</v>
      </c>
      <c r="E40" s="7" t="s">
        <v>30</v>
      </c>
      <c r="F40" s="7" t="s">
        <v>38</v>
      </c>
      <c r="G40" s="7" t="s">
        <v>25</v>
      </c>
      <c r="H40">
        <v>2</v>
      </c>
      <c r="I40">
        <v>27949.34</v>
      </c>
      <c r="J40">
        <v>0.05</v>
      </c>
      <c r="K40">
        <v>53103.75</v>
      </c>
      <c r="L40">
        <v>36197.949999999997</v>
      </c>
      <c r="M40">
        <v>16905.8</v>
      </c>
      <c r="N40" s="7" t="s">
        <v>59</v>
      </c>
      <c r="O40" s="9">
        <f>IFERROR(RawSalesTable_[[#This Row],[Profit]]/RawSalesTable_[[#This Row],[Revenue]],0)</f>
        <v>0.31835416519548992</v>
      </c>
    </row>
    <row r="41" spans="1:15">
      <c r="A41" s="7" t="s">
        <v>100</v>
      </c>
      <c r="B41" s="8">
        <v>45747</v>
      </c>
      <c r="C41" s="7" t="s">
        <v>28</v>
      </c>
      <c r="D41" s="7" t="s">
        <v>29</v>
      </c>
      <c r="E41" s="7" t="s">
        <v>30</v>
      </c>
      <c r="F41" s="7" t="s">
        <v>86</v>
      </c>
      <c r="G41" s="7" t="s">
        <v>58</v>
      </c>
      <c r="H41">
        <v>4</v>
      </c>
      <c r="I41">
        <v>32579.96</v>
      </c>
      <c r="J41">
        <v>0.05</v>
      </c>
      <c r="K41">
        <v>123803.85</v>
      </c>
      <c r="L41">
        <v>91567.1</v>
      </c>
      <c r="M41">
        <v>32236.75</v>
      </c>
      <c r="N41" s="7" t="s">
        <v>20</v>
      </c>
      <c r="O41" s="9">
        <f>IFERROR(RawSalesTable_[[#This Row],[Profit]]/RawSalesTable_[[#This Row],[Revenue]],0)</f>
        <v>0.26038568267465023</v>
      </c>
    </row>
    <row r="42" spans="1:15">
      <c r="A42" s="7" t="s">
        <v>101</v>
      </c>
      <c r="B42" s="8">
        <v>45822</v>
      </c>
      <c r="C42" s="7" t="s">
        <v>15</v>
      </c>
      <c r="D42" s="7" t="s">
        <v>16</v>
      </c>
      <c r="E42" s="7" t="s">
        <v>30</v>
      </c>
      <c r="F42" s="7" t="s">
        <v>38</v>
      </c>
      <c r="G42" s="7" t="s">
        <v>70</v>
      </c>
      <c r="H42">
        <v>4</v>
      </c>
      <c r="I42">
        <v>26697.119999999999</v>
      </c>
      <c r="J42">
        <v>0.1</v>
      </c>
      <c r="K42">
        <v>96109.63</v>
      </c>
      <c r="L42">
        <v>72897.570000000007</v>
      </c>
      <c r="M42">
        <v>23212.06</v>
      </c>
      <c r="N42" s="7" t="s">
        <v>20</v>
      </c>
      <c r="O42" s="9">
        <f>IFERROR(RawSalesTable_[[#This Row],[Profit]]/RawSalesTable_[[#This Row],[Revenue]],0)</f>
        <v>0.24151648487253566</v>
      </c>
    </row>
    <row r="43" spans="1:15">
      <c r="A43" s="7" t="s">
        <v>103</v>
      </c>
      <c r="B43" s="8">
        <v>45901</v>
      </c>
      <c r="C43" s="7" t="s">
        <v>22</v>
      </c>
      <c r="D43" s="7" t="s">
        <v>37</v>
      </c>
      <c r="E43" s="7" t="s">
        <v>30</v>
      </c>
      <c r="F43" s="7" t="s">
        <v>86</v>
      </c>
      <c r="G43" s="7" t="s">
        <v>19</v>
      </c>
      <c r="H43">
        <v>4</v>
      </c>
      <c r="I43">
        <v>31138.03</v>
      </c>
      <c r="J43">
        <v>0</v>
      </c>
      <c r="K43">
        <v>124552.12</v>
      </c>
      <c r="L43">
        <v>88842.51</v>
      </c>
      <c r="M43">
        <v>35709.61</v>
      </c>
      <c r="N43" s="7" t="s">
        <v>20</v>
      </c>
      <c r="O43" s="9">
        <f>IFERROR(RawSalesTable_[[#This Row],[Profit]]/RawSalesTable_[[#This Row],[Revenue]],0)</f>
        <v>0.28670415244638148</v>
      </c>
    </row>
    <row r="44" spans="1:15">
      <c r="A44" s="7" t="s">
        <v>104</v>
      </c>
      <c r="B44" s="8">
        <v>45660</v>
      </c>
      <c r="C44" s="7" t="s">
        <v>28</v>
      </c>
      <c r="D44" s="7" t="s">
        <v>29</v>
      </c>
      <c r="E44" s="7" t="s">
        <v>44</v>
      </c>
      <c r="F44" s="7" t="s">
        <v>53</v>
      </c>
      <c r="G44" s="7" t="s">
        <v>19</v>
      </c>
      <c r="H44">
        <v>8</v>
      </c>
      <c r="I44">
        <v>8363.5300000000007</v>
      </c>
      <c r="J44">
        <v>0</v>
      </c>
      <c r="K44">
        <v>66908.240000000005</v>
      </c>
      <c r="L44">
        <v>39824.22</v>
      </c>
      <c r="M44">
        <v>27084.02</v>
      </c>
      <c r="N44" s="7" t="s">
        <v>20</v>
      </c>
      <c r="O44" s="9">
        <f>IFERROR(RawSalesTable_[[#This Row],[Profit]]/RawSalesTable_[[#This Row],[Revenue]],0)</f>
        <v>0.40479349030851802</v>
      </c>
    </row>
    <row r="45" spans="1:15">
      <c r="A45" s="7" t="s">
        <v>105</v>
      </c>
      <c r="B45" s="8">
        <v>45895</v>
      </c>
      <c r="C45" s="7" t="s">
        <v>22</v>
      </c>
      <c r="D45" s="7" t="s">
        <v>23</v>
      </c>
      <c r="E45" s="7" t="s">
        <v>49</v>
      </c>
      <c r="F45" s="7" t="s">
        <v>91</v>
      </c>
      <c r="G45" s="7" t="s">
        <v>32</v>
      </c>
      <c r="H45">
        <v>4</v>
      </c>
      <c r="I45">
        <v>6934.17</v>
      </c>
      <c r="J45">
        <v>0</v>
      </c>
      <c r="K45">
        <v>27736.68</v>
      </c>
      <c r="L45">
        <v>14428.11</v>
      </c>
      <c r="M45">
        <v>13308.57</v>
      </c>
      <c r="N45" s="7" t="s">
        <v>20</v>
      </c>
      <c r="O45" s="9">
        <f>IFERROR(RawSalesTable_[[#This Row],[Profit]]/RawSalesTable_[[#This Row],[Revenue]],0)</f>
        <v>0.47981842095016419</v>
      </c>
    </row>
    <row r="46" spans="1:15">
      <c r="A46" s="7" t="s">
        <v>106</v>
      </c>
      <c r="B46" s="8">
        <v>45784</v>
      </c>
      <c r="C46" s="7" t="s">
        <v>15</v>
      </c>
      <c r="D46" s="7" t="s">
        <v>43</v>
      </c>
      <c r="E46" s="7" t="s">
        <v>49</v>
      </c>
      <c r="F46" s="7" t="s">
        <v>107</v>
      </c>
      <c r="G46" s="7" t="s">
        <v>58</v>
      </c>
      <c r="H46">
        <v>3</v>
      </c>
      <c r="I46">
        <v>5402.72</v>
      </c>
      <c r="J46">
        <v>0.05</v>
      </c>
      <c r="K46">
        <v>15397.75</v>
      </c>
      <c r="L46">
        <v>8112.19</v>
      </c>
      <c r="M46">
        <v>7285.56</v>
      </c>
      <c r="N46" s="7" t="s">
        <v>20</v>
      </c>
      <c r="O46" s="9">
        <f>IFERROR(RawSalesTable_[[#This Row],[Profit]]/RawSalesTable_[[#This Row],[Revenue]],0)</f>
        <v>0.47315744183403424</v>
      </c>
    </row>
    <row r="47" spans="1:15">
      <c r="A47" s="7" t="s">
        <v>108</v>
      </c>
      <c r="B47" s="8">
        <v>45821</v>
      </c>
      <c r="C47" s="7" t="s">
        <v>15</v>
      </c>
      <c r="D47" s="7" t="s">
        <v>16</v>
      </c>
      <c r="E47" s="7" t="s">
        <v>30</v>
      </c>
      <c r="F47" s="7" t="s">
        <v>40</v>
      </c>
      <c r="G47" s="7" t="s">
        <v>19</v>
      </c>
      <c r="H47">
        <v>2</v>
      </c>
      <c r="I47">
        <v>25337.1</v>
      </c>
      <c r="J47">
        <v>0</v>
      </c>
      <c r="K47">
        <v>50674.2</v>
      </c>
      <c r="L47">
        <v>31253.03</v>
      </c>
      <c r="M47">
        <v>19421.169999999998</v>
      </c>
      <c r="N47" s="7" t="s">
        <v>26</v>
      </c>
      <c r="O47" s="9">
        <f>IFERROR(RawSalesTable_[[#This Row],[Profit]]/RawSalesTable_[[#This Row],[Revenue]],0)</f>
        <v>0.38325558173587349</v>
      </c>
    </row>
    <row r="48" spans="1:15">
      <c r="A48" s="7" t="s">
        <v>109</v>
      </c>
      <c r="B48" s="8">
        <v>45896</v>
      </c>
      <c r="C48" s="7" t="s">
        <v>22</v>
      </c>
      <c r="D48" s="7" t="s">
        <v>23</v>
      </c>
      <c r="E48" s="7" t="s">
        <v>49</v>
      </c>
      <c r="F48" s="7" t="s">
        <v>1590</v>
      </c>
      <c r="G48" s="7" t="s">
        <v>25</v>
      </c>
      <c r="H48">
        <v>4</v>
      </c>
      <c r="I48">
        <v>3907.16</v>
      </c>
      <c r="J48">
        <v>0.05</v>
      </c>
      <c r="K48">
        <v>14847.21</v>
      </c>
      <c r="L48">
        <v>8342.56</v>
      </c>
      <c r="M48">
        <v>6504.65</v>
      </c>
      <c r="N48" s="7" t="s">
        <v>33</v>
      </c>
      <c r="O48" s="9">
        <f>IFERROR(RawSalesTable_[[#This Row],[Profit]]/RawSalesTable_[[#This Row],[Revenue]],0)</f>
        <v>0.43810587982523314</v>
      </c>
    </row>
    <row r="49" spans="1:15">
      <c r="A49" s="7" t="s">
        <v>110</v>
      </c>
      <c r="B49" s="8">
        <v>45857</v>
      </c>
      <c r="C49" s="7" t="s">
        <v>22</v>
      </c>
      <c r="D49" s="7" t="s">
        <v>35</v>
      </c>
      <c r="E49" s="7" t="s">
        <v>49</v>
      </c>
      <c r="F49" s="7" t="s">
        <v>91</v>
      </c>
      <c r="G49" s="7" t="s">
        <v>25</v>
      </c>
      <c r="H49">
        <v>7</v>
      </c>
      <c r="I49">
        <v>6476.06</v>
      </c>
      <c r="J49">
        <v>0.05</v>
      </c>
      <c r="K49">
        <v>43065.8</v>
      </c>
      <c r="L49">
        <v>24970.75</v>
      </c>
      <c r="M49">
        <v>18095.05</v>
      </c>
      <c r="N49" s="7" t="s">
        <v>26</v>
      </c>
      <c r="O49" s="9">
        <f>IFERROR(RawSalesTable_[[#This Row],[Profit]]/RawSalesTable_[[#This Row],[Revenue]],0)</f>
        <v>0.42017215516720918</v>
      </c>
    </row>
    <row r="50" spans="1:15">
      <c r="A50" s="7" t="s">
        <v>112</v>
      </c>
      <c r="B50" s="8">
        <v>45865</v>
      </c>
      <c r="C50" s="7" t="s">
        <v>28</v>
      </c>
      <c r="D50" s="7" t="s">
        <v>52</v>
      </c>
      <c r="E50" s="7" t="s">
        <v>30</v>
      </c>
      <c r="F50" s="7" t="s">
        <v>40</v>
      </c>
      <c r="G50" s="7" t="s">
        <v>61</v>
      </c>
      <c r="H50">
        <v>8</v>
      </c>
      <c r="I50">
        <v>22653.78</v>
      </c>
      <c r="J50">
        <v>0.05</v>
      </c>
      <c r="K50">
        <v>172168.73</v>
      </c>
      <c r="L50">
        <v>128526.19</v>
      </c>
      <c r="M50">
        <v>43642.54</v>
      </c>
      <c r="N50" s="7" t="s">
        <v>20</v>
      </c>
      <c r="O50" s="9">
        <f>IFERROR(RawSalesTable_[[#This Row],[Profit]]/RawSalesTable_[[#This Row],[Revenue]],0)</f>
        <v>0.25348702984566363</v>
      </c>
    </row>
    <row r="51" spans="1:15">
      <c r="A51" s="7" t="s">
        <v>113</v>
      </c>
      <c r="B51" s="8">
        <v>45894</v>
      </c>
      <c r="C51" s="7" t="s">
        <v>22</v>
      </c>
      <c r="D51" s="7" t="s">
        <v>37</v>
      </c>
      <c r="E51" s="7" t="s">
        <v>17</v>
      </c>
      <c r="F51" s="7" t="s">
        <v>114</v>
      </c>
      <c r="G51" s="7" t="s">
        <v>61</v>
      </c>
      <c r="H51">
        <v>1</v>
      </c>
      <c r="I51">
        <v>48538.44</v>
      </c>
      <c r="J51">
        <v>0.05</v>
      </c>
      <c r="K51">
        <v>46111.519999999997</v>
      </c>
      <c r="L51">
        <v>35751.71</v>
      </c>
      <c r="M51">
        <v>10359.81</v>
      </c>
      <c r="N51" s="7" t="s">
        <v>33</v>
      </c>
      <c r="O51" s="9">
        <f>IFERROR(RawSalesTable_[[#This Row],[Profit]]/RawSalesTable_[[#This Row],[Revenue]],0)</f>
        <v>0.22466858607133317</v>
      </c>
    </row>
    <row r="52" spans="1:15">
      <c r="A52" s="7" t="s">
        <v>115</v>
      </c>
      <c r="B52" s="8">
        <v>45873</v>
      </c>
      <c r="C52" s="7" t="s">
        <v>28</v>
      </c>
      <c r="D52" s="7" t="s">
        <v>56</v>
      </c>
      <c r="E52" s="7" t="s">
        <v>30</v>
      </c>
      <c r="F52" s="7" t="s">
        <v>86</v>
      </c>
      <c r="G52" s="7" t="s">
        <v>58</v>
      </c>
      <c r="H52">
        <v>8</v>
      </c>
      <c r="I52">
        <v>32085.75</v>
      </c>
      <c r="J52">
        <v>0.05</v>
      </c>
      <c r="K52">
        <v>243851.7</v>
      </c>
      <c r="L52">
        <v>178106.03</v>
      </c>
      <c r="M52">
        <v>65745.67</v>
      </c>
      <c r="N52" s="7" t="s">
        <v>33</v>
      </c>
      <c r="O52" s="9">
        <f>IFERROR(RawSalesTable_[[#This Row],[Profit]]/RawSalesTable_[[#This Row],[Revenue]],0)</f>
        <v>0.26961333466200971</v>
      </c>
    </row>
    <row r="53" spans="1:15">
      <c r="A53" s="7" t="s">
        <v>116</v>
      </c>
      <c r="B53" s="8">
        <v>45673</v>
      </c>
      <c r="C53" s="7" t="s">
        <v>28</v>
      </c>
      <c r="D53" s="7" t="s">
        <v>52</v>
      </c>
      <c r="E53" s="7" t="s">
        <v>17</v>
      </c>
      <c r="F53" s="7" t="s">
        <v>18</v>
      </c>
      <c r="G53" s="7" t="s">
        <v>47</v>
      </c>
      <c r="H53">
        <v>4</v>
      </c>
      <c r="I53">
        <v>14848.33</v>
      </c>
      <c r="J53">
        <v>0.15</v>
      </c>
      <c r="K53">
        <v>50484.32</v>
      </c>
      <c r="L53">
        <v>31908.43</v>
      </c>
      <c r="M53">
        <v>18575.89</v>
      </c>
      <c r="N53" s="7" t="s">
        <v>26</v>
      </c>
      <c r="O53" s="9">
        <f>IFERROR(RawSalesTable_[[#This Row],[Profit]]/RawSalesTable_[[#This Row],[Revenue]],0)</f>
        <v>0.36795365372852401</v>
      </c>
    </row>
    <row r="54" spans="1:15">
      <c r="A54" s="7" t="s">
        <v>118</v>
      </c>
      <c r="B54" s="8">
        <v>45769</v>
      </c>
      <c r="C54" s="7" t="s">
        <v>22</v>
      </c>
      <c r="D54" s="7" t="s">
        <v>37</v>
      </c>
      <c r="E54" s="7" t="s">
        <v>44</v>
      </c>
      <c r="F54" s="7" t="s">
        <v>45</v>
      </c>
      <c r="G54" s="7" t="s">
        <v>70</v>
      </c>
      <c r="H54">
        <v>3</v>
      </c>
      <c r="I54">
        <v>28379.439999999999</v>
      </c>
      <c r="J54">
        <v>0</v>
      </c>
      <c r="K54">
        <v>85138.32</v>
      </c>
      <c r="L54">
        <v>57540.24</v>
      </c>
      <c r="M54">
        <v>27598.080000000002</v>
      </c>
      <c r="N54" s="7" t="s">
        <v>59</v>
      </c>
      <c r="O54" s="9">
        <f>IFERROR(RawSalesTable_[[#This Row],[Profit]]/RawSalesTable_[[#This Row],[Revenue]],0)</f>
        <v>0.32415579729550686</v>
      </c>
    </row>
    <row r="55" spans="1:15">
      <c r="A55" s="7" t="s">
        <v>119</v>
      </c>
      <c r="B55" s="8">
        <v>45952</v>
      </c>
      <c r="C55" s="7" t="s">
        <v>28</v>
      </c>
      <c r="D55" s="7" t="s">
        <v>52</v>
      </c>
      <c r="E55" s="7" t="s">
        <v>17</v>
      </c>
      <c r="F55" s="7" t="s">
        <v>24</v>
      </c>
      <c r="G55" s="7" t="s">
        <v>25</v>
      </c>
      <c r="H55">
        <v>5</v>
      </c>
      <c r="I55">
        <v>86231.21</v>
      </c>
      <c r="J55">
        <v>0</v>
      </c>
      <c r="K55">
        <v>431156.05</v>
      </c>
      <c r="L55">
        <v>351907.51</v>
      </c>
      <c r="M55">
        <v>79248.539999999994</v>
      </c>
      <c r="N55" s="7" t="s">
        <v>20</v>
      </c>
      <c r="O55" s="9">
        <f>IFERROR(RawSalesTable_[[#This Row],[Profit]]/RawSalesTable_[[#This Row],[Revenue]],0)</f>
        <v>0.18380477323697533</v>
      </c>
    </row>
    <row r="56" spans="1:15">
      <c r="A56" s="7" t="s">
        <v>121</v>
      </c>
      <c r="B56" s="8">
        <v>45965</v>
      </c>
      <c r="C56" s="7" t="s">
        <v>15</v>
      </c>
      <c r="D56" s="7" t="s">
        <v>16</v>
      </c>
      <c r="E56" s="7" t="s">
        <v>17</v>
      </c>
      <c r="F56" s="7" t="s">
        <v>24</v>
      </c>
      <c r="G56" s="7" t="s">
        <v>19</v>
      </c>
      <c r="H56">
        <v>2</v>
      </c>
      <c r="I56">
        <v>94902.68</v>
      </c>
      <c r="J56">
        <v>0.05</v>
      </c>
      <c r="K56">
        <v>180315.09</v>
      </c>
      <c r="L56">
        <v>140014.79</v>
      </c>
      <c r="M56">
        <v>40300.300000000003</v>
      </c>
      <c r="N56" s="7" t="s">
        <v>33</v>
      </c>
      <c r="O56" s="9">
        <f>IFERROR(RawSalesTable_[[#This Row],[Profit]]/RawSalesTable_[[#This Row],[Revenue]],0)</f>
        <v>0.22349931999590275</v>
      </c>
    </row>
    <row r="57" spans="1:15">
      <c r="A57" s="7" t="s">
        <v>122</v>
      </c>
      <c r="B57" s="8">
        <v>45873</v>
      </c>
      <c r="C57" s="7" t="s">
        <v>28</v>
      </c>
      <c r="D57" s="7" t="s">
        <v>29</v>
      </c>
      <c r="E57" s="7" t="s">
        <v>49</v>
      </c>
      <c r="F57" s="7" t="s">
        <v>57</v>
      </c>
      <c r="G57" s="7" t="s">
        <v>70</v>
      </c>
      <c r="H57">
        <v>2</v>
      </c>
      <c r="I57">
        <v>11510.97</v>
      </c>
      <c r="J57">
        <v>0.05</v>
      </c>
      <c r="K57">
        <v>21870.84</v>
      </c>
      <c r="L57">
        <v>12621.51</v>
      </c>
      <c r="M57">
        <v>9249.33</v>
      </c>
      <c r="N57" s="7" t="s">
        <v>33</v>
      </c>
      <c r="O57" s="9">
        <f>IFERROR(RawSalesTable_[[#This Row],[Profit]]/RawSalesTable_[[#This Row],[Revenue]],0)</f>
        <v>0.42290693910247618</v>
      </c>
    </row>
    <row r="58" spans="1:15">
      <c r="A58" s="7" t="s">
        <v>123</v>
      </c>
      <c r="B58" s="8">
        <v>45796</v>
      </c>
      <c r="C58" s="7" t="s">
        <v>28</v>
      </c>
      <c r="D58" s="7" t="s">
        <v>56</v>
      </c>
      <c r="E58" s="7" t="s">
        <v>49</v>
      </c>
      <c r="F58" s="7" t="s">
        <v>1590</v>
      </c>
      <c r="G58" s="7" t="s">
        <v>70</v>
      </c>
      <c r="H58">
        <v>7</v>
      </c>
      <c r="I58">
        <v>3982.36</v>
      </c>
      <c r="J58">
        <v>0.1</v>
      </c>
      <c r="K58">
        <v>25088.87</v>
      </c>
      <c r="L58">
        <v>15252.47</v>
      </c>
      <c r="M58">
        <v>9836.4</v>
      </c>
      <c r="N58" s="7" t="s">
        <v>20</v>
      </c>
      <c r="O58" s="9">
        <f>IFERROR(RawSalesTable_[[#This Row],[Profit]]/RawSalesTable_[[#This Row],[Revenue]],0)</f>
        <v>0.39206229694681349</v>
      </c>
    </row>
    <row r="59" spans="1:15">
      <c r="A59" s="7" t="s">
        <v>124</v>
      </c>
      <c r="B59" s="8">
        <v>45888</v>
      </c>
      <c r="C59" s="7" t="s">
        <v>28</v>
      </c>
      <c r="D59" s="7" t="s">
        <v>29</v>
      </c>
      <c r="E59" s="7" t="s">
        <v>30</v>
      </c>
      <c r="F59" s="7" t="s">
        <v>38</v>
      </c>
      <c r="G59" s="7" t="s">
        <v>47</v>
      </c>
      <c r="H59">
        <v>4</v>
      </c>
      <c r="I59">
        <v>28428.76</v>
      </c>
      <c r="J59">
        <v>0</v>
      </c>
      <c r="K59">
        <v>113715.04</v>
      </c>
      <c r="L59">
        <v>71245.8</v>
      </c>
      <c r="M59">
        <v>42469.24</v>
      </c>
      <c r="N59" s="7" t="s">
        <v>20</v>
      </c>
      <c r="O59" s="9">
        <f>IFERROR(RawSalesTable_[[#This Row],[Profit]]/RawSalesTable_[[#This Row],[Revenue]],0)</f>
        <v>0.37347073878705933</v>
      </c>
    </row>
    <row r="60" spans="1:15">
      <c r="A60" s="7" t="s">
        <v>125</v>
      </c>
      <c r="B60" s="8">
        <v>45766</v>
      </c>
      <c r="C60" s="7" t="s">
        <v>15</v>
      </c>
      <c r="D60" s="7" t="s">
        <v>43</v>
      </c>
      <c r="E60" s="7" t="s">
        <v>49</v>
      </c>
      <c r="F60" s="7" t="s">
        <v>57</v>
      </c>
      <c r="G60" s="7" t="s">
        <v>32</v>
      </c>
      <c r="H60">
        <v>1</v>
      </c>
      <c r="I60">
        <v>11489.52</v>
      </c>
      <c r="J60">
        <v>0.05</v>
      </c>
      <c r="K60">
        <v>10915.04</v>
      </c>
      <c r="L60">
        <v>6387.74</v>
      </c>
      <c r="M60">
        <v>4527.3</v>
      </c>
      <c r="N60" s="7" t="s">
        <v>59</v>
      </c>
      <c r="O60" s="9">
        <f>IFERROR(RawSalesTable_[[#This Row],[Profit]]/RawSalesTable_[[#This Row],[Revenue]],0)</f>
        <v>0.41477630865301451</v>
      </c>
    </row>
    <row r="61" spans="1:15">
      <c r="A61" s="7" t="s">
        <v>126</v>
      </c>
      <c r="B61" s="8">
        <v>45942</v>
      </c>
      <c r="C61" s="7" t="s">
        <v>28</v>
      </c>
      <c r="D61" s="7" t="s">
        <v>56</v>
      </c>
      <c r="E61" s="7" t="s">
        <v>30</v>
      </c>
      <c r="F61" s="7" t="s">
        <v>31</v>
      </c>
      <c r="G61" s="7" t="s">
        <v>47</v>
      </c>
      <c r="H61">
        <v>4</v>
      </c>
      <c r="I61">
        <v>126049.24</v>
      </c>
      <c r="J61">
        <v>0.15</v>
      </c>
      <c r="K61">
        <v>428567.42</v>
      </c>
      <c r="L61">
        <v>403373.79</v>
      </c>
      <c r="M61">
        <v>25193.63</v>
      </c>
      <c r="N61" s="7" t="s">
        <v>20</v>
      </c>
      <c r="O61" s="9">
        <f>IFERROR(RawSalesTable_[[#This Row],[Profit]]/RawSalesTable_[[#This Row],[Revenue]],0)</f>
        <v>5.8785686508787814E-2</v>
      </c>
    </row>
    <row r="62" spans="1:15">
      <c r="A62" s="7" t="s">
        <v>127</v>
      </c>
      <c r="B62" s="8">
        <v>45782</v>
      </c>
      <c r="C62" s="7" t="s">
        <v>15</v>
      </c>
      <c r="D62" s="7" t="s">
        <v>43</v>
      </c>
      <c r="E62" s="7" t="s">
        <v>49</v>
      </c>
      <c r="F62" s="7" t="s">
        <v>107</v>
      </c>
      <c r="G62" s="7" t="s">
        <v>58</v>
      </c>
      <c r="H62">
        <v>1</v>
      </c>
      <c r="I62">
        <v>4861.42</v>
      </c>
      <c r="J62">
        <v>0</v>
      </c>
      <c r="K62">
        <v>4861.42</v>
      </c>
      <c r="L62">
        <v>2695.43</v>
      </c>
      <c r="M62">
        <v>2165.9899999999998</v>
      </c>
      <c r="N62" s="7" t="s">
        <v>59</v>
      </c>
      <c r="O62" s="9">
        <f>IFERROR(RawSalesTable_[[#This Row],[Profit]]/RawSalesTable_[[#This Row],[Revenue]],0)</f>
        <v>0.44554677439924956</v>
      </c>
    </row>
    <row r="63" spans="1:15">
      <c r="A63" s="7" t="s">
        <v>128</v>
      </c>
      <c r="B63" s="8">
        <v>45786</v>
      </c>
      <c r="C63" s="7" t="s">
        <v>28</v>
      </c>
      <c r="D63" s="7" t="s">
        <v>29</v>
      </c>
      <c r="E63" s="7" t="s">
        <v>30</v>
      </c>
      <c r="F63" s="7" t="s">
        <v>40</v>
      </c>
      <c r="G63" s="7" t="s">
        <v>47</v>
      </c>
      <c r="H63">
        <v>6</v>
      </c>
      <c r="I63">
        <v>23919.1</v>
      </c>
      <c r="J63">
        <v>0.05</v>
      </c>
      <c r="K63">
        <v>136338.87</v>
      </c>
      <c r="L63">
        <v>93753.8</v>
      </c>
      <c r="M63">
        <v>42585.07</v>
      </c>
      <c r="N63" s="7" t="s">
        <v>33</v>
      </c>
      <c r="O63" s="9">
        <f>IFERROR(RawSalesTable_[[#This Row],[Profit]]/RawSalesTable_[[#This Row],[Revenue]],0)</f>
        <v>0.31234724183939622</v>
      </c>
    </row>
    <row r="64" spans="1:15">
      <c r="A64" s="7" t="s">
        <v>129</v>
      </c>
      <c r="B64" s="8">
        <v>45959</v>
      </c>
      <c r="C64" s="7" t="s">
        <v>15</v>
      </c>
      <c r="D64" s="7" t="s">
        <v>16</v>
      </c>
      <c r="E64" s="7" t="s">
        <v>30</v>
      </c>
      <c r="F64" s="7" t="s">
        <v>31</v>
      </c>
      <c r="G64" s="7" t="s">
        <v>58</v>
      </c>
      <c r="H64">
        <v>3</v>
      </c>
      <c r="I64">
        <v>128337.29</v>
      </c>
      <c r="J64">
        <v>0.15</v>
      </c>
      <c r="K64">
        <v>327260.09000000003</v>
      </c>
      <c r="L64">
        <v>304179.84999999998</v>
      </c>
      <c r="M64">
        <v>23080.240000000002</v>
      </c>
      <c r="N64" s="7" t="s">
        <v>33</v>
      </c>
      <c r="O64" s="9">
        <f>IFERROR(RawSalesTable_[[#This Row],[Profit]]/RawSalesTable_[[#This Row],[Revenue]],0)</f>
        <v>7.0525678826281565E-2</v>
      </c>
    </row>
    <row r="65" spans="1:15">
      <c r="A65" s="7" t="s">
        <v>130</v>
      </c>
      <c r="B65" s="8">
        <v>45798</v>
      </c>
      <c r="C65" s="7" t="s">
        <v>22</v>
      </c>
      <c r="D65" s="7" t="s">
        <v>35</v>
      </c>
      <c r="E65" s="7" t="s">
        <v>44</v>
      </c>
      <c r="F65" s="7" t="s">
        <v>69</v>
      </c>
      <c r="G65" s="7" t="s">
        <v>64</v>
      </c>
      <c r="H65">
        <v>3</v>
      </c>
      <c r="I65">
        <v>36797.79</v>
      </c>
      <c r="J65">
        <v>0.15</v>
      </c>
      <c r="K65">
        <v>93834.36</v>
      </c>
      <c r="L65">
        <v>78576.38</v>
      </c>
      <c r="M65">
        <v>15257.98</v>
      </c>
      <c r="N65" s="7" t="s">
        <v>33</v>
      </c>
      <c r="O65" s="9">
        <f>IFERROR(RawSalesTable_[[#This Row],[Profit]]/RawSalesTable_[[#This Row],[Revenue]],0)</f>
        <v>0.16260546776255522</v>
      </c>
    </row>
    <row r="66" spans="1:15">
      <c r="A66" s="7" t="s">
        <v>131</v>
      </c>
      <c r="B66" s="8">
        <v>45903</v>
      </c>
      <c r="C66" s="7" t="s">
        <v>15</v>
      </c>
      <c r="D66" s="7" t="s">
        <v>63</v>
      </c>
      <c r="E66" s="7" t="s">
        <v>44</v>
      </c>
      <c r="F66" s="7" t="s">
        <v>53</v>
      </c>
      <c r="G66" s="7" t="s">
        <v>70</v>
      </c>
      <c r="H66">
        <v>2</v>
      </c>
      <c r="I66">
        <v>9006.9</v>
      </c>
      <c r="J66">
        <v>0.1</v>
      </c>
      <c r="K66">
        <v>16212.42</v>
      </c>
      <c r="L66">
        <v>9701.06</v>
      </c>
      <c r="M66">
        <v>6511.36</v>
      </c>
      <c r="N66" s="7" t="s">
        <v>59</v>
      </c>
      <c r="O66" s="9">
        <f>IFERROR(RawSalesTable_[[#This Row],[Profit]]/RawSalesTable_[[#This Row],[Revenue]],0)</f>
        <v>0.40162788775519015</v>
      </c>
    </row>
    <row r="67" spans="1:15">
      <c r="A67" s="7" t="s">
        <v>132</v>
      </c>
      <c r="B67" s="8">
        <v>45953</v>
      </c>
      <c r="C67" s="7" t="s">
        <v>22</v>
      </c>
      <c r="D67" s="7" t="s">
        <v>23</v>
      </c>
      <c r="E67" s="7" t="s">
        <v>30</v>
      </c>
      <c r="F67" s="7" t="s">
        <v>40</v>
      </c>
      <c r="G67" s="7" t="s">
        <v>64</v>
      </c>
      <c r="H67">
        <v>2</v>
      </c>
      <c r="I67">
        <v>25762.69</v>
      </c>
      <c r="J67">
        <v>0.05</v>
      </c>
      <c r="K67">
        <v>48949.11</v>
      </c>
      <c r="L67">
        <v>31739.74</v>
      </c>
      <c r="M67">
        <v>17209.37</v>
      </c>
      <c r="N67" s="7" t="s">
        <v>26</v>
      </c>
      <c r="O67" s="9">
        <f>IFERROR(RawSalesTable_[[#This Row],[Profit]]/RawSalesTable_[[#This Row],[Revenue]],0)</f>
        <v>0.35157677024158351</v>
      </c>
    </row>
    <row r="68" spans="1:15">
      <c r="A68" s="7" t="s">
        <v>134</v>
      </c>
      <c r="B68" s="8">
        <v>45974</v>
      </c>
      <c r="C68" s="7" t="s">
        <v>22</v>
      </c>
      <c r="D68" s="7" t="s">
        <v>37</v>
      </c>
      <c r="E68" s="7" t="s">
        <v>30</v>
      </c>
      <c r="F68" s="7" t="s">
        <v>31</v>
      </c>
      <c r="G68" s="7" t="s">
        <v>47</v>
      </c>
      <c r="H68">
        <v>4</v>
      </c>
      <c r="I68">
        <v>126758.55</v>
      </c>
      <c r="J68">
        <v>0.05</v>
      </c>
      <c r="K68">
        <v>481682.49</v>
      </c>
      <c r="L68">
        <v>409026.66</v>
      </c>
      <c r="M68">
        <v>72655.83</v>
      </c>
      <c r="N68" s="7" t="s">
        <v>20</v>
      </c>
      <c r="O68" s="9">
        <f>IFERROR(RawSalesTable_[[#This Row],[Profit]]/RawSalesTable_[[#This Row],[Revenue]],0)</f>
        <v>0.15083759843543409</v>
      </c>
    </row>
    <row r="69" spans="1:15">
      <c r="A69" s="7" t="s">
        <v>135</v>
      </c>
      <c r="B69" s="8">
        <v>45708</v>
      </c>
      <c r="C69" s="7" t="s">
        <v>28</v>
      </c>
      <c r="D69" s="7" t="s">
        <v>56</v>
      </c>
      <c r="E69" s="7" t="s">
        <v>30</v>
      </c>
      <c r="F69" s="7" t="s">
        <v>40</v>
      </c>
      <c r="G69" s="7" t="s">
        <v>47</v>
      </c>
      <c r="H69">
        <v>5</v>
      </c>
      <c r="I69">
        <v>24769.03</v>
      </c>
      <c r="J69">
        <v>0</v>
      </c>
      <c r="K69">
        <v>123845.15</v>
      </c>
      <c r="L69">
        <v>80001.259999999995</v>
      </c>
      <c r="M69">
        <v>43843.89</v>
      </c>
      <c r="N69" s="7" t="s">
        <v>26</v>
      </c>
      <c r="O69" s="9">
        <f>IFERROR(RawSalesTable_[[#This Row],[Profit]]/RawSalesTable_[[#This Row],[Revenue]],0)</f>
        <v>0.35402185713368672</v>
      </c>
    </row>
    <row r="70" spans="1:15">
      <c r="A70" s="7" t="s">
        <v>136</v>
      </c>
      <c r="B70" s="8">
        <v>45867</v>
      </c>
      <c r="C70" s="7" t="s">
        <v>28</v>
      </c>
      <c r="D70" s="7" t="s">
        <v>29</v>
      </c>
      <c r="E70" s="7" t="s">
        <v>17</v>
      </c>
      <c r="F70" s="7" t="s">
        <v>24</v>
      </c>
      <c r="G70" s="7" t="s">
        <v>70</v>
      </c>
      <c r="H70">
        <v>4</v>
      </c>
      <c r="I70">
        <v>87198.54</v>
      </c>
      <c r="J70">
        <v>0</v>
      </c>
      <c r="K70">
        <v>348794.16</v>
      </c>
      <c r="L70">
        <v>266820.38</v>
      </c>
      <c r="M70">
        <v>81973.78</v>
      </c>
      <c r="N70" s="7" t="s">
        <v>20</v>
      </c>
      <c r="O70" s="9">
        <f>IFERROR(RawSalesTable_[[#This Row],[Profit]]/RawSalesTable_[[#This Row],[Revenue]],0)</f>
        <v>0.23502050607728067</v>
      </c>
    </row>
    <row r="71" spans="1:15">
      <c r="A71" s="7" t="s">
        <v>137</v>
      </c>
      <c r="B71" s="8">
        <v>45777</v>
      </c>
      <c r="C71" s="7" t="s">
        <v>28</v>
      </c>
      <c r="D71" s="7" t="s">
        <v>52</v>
      </c>
      <c r="E71" s="7" t="s">
        <v>44</v>
      </c>
      <c r="F71" s="7" t="s">
        <v>69</v>
      </c>
      <c r="G71" s="7" t="s">
        <v>58</v>
      </c>
      <c r="H71">
        <v>5</v>
      </c>
      <c r="I71">
        <v>39234.160000000003</v>
      </c>
      <c r="J71">
        <v>0.05</v>
      </c>
      <c r="K71">
        <v>186362.26</v>
      </c>
      <c r="L71">
        <v>126747.74</v>
      </c>
      <c r="M71">
        <v>59614.52</v>
      </c>
      <c r="N71" s="7" t="s">
        <v>26</v>
      </c>
      <c r="O71" s="9">
        <f>IFERROR(RawSalesTable_[[#This Row],[Profit]]/RawSalesTable_[[#This Row],[Revenue]],0)</f>
        <v>0.31988515271278634</v>
      </c>
    </row>
    <row r="72" spans="1:15">
      <c r="A72" s="7" t="s">
        <v>139</v>
      </c>
      <c r="B72" s="8">
        <v>45815</v>
      </c>
      <c r="C72" s="7" t="s">
        <v>28</v>
      </c>
      <c r="D72" s="7" t="s">
        <v>52</v>
      </c>
      <c r="E72" s="7" t="s">
        <v>44</v>
      </c>
      <c r="F72" s="7" t="s">
        <v>45</v>
      </c>
      <c r="G72" s="7" t="s">
        <v>58</v>
      </c>
      <c r="H72">
        <v>5</v>
      </c>
      <c r="I72">
        <v>29989.439999999999</v>
      </c>
      <c r="J72">
        <v>0</v>
      </c>
      <c r="K72">
        <v>149947.20000000001</v>
      </c>
      <c r="L72">
        <v>92546.59</v>
      </c>
      <c r="M72">
        <v>57400.61</v>
      </c>
      <c r="N72" s="7" t="s">
        <v>20</v>
      </c>
      <c r="O72" s="9">
        <f>IFERROR(RawSalesTable_[[#This Row],[Profit]]/RawSalesTable_[[#This Row],[Revenue]],0)</f>
        <v>0.38280548086259691</v>
      </c>
    </row>
    <row r="73" spans="1:15">
      <c r="A73" s="7" t="s">
        <v>140</v>
      </c>
      <c r="B73" s="8">
        <v>45964</v>
      </c>
      <c r="C73" s="7" t="s">
        <v>22</v>
      </c>
      <c r="D73" s="7" t="s">
        <v>35</v>
      </c>
      <c r="E73" s="7" t="s">
        <v>30</v>
      </c>
      <c r="F73" s="7" t="s">
        <v>40</v>
      </c>
      <c r="G73" s="7" t="s">
        <v>64</v>
      </c>
      <c r="H73">
        <v>5</v>
      </c>
      <c r="I73">
        <v>24501.85</v>
      </c>
      <c r="J73">
        <v>0.05</v>
      </c>
      <c r="K73">
        <v>116383.79</v>
      </c>
      <c r="L73">
        <v>79050.81</v>
      </c>
      <c r="M73">
        <v>37332.980000000003</v>
      </c>
      <c r="N73" s="7" t="s">
        <v>20</v>
      </c>
      <c r="O73" s="9">
        <f>IFERROR(RawSalesTable_[[#This Row],[Profit]]/RawSalesTable_[[#This Row],[Revenue]],0)</f>
        <v>0.32077474019363011</v>
      </c>
    </row>
    <row r="74" spans="1:15">
      <c r="A74" s="7" t="s">
        <v>141</v>
      </c>
      <c r="B74" s="8">
        <v>45952</v>
      </c>
      <c r="C74" s="7" t="s">
        <v>15</v>
      </c>
      <c r="D74" s="7" t="s">
        <v>63</v>
      </c>
      <c r="E74" s="7" t="s">
        <v>30</v>
      </c>
      <c r="F74" s="7" t="s">
        <v>31</v>
      </c>
      <c r="G74" s="7" t="s">
        <v>64</v>
      </c>
      <c r="H74">
        <v>2</v>
      </c>
      <c r="I74">
        <v>129144.77</v>
      </c>
      <c r="J74">
        <v>0.15</v>
      </c>
      <c r="K74">
        <v>219546.11</v>
      </c>
      <c r="L74">
        <v>207760.45</v>
      </c>
      <c r="M74">
        <v>11785.66</v>
      </c>
      <c r="N74" s="7" t="s">
        <v>59</v>
      </c>
      <c r="O74" s="9">
        <f>IFERROR(RawSalesTable_[[#This Row],[Profit]]/RawSalesTable_[[#This Row],[Revenue]],0)</f>
        <v>5.3681934970289384E-2</v>
      </c>
    </row>
    <row r="75" spans="1:15">
      <c r="A75" s="7" t="s">
        <v>142</v>
      </c>
      <c r="B75" s="8">
        <v>45881</v>
      </c>
      <c r="C75" s="7" t="s">
        <v>15</v>
      </c>
      <c r="D75" s="7" t="s">
        <v>16</v>
      </c>
      <c r="E75" s="7" t="s">
        <v>44</v>
      </c>
      <c r="F75" s="7" t="s">
        <v>53</v>
      </c>
      <c r="G75" s="7" t="s">
        <v>70</v>
      </c>
      <c r="H75">
        <v>8</v>
      </c>
      <c r="I75">
        <v>9065.86</v>
      </c>
      <c r="J75">
        <v>0</v>
      </c>
      <c r="K75">
        <v>72526.880000000005</v>
      </c>
      <c r="L75">
        <v>40759.620000000003</v>
      </c>
      <c r="M75">
        <v>31767.26</v>
      </c>
      <c r="N75" s="7" t="s">
        <v>33</v>
      </c>
      <c r="O75" s="9">
        <f>IFERROR(RawSalesTable_[[#This Row],[Profit]]/RawSalesTable_[[#This Row],[Revenue]],0)</f>
        <v>0.43800670868511088</v>
      </c>
    </row>
    <row r="76" spans="1:15">
      <c r="A76" s="7" t="s">
        <v>143</v>
      </c>
      <c r="B76" s="8">
        <v>46013</v>
      </c>
      <c r="C76" s="7" t="s">
        <v>28</v>
      </c>
      <c r="D76" s="7" t="s">
        <v>56</v>
      </c>
      <c r="E76" s="7" t="s">
        <v>49</v>
      </c>
      <c r="F76" s="7" t="s">
        <v>57</v>
      </c>
      <c r="G76" s="7" t="s">
        <v>70</v>
      </c>
      <c r="H76">
        <v>6</v>
      </c>
      <c r="I76">
        <v>11813.05</v>
      </c>
      <c r="J76">
        <v>0</v>
      </c>
      <c r="K76">
        <v>70878.3</v>
      </c>
      <c r="L76">
        <v>38730.36</v>
      </c>
      <c r="M76">
        <v>32147.94</v>
      </c>
      <c r="N76" s="7" t="s">
        <v>59</v>
      </c>
      <c r="O76" s="9">
        <f>IFERROR(RawSalesTable_[[#This Row],[Profit]]/RawSalesTable_[[#This Row],[Revenue]],0)</f>
        <v>0.45356533664041038</v>
      </c>
    </row>
    <row r="77" spans="1:15">
      <c r="A77" s="7" t="s">
        <v>144</v>
      </c>
      <c r="B77" s="8">
        <v>45864</v>
      </c>
      <c r="C77" s="7" t="s">
        <v>15</v>
      </c>
      <c r="D77" s="7" t="s">
        <v>63</v>
      </c>
      <c r="E77" s="7" t="s">
        <v>17</v>
      </c>
      <c r="F77" s="7" t="s">
        <v>114</v>
      </c>
      <c r="G77" s="7" t="s">
        <v>64</v>
      </c>
      <c r="H77">
        <v>2</v>
      </c>
      <c r="I77">
        <v>50456.78</v>
      </c>
      <c r="J77">
        <v>0.05</v>
      </c>
      <c r="K77">
        <v>95867.88</v>
      </c>
      <c r="L77">
        <v>71402.36</v>
      </c>
      <c r="M77">
        <v>24465.52</v>
      </c>
      <c r="N77" s="7" t="s">
        <v>20</v>
      </c>
      <c r="O77" s="9">
        <f>IFERROR(RawSalesTable_[[#This Row],[Profit]]/RawSalesTable_[[#This Row],[Revenue]],0)</f>
        <v>0.25520038619817187</v>
      </c>
    </row>
    <row r="78" spans="1:15">
      <c r="A78" s="7" t="s">
        <v>145</v>
      </c>
      <c r="B78" s="8">
        <v>45939</v>
      </c>
      <c r="C78" s="7" t="s">
        <v>28</v>
      </c>
      <c r="D78" s="7" t="s">
        <v>52</v>
      </c>
      <c r="E78" s="7" t="s">
        <v>44</v>
      </c>
      <c r="F78" s="7" t="s">
        <v>69</v>
      </c>
      <c r="G78" s="7" t="s">
        <v>61</v>
      </c>
      <c r="H78">
        <v>8</v>
      </c>
      <c r="I78">
        <v>38762.49</v>
      </c>
      <c r="J78">
        <v>0</v>
      </c>
      <c r="K78">
        <v>310099.92</v>
      </c>
      <c r="L78">
        <v>204723.81</v>
      </c>
      <c r="M78">
        <v>105376.11</v>
      </c>
      <c r="N78" s="7" t="s">
        <v>59</v>
      </c>
      <c r="O78" s="9">
        <f>IFERROR(RawSalesTable_[[#This Row],[Profit]]/RawSalesTable_[[#This Row],[Revenue]],0)</f>
        <v>0.33981340594992737</v>
      </c>
    </row>
    <row r="79" spans="1:15">
      <c r="A79" s="7" t="s">
        <v>146</v>
      </c>
      <c r="B79" s="8">
        <v>46021</v>
      </c>
      <c r="C79" s="7" t="s">
        <v>28</v>
      </c>
      <c r="D79" s="7" t="s">
        <v>29</v>
      </c>
      <c r="E79" s="7" t="s">
        <v>49</v>
      </c>
      <c r="F79" s="7" t="s">
        <v>91</v>
      </c>
      <c r="G79" s="7" t="s">
        <v>61</v>
      </c>
      <c r="H79">
        <v>1</v>
      </c>
      <c r="I79">
        <v>6992.07</v>
      </c>
      <c r="J79">
        <v>0.1</v>
      </c>
      <c r="K79">
        <v>6292.86</v>
      </c>
      <c r="L79">
        <v>3693.43</v>
      </c>
      <c r="M79">
        <v>2599.4299999999998</v>
      </c>
      <c r="N79" s="7" t="s">
        <v>59</v>
      </c>
      <c r="O79" s="9">
        <f>IFERROR(RawSalesTable_[[#This Row],[Profit]]/RawSalesTable_[[#This Row],[Revenue]],0)</f>
        <v>0.41307608940926699</v>
      </c>
    </row>
    <row r="80" spans="1:15">
      <c r="A80" s="7" t="s">
        <v>148</v>
      </c>
      <c r="B80" s="8">
        <v>45732</v>
      </c>
      <c r="C80" s="7" t="s">
        <v>15</v>
      </c>
      <c r="D80" s="7" t="s">
        <v>63</v>
      </c>
      <c r="E80" s="7" t="s">
        <v>30</v>
      </c>
      <c r="F80" s="7" t="s">
        <v>40</v>
      </c>
      <c r="G80" s="7" t="s">
        <v>25</v>
      </c>
      <c r="H80">
        <v>8</v>
      </c>
      <c r="I80">
        <v>26382.560000000001</v>
      </c>
      <c r="J80">
        <v>0</v>
      </c>
      <c r="K80">
        <v>211060.48000000001</v>
      </c>
      <c r="L80">
        <v>126649.65</v>
      </c>
      <c r="M80">
        <v>84410.83</v>
      </c>
      <c r="N80" s="7" t="s">
        <v>26</v>
      </c>
      <c r="O80" s="9">
        <f>IFERROR(RawSalesTable_[[#This Row],[Profit]]/RawSalesTable_[[#This Row],[Revenue]],0)</f>
        <v>0.39993669113232377</v>
      </c>
    </row>
    <row r="81" spans="1:15">
      <c r="A81" s="7" t="s">
        <v>149</v>
      </c>
      <c r="B81" s="8">
        <v>45917</v>
      </c>
      <c r="C81" s="7" t="s">
        <v>15</v>
      </c>
      <c r="D81" s="7" t="s">
        <v>43</v>
      </c>
      <c r="E81" s="7" t="s">
        <v>44</v>
      </c>
      <c r="F81" s="7" t="s">
        <v>80</v>
      </c>
      <c r="G81" s="7" t="s">
        <v>58</v>
      </c>
      <c r="H81">
        <v>5</v>
      </c>
      <c r="I81">
        <v>44876</v>
      </c>
      <c r="J81">
        <v>0.05</v>
      </c>
      <c r="K81">
        <v>213161</v>
      </c>
      <c r="L81">
        <v>154037.65</v>
      </c>
      <c r="M81">
        <v>59123.35</v>
      </c>
      <c r="N81" s="7" t="s">
        <v>33</v>
      </c>
      <c r="O81" s="9">
        <f>IFERROR(RawSalesTable_[[#This Row],[Profit]]/RawSalesTable_[[#This Row],[Revenue]],0)</f>
        <v>0.27736476184667924</v>
      </c>
    </row>
    <row r="82" spans="1:15">
      <c r="A82" s="7" t="s">
        <v>151</v>
      </c>
      <c r="B82" s="8">
        <v>45940</v>
      </c>
      <c r="C82" s="7" t="s">
        <v>28</v>
      </c>
      <c r="D82" s="7" t="s">
        <v>29</v>
      </c>
      <c r="E82" s="7" t="s">
        <v>30</v>
      </c>
      <c r="F82" s="7" t="s">
        <v>40</v>
      </c>
      <c r="G82" s="7" t="s">
        <v>25</v>
      </c>
      <c r="H82">
        <v>3</v>
      </c>
      <c r="I82">
        <v>24290.47</v>
      </c>
      <c r="J82">
        <v>0.05</v>
      </c>
      <c r="K82">
        <v>69227.839999999997</v>
      </c>
      <c r="L82">
        <v>47123.12</v>
      </c>
      <c r="M82">
        <v>22104.720000000001</v>
      </c>
      <c r="N82" s="7" t="s">
        <v>20</v>
      </c>
      <c r="O82" s="9">
        <f>IFERROR(RawSalesTable_[[#This Row],[Profit]]/RawSalesTable_[[#This Row],[Revenue]],0)</f>
        <v>0.31930391010321862</v>
      </c>
    </row>
    <row r="83" spans="1:15">
      <c r="A83" s="7" t="s">
        <v>152</v>
      </c>
      <c r="B83" s="8">
        <v>45900</v>
      </c>
      <c r="C83" s="7" t="s">
        <v>28</v>
      </c>
      <c r="D83" s="7" t="s">
        <v>52</v>
      </c>
      <c r="E83" s="7" t="s">
        <v>44</v>
      </c>
      <c r="F83" s="7" t="s">
        <v>53</v>
      </c>
      <c r="G83" s="7" t="s">
        <v>25</v>
      </c>
      <c r="H83">
        <v>4</v>
      </c>
      <c r="I83">
        <v>8984.18</v>
      </c>
      <c r="J83">
        <v>0.05</v>
      </c>
      <c r="K83">
        <v>34139.879999999997</v>
      </c>
      <c r="L83">
        <v>19071.88</v>
      </c>
      <c r="M83">
        <v>15068</v>
      </c>
      <c r="N83" s="7" t="s">
        <v>20</v>
      </c>
      <c r="O83" s="9">
        <f>IFERROR(RawSalesTable_[[#This Row],[Profit]]/RawSalesTable_[[#This Row],[Revenue]],0)</f>
        <v>0.44136066090449061</v>
      </c>
    </row>
    <row r="84" spans="1:15">
      <c r="A84" s="7" t="s">
        <v>154</v>
      </c>
      <c r="B84" s="8">
        <v>45793</v>
      </c>
      <c r="C84" s="7" t="s">
        <v>15</v>
      </c>
      <c r="D84" s="7" t="s">
        <v>63</v>
      </c>
      <c r="E84" s="7" t="s">
        <v>17</v>
      </c>
      <c r="F84" s="7" t="s">
        <v>24</v>
      </c>
      <c r="G84" s="7" t="s">
        <v>32</v>
      </c>
      <c r="H84">
        <v>7</v>
      </c>
      <c r="I84">
        <v>97460.13</v>
      </c>
      <c r="J84">
        <v>0</v>
      </c>
      <c r="K84">
        <v>682220.91</v>
      </c>
      <c r="L84">
        <v>464213.28</v>
      </c>
      <c r="M84">
        <v>218007.63</v>
      </c>
      <c r="N84" s="7" t="s">
        <v>59</v>
      </c>
      <c r="O84" s="9">
        <f>IFERROR(RawSalesTable_[[#This Row],[Profit]]/RawSalesTable_[[#This Row],[Revenue]],0)</f>
        <v>0.31955577263089163</v>
      </c>
    </row>
    <row r="85" spans="1:15">
      <c r="A85" s="7" t="s">
        <v>156</v>
      </c>
      <c r="B85" s="8">
        <v>45676</v>
      </c>
      <c r="C85" s="7" t="s">
        <v>15</v>
      </c>
      <c r="D85" s="7" t="s">
        <v>16</v>
      </c>
      <c r="E85" s="7" t="s">
        <v>30</v>
      </c>
      <c r="F85" s="7" t="s">
        <v>40</v>
      </c>
      <c r="G85" s="7" t="s">
        <v>19</v>
      </c>
      <c r="H85">
        <v>6</v>
      </c>
      <c r="I85">
        <v>24997.05</v>
      </c>
      <c r="J85">
        <v>0.05</v>
      </c>
      <c r="K85">
        <v>142483.18</v>
      </c>
      <c r="L85">
        <v>97745.13</v>
      </c>
      <c r="M85">
        <v>44738.05</v>
      </c>
      <c r="N85" s="7" t="s">
        <v>26</v>
      </c>
      <c r="O85" s="9">
        <f>IFERROR(RawSalesTable_[[#This Row],[Profit]]/RawSalesTable_[[#This Row],[Revenue]],0)</f>
        <v>0.31398828970549369</v>
      </c>
    </row>
    <row r="86" spans="1:15">
      <c r="A86" s="7" t="s">
        <v>157</v>
      </c>
      <c r="B86" s="8">
        <v>46018</v>
      </c>
      <c r="C86" s="7" t="s">
        <v>15</v>
      </c>
      <c r="D86" s="7" t="s">
        <v>43</v>
      </c>
      <c r="E86" s="7" t="s">
        <v>30</v>
      </c>
      <c r="F86" s="7" t="s">
        <v>86</v>
      </c>
      <c r="G86" s="7" t="s">
        <v>19</v>
      </c>
      <c r="H86">
        <v>2</v>
      </c>
      <c r="I86">
        <v>32651.37</v>
      </c>
      <c r="J86">
        <v>0</v>
      </c>
      <c r="K86">
        <v>65302.74</v>
      </c>
      <c r="L86">
        <v>46045.16</v>
      </c>
      <c r="M86">
        <v>19257.580000000002</v>
      </c>
      <c r="N86" s="7" t="s">
        <v>20</v>
      </c>
      <c r="O86" s="9">
        <f>IFERROR(RawSalesTable_[[#This Row],[Profit]]/RawSalesTable_[[#This Row],[Revenue]],0)</f>
        <v>0.29489696756981409</v>
      </c>
    </row>
    <row r="87" spans="1:15">
      <c r="A87" s="7" t="s">
        <v>158</v>
      </c>
      <c r="B87" s="8">
        <v>45849</v>
      </c>
      <c r="C87" s="7" t="s">
        <v>22</v>
      </c>
      <c r="D87" s="7" t="s">
        <v>37</v>
      </c>
      <c r="E87" s="7" t="s">
        <v>30</v>
      </c>
      <c r="F87" s="7" t="s">
        <v>31</v>
      </c>
      <c r="G87" s="7" t="s">
        <v>25</v>
      </c>
      <c r="H87">
        <v>1</v>
      </c>
      <c r="I87">
        <v>131206.49</v>
      </c>
      <c r="J87">
        <v>0</v>
      </c>
      <c r="K87">
        <v>131206.49</v>
      </c>
      <c r="L87">
        <v>100044.11</v>
      </c>
      <c r="M87">
        <v>31162.38</v>
      </c>
      <c r="N87" s="7" t="s">
        <v>26</v>
      </c>
      <c r="O87" s="9">
        <f>IFERROR(RawSalesTable_[[#This Row],[Profit]]/RawSalesTable_[[#This Row],[Revenue]],0)</f>
        <v>0.23750639164266954</v>
      </c>
    </row>
    <row r="88" spans="1:15">
      <c r="A88" s="7" t="s">
        <v>159</v>
      </c>
      <c r="B88" s="8">
        <v>45975</v>
      </c>
      <c r="C88" s="7" t="s">
        <v>22</v>
      </c>
      <c r="D88" s="7" t="s">
        <v>37</v>
      </c>
      <c r="E88" s="7" t="s">
        <v>49</v>
      </c>
      <c r="F88" s="7" t="s">
        <v>1590</v>
      </c>
      <c r="G88" s="7" t="s">
        <v>47</v>
      </c>
      <c r="H88">
        <v>3</v>
      </c>
      <c r="I88">
        <v>3981.65</v>
      </c>
      <c r="J88">
        <v>0.1</v>
      </c>
      <c r="K88">
        <v>10750.46</v>
      </c>
      <c r="L88">
        <v>6495.04</v>
      </c>
      <c r="M88">
        <v>4255.42</v>
      </c>
      <c r="N88" s="7" t="s">
        <v>20</v>
      </c>
      <c r="O88" s="9">
        <f>IFERROR(RawSalesTable_[[#This Row],[Profit]]/RawSalesTable_[[#This Row],[Revenue]],0)</f>
        <v>0.39583608515356555</v>
      </c>
    </row>
    <row r="89" spans="1:15">
      <c r="A89" s="7" t="s">
        <v>161</v>
      </c>
      <c r="B89" s="8">
        <v>45896</v>
      </c>
      <c r="C89" s="7" t="s">
        <v>15</v>
      </c>
      <c r="D89" s="7" t="s">
        <v>16</v>
      </c>
      <c r="E89" s="7" t="s">
        <v>44</v>
      </c>
      <c r="F89" s="7" t="s">
        <v>53</v>
      </c>
      <c r="G89" s="7" t="s">
        <v>58</v>
      </c>
      <c r="H89">
        <v>5</v>
      </c>
      <c r="I89">
        <v>8445.02</v>
      </c>
      <c r="J89">
        <v>0.15</v>
      </c>
      <c r="K89">
        <v>35891.339999999997</v>
      </c>
      <c r="L89">
        <v>23781.119999999999</v>
      </c>
      <c r="M89">
        <v>12110.22</v>
      </c>
      <c r="N89" s="7" t="s">
        <v>26</v>
      </c>
      <c r="O89" s="9">
        <f>IFERROR(RawSalesTable_[[#This Row],[Profit]]/RawSalesTable_[[#This Row],[Revenue]],0)</f>
        <v>0.3374134261913877</v>
      </c>
    </row>
    <row r="90" spans="1:15">
      <c r="A90" s="7" t="s">
        <v>162</v>
      </c>
      <c r="B90" s="8">
        <v>45759</v>
      </c>
      <c r="C90" s="7" t="s">
        <v>22</v>
      </c>
      <c r="D90" s="7" t="s">
        <v>35</v>
      </c>
      <c r="E90" s="7" t="s">
        <v>30</v>
      </c>
      <c r="F90" s="7" t="s">
        <v>38</v>
      </c>
      <c r="G90" s="7" t="s">
        <v>25</v>
      </c>
      <c r="H90">
        <v>7</v>
      </c>
      <c r="I90">
        <v>27822.15</v>
      </c>
      <c r="J90">
        <v>0.05</v>
      </c>
      <c r="K90">
        <v>185017.3</v>
      </c>
      <c r="L90">
        <v>129675.58</v>
      </c>
      <c r="M90">
        <v>55341.72</v>
      </c>
      <c r="N90" s="7" t="s">
        <v>20</v>
      </c>
      <c r="O90" s="9">
        <f>IFERROR(RawSalesTable_[[#This Row],[Profit]]/RawSalesTable_[[#This Row],[Revenue]],0)</f>
        <v>0.29911646100121453</v>
      </c>
    </row>
    <row r="91" spans="1:15">
      <c r="A91" s="7" t="s">
        <v>163</v>
      </c>
      <c r="B91" s="8">
        <v>45995</v>
      </c>
      <c r="C91" s="7" t="s">
        <v>22</v>
      </c>
      <c r="D91" s="7" t="s">
        <v>23</v>
      </c>
      <c r="E91" s="7" t="s">
        <v>49</v>
      </c>
      <c r="F91" s="7" t="s">
        <v>57</v>
      </c>
      <c r="G91" s="7" t="s">
        <v>25</v>
      </c>
      <c r="H91">
        <v>5</v>
      </c>
      <c r="I91">
        <v>12406.55</v>
      </c>
      <c r="J91">
        <v>0.05</v>
      </c>
      <c r="K91">
        <v>58931.11</v>
      </c>
      <c r="L91">
        <v>31574.91</v>
      </c>
      <c r="M91">
        <v>27356.2</v>
      </c>
      <c r="N91" s="7" t="s">
        <v>59</v>
      </c>
      <c r="O91" s="9">
        <f>IFERROR(RawSalesTable_[[#This Row],[Profit]]/RawSalesTable_[[#This Row],[Revenue]],0)</f>
        <v>0.46420642679223251</v>
      </c>
    </row>
    <row r="92" spans="1:15">
      <c r="A92" s="7" t="s">
        <v>164</v>
      </c>
      <c r="B92" s="8">
        <v>45838</v>
      </c>
      <c r="C92" s="7" t="s">
        <v>22</v>
      </c>
      <c r="D92" s="7" t="s">
        <v>37</v>
      </c>
      <c r="E92" s="7" t="s">
        <v>17</v>
      </c>
      <c r="F92" s="7" t="s">
        <v>114</v>
      </c>
      <c r="G92" s="7" t="s">
        <v>47</v>
      </c>
      <c r="H92">
        <v>5</v>
      </c>
      <c r="I92">
        <v>54294.16</v>
      </c>
      <c r="J92">
        <v>0</v>
      </c>
      <c r="K92">
        <v>271470.8</v>
      </c>
      <c r="L92">
        <v>184780.26</v>
      </c>
      <c r="M92">
        <v>86690.54</v>
      </c>
      <c r="N92" s="7" t="s">
        <v>26</v>
      </c>
      <c r="O92" s="9">
        <f>IFERROR(RawSalesTable_[[#This Row],[Profit]]/RawSalesTable_[[#This Row],[Revenue]],0)</f>
        <v>0.31933651796067936</v>
      </c>
    </row>
    <row r="93" spans="1:15">
      <c r="A93" s="7" t="s">
        <v>165</v>
      </c>
      <c r="B93" s="8">
        <v>45844</v>
      </c>
      <c r="C93" s="7" t="s">
        <v>15</v>
      </c>
      <c r="D93" s="7" t="s">
        <v>63</v>
      </c>
      <c r="E93" s="7" t="s">
        <v>44</v>
      </c>
      <c r="F93" s="7" t="s">
        <v>80</v>
      </c>
      <c r="G93" s="7" t="s">
        <v>61</v>
      </c>
      <c r="H93">
        <v>1</v>
      </c>
      <c r="I93">
        <v>41685.46</v>
      </c>
      <c r="J93">
        <v>0.05</v>
      </c>
      <c r="K93">
        <v>39601.19</v>
      </c>
      <c r="L93">
        <v>30142.400000000001</v>
      </c>
      <c r="M93">
        <v>9458.7900000000009</v>
      </c>
      <c r="N93" s="7" t="s">
        <v>33</v>
      </c>
      <c r="O93" s="9">
        <f>IFERROR(RawSalesTable_[[#This Row],[Profit]]/RawSalesTable_[[#This Row],[Revenue]],0)</f>
        <v>0.23885115573547158</v>
      </c>
    </row>
    <row r="94" spans="1:15">
      <c r="A94" s="7" t="s">
        <v>166</v>
      </c>
      <c r="B94" s="8">
        <v>45845</v>
      </c>
      <c r="C94" s="7" t="s">
        <v>28</v>
      </c>
      <c r="D94" s="7" t="s">
        <v>56</v>
      </c>
      <c r="E94" s="7" t="s">
        <v>49</v>
      </c>
      <c r="F94" s="7" t="s">
        <v>1590</v>
      </c>
      <c r="G94" s="7" t="s">
        <v>58</v>
      </c>
      <c r="H94">
        <v>4</v>
      </c>
      <c r="I94">
        <v>3952.81</v>
      </c>
      <c r="J94">
        <v>0.1</v>
      </c>
      <c r="K94">
        <v>14230.12</v>
      </c>
      <c r="L94">
        <v>8663.36</v>
      </c>
      <c r="M94">
        <v>5566.76</v>
      </c>
      <c r="N94" s="7" t="s">
        <v>26</v>
      </c>
      <c r="O94" s="9">
        <f>IFERROR(RawSalesTable_[[#This Row],[Profit]]/RawSalesTable_[[#This Row],[Revenue]],0)</f>
        <v>0.39119557670631028</v>
      </c>
    </row>
    <row r="95" spans="1:15">
      <c r="A95" s="7" t="s">
        <v>168</v>
      </c>
      <c r="B95" s="8">
        <v>45773</v>
      </c>
      <c r="C95" s="7" t="s">
        <v>28</v>
      </c>
      <c r="D95" s="7" t="s">
        <v>56</v>
      </c>
      <c r="E95" s="7" t="s">
        <v>30</v>
      </c>
      <c r="F95" s="7" t="s">
        <v>38</v>
      </c>
      <c r="G95" s="7" t="s">
        <v>25</v>
      </c>
      <c r="H95">
        <v>2</v>
      </c>
      <c r="I95">
        <v>26863.19</v>
      </c>
      <c r="J95">
        <v>0</v>
      </c>
      <c r="K95">
        <v>53726.38</v>
      </c>
      <c r="L95">
        <v>35274.71</v>
      </c>
      <c r="M95">
        <v>18451.669999999998</v>
      </c>
      <c r="N95" s="7" t="s">
        <v>59</v>
      </c>
      <c r="O95" s="9">
        <f>IFERROR(RawSalesTable_[[#This Row],[Profit]]/RawSalesTable_[[#This Row],[Revenue]],0)</f>
        <v>0.34343780466876794</v>
      </c>
    </row>
    <row r="96" spans="1:15">
      <c r="A96" s="7" t="s">
        <v>169</v>
      </c>
      <c r="B96" s="8">
        <v>45792</v>
      </c>
      <c r="C96" s="7" t="s">
        <v>22</v>
      </c>
      <c r="D96" s="7" t="s">
        <v>35</v>
      </c>
      <c r="E96" s="7" t="s">
        <v>17</v>
      </c>
      <c r="F96" s="7" t="s">
        <v>18</v>
      </c>
      <c r="G96" s="7" t="s">
        <v>25</v>
      </c>
      <c r="H96">
        <v>2</v>
      </c>
      <c r="I96">
        <v>14395.1</v>
      </c>
      <c r="J96">
        <v>0.15</v>
      </c>
      <c r="K96">
        <v>24471.67</v>
      </c>
      <c r="L96">
        <v>16767.87</v>
      </c>
      <c r="M96">
        <v>7703.8</v>
      </c>
      <c r="N96" s="7" t="s">
        <v>59</v>
      </c>
      <c r="O96" s="9">
        <f>IFERROR(RawSalesTable_[[#This Row],[Profit]]/RawSalesTable_[[#This Row],[Revenue]],0)</f>
        <v>0.31480483350748029</v>
      </c>
    </row>
    <row r="97" spans="1:15">
      <c r="A97" s="7" t="s">
        <v>170</v>
      </c>
      <c r="B97" s="8">
        <v>45970</v>
      </c>
      <c r="C97" s="7" t="s">
        <v>22</v>
      </c>
      <c r="D97" s="7" t="s">
        <v>37</v>
      </c>
      <c r="E97" s="7" t="s">
        <v>44</v>
      </c>
      <c r="F97" s="7" t="s">
        <v>53</v>
      </c>
      <c r="G97" s="7" t="s">
        <v>47</v>
      </c>
      <c r="H97">
        <v>1</v>
      </c>
      <c r="I97">
        <v>8662.58</v>
      </c>
      <c r="J97">
        <v>0.1</v>
      </c>
      <c r="K97">
        <v>7796.32</v>
      </c>
      <c r="L97">
        <v>4865.51</v>
      </c>
      <c r="M97">
        <v>2930.81</v>
      </c>
      <c r="N97" s="7" t="s">
        <v>33</v>
      </c>
      <c r="O97" s="9">
        <f>IFERROR(RawSalesTable_[[#This Row],[Profit]]/RawSalesTable_[[#This Row],[Revenue]],0)</f>
        <v>0.37592222997516778</v>
      </c>
    </row>
    <row r="98" spans="1:15">
      <c r="A98" s="7" t="s">
        <v>172</v>
      </c>
      <c r="B98" s="8">
        <v>45934</v>
      </c>
      <c r="C98" s="7" t="s">
        <v>22</v>
      </c>
      <c r="D98" s="7" t="s">
        <v>37</v>
      </c>
      <c r="E98" s="7" t="s">
        <v>44</v>
      </c>
      <c r="F98" s="7" t="s">
        <v>53</v>
      </c>
      <c r="G98" s="7" t="s">
        <v>25</v>
      </c>
      <c r="H98">
        <v>8</v>
      </c>
      <c r="I98">
        <v>8324.58</v>
      </c>
      <c r="J98">
        <v>0.15</v>
      </c>
      <c r="K98">
        <v>56607.14</v>
      </c>
      <c r="L98">
        <v>39935.15</v>
      </c>
      <c r="M98">
        <v>16671.990000000002</v>
      </c>
      <c r="N98" s="7" t="s">
        <v>26</v>
      </c>
      <c r="O98" s="9">
        <f>IFERROR(RawSalesTable_[[#This Row],[Profit]]/RawSalesTable_[[#This Row],[Revenue]],0)</f>
        <v>0.29452097385594822</v>
      </c>
    </row>
    <row r="99" spans="1:15">
      <c r="A99" s="7" t="s">
        <v>173</v>
      </c>
      <c r="B99" s="8">
        <v>45847</v>
      </c>
      <c r="C99" s="7" t="s">
        <v>28</v>
      </c>
      <c r="D99" s="7" t="s">
        <v>29</v>
      </c>
      <c r="E99" s="7" t="s">
        <v>17</v>
      </c>
      <c r="F99" s="7" t="s">
        <v>114</v>
      </c>
      <c r="G99" s="7" t="s">
        <v>47</v>
      </c>
      <c r="H99">
        <v>7</v>
      </c>
      <c r="I99">
        <v>55652.92</v>
      </c>
      <c r="J99">
        <v>0.05</v>
      </c>
      <c r="K99">
        <v>370091.92</v>
      </c>
      <c r="L99">
        <v>248420.13</v>
      </c>
      <c r="M99">
        <v>121671.79</v>
      </c>
      <c r="N99" s="7" t="s">
        <v>20</v>
      </c>
      <c r="O99" s="9">
        <f>IFERROR(RawSalesTable_[[#This Row],[Profit]]/RawSalesTable_[[#This Row],[Revenue]],0)</f>
        <v>0.32876100078056286</v>
      </c>
    </row>
    <row r="100" spans="1:15">
      <c r="A100" s="7" t="s">
        <v>174</v>
      </c>
      <c r="B100" s="8">
        <v>45861</v>
      </c>
      <c r="C100" s="7" t="s">
        <v>28</v>
      </c>
      <c r="D100" s="7" t="s">
        <v>52</v>
      </c>
      <c r="E100" s="7" t="s">
        <v>30</v>
      </c>
      <c r="F100" s="7" t="s">
        <v>31</v>
      </c>
      <c r="G100" s="7" t="s">
        <v>58</v>
      </c>
      <c r="H100">
        <v>6</v>
      </c>
      <c r="I100">
        <v>135960.46</v>
      </c>
      <c r="J100">
        <v>0.15</v>
      </c>
      <c r="K100">
        <v>693398.35</v>
      </c>
      <c r="L100">
        <v>603034.93999999994</v>
      </c>
      <c r="M100">
        <v>90363.41</v>
      </c>
      <c r="N100" s="7" t="s">
        <v>26</v>
      </c>
      <c r="O100" s="9">
        <f>IFERROR(RawSalesTable_[[#This Row],[Profit]]/RawSalesTable_[[#This Row],[Revenue]],0)</f>
        <v>0.13031962074902545</v>
      </c>
    </row>
    <row r="101" spans="1:15">
      <c r="A101" s="7" t="s">
        <v>176</v>
      </c>
      <c r="B101" s="8">
        <v>45722</v>
      </c>
      <c r="C101" s="7" t="s">
        <v>22</v>
      </c>
      <c r="D101" s="7" t="s">
        <v>35</v>
      </c>
      <c r="E101" s="7" t="s">
        <v>17</v>
      </c>
      <c r="F101" s="7" t="s">
        <v>24</v>
      </c>
      <c r="G101" s="7" t="s">
        <v>47</v>
      </c>
      <c r="H101">
        <v>1</v>
      </c>
      <c r="I101">
        <v>85384.52</v>
      </c>
      <c r="J101">
        <v>0.05</v>
      </c>
      <c r="K101">
        <v>81115.289999999994</v>
      </c>
      <c r="L101">
        <v>67119.39</v>
      </c>
      <c r="M101">
        <v>13995.9</v>
      </c>
      <c r="N101" s="7" t="s">
        <v>33</v>
      </c>
      <c r="O101" s="9">
        <f>IFERROR(RawSalesTable_[[#This Row],[Profit]]/RawSalesTable_[[#This Row],[Revenue]],0)</f>
        <v>0.17254330225534545</v>
      </c>
    </row>
    <row r="102" spans="1:15">
      <c r="A102" s="7" t="s">
        <v>177</v>
      </c>
      <c r="B102" s="8">
        <v>45732</v>
      </c>
      <c r="C102" s="7" t="s">
        <v>15</v>
      </c>
      <c r="D102" s="7" t="s">
        <v>16</v>
      </c>
      <c r="E102" s="7" t="s">
        <v>44</v>
      </c>
      <c r="F102" s="7" t="s">
        <v>45</v>
      </c>
      <c r="G102" s="7" t="s">
        <v>61</v>
      </c>
      <c r="H102">
        <v>6</v>
      </c>
      <c r="I102">
        <v>29751.119999999999</v>
      </c>
      <c r="J102">
        <v>0.1</v>
      </c>
      <c r="K102">
        <v>160656.04999999999</v>
      </c>
      <c r="L102">
        <v>110602.63</v>
      </c>
      <c r="M102">
        <v>50053.42</v>
      </c>
      <c r="N102" s="7" t="s">
        <v>59</v>
      </c>
      <c r="O102" s="9">
        <f>IFERROR(RawSalesTable_[[#This Row],[Profit]]/RawSalesTable_[[#This Row],[Revenue]],0)</f>
        <v>0.31155639641333149</v>
      </c>
    </row>
    <row r="103" spans="1:15">
      <c r="A103" s="7" t="s">
        <v>178</v>
      </c>
      <c r="B103" s="8">
        <v>45666</v>
      </c>
      <c r="C103" s="7" t="s">
        <v>22</v>
      </c>
      <c r="D103" s="7" t="s">
        <v>23</v>
      </c>
      <c r="E103" s="7" t="s">
        <v>17</v>
      </c>
      <c r="F103" s="7" t="s">
        <v>24</v>
      </c>
      <c r="G103" s="7" t="s">
        <v>61</v>
      </c>
      <c r="H103">
        <v>1</v>
      </c>
      <c r="I103">
        <v>89913.33</v>
      </c>
      <c r="J103">
        <v>0</v>
      </c>
      <c r="K103">
        <v>89913.33</v>
      </c>
      <c r="L103">
        <v>68762.94</v>
      </c>
      <c r="M103">
        <v>21150.39</v>
      </c>
      <c r="N103" s="7" t="s">
        <v>59</v>
      </c>
      <c r="O103" s="9">
        <f>IFERROR(RawSalesTable_[[#This Row],[Profit]]/RawSalesTable_[[#This Row],[Revenue]],0)</f>
        <v>0.23523086065214133</v>
      </c>
    </row>
    <row r="104" spans="1:15">
      <c r="A104" s="7" t="s">
        <v>179</v>
      </c>
      <c r="B104" s="8">
        <v>45713</v>
      </c>
      <c r="C104" s="7" t="s">
        <v>22</v>
      </c>
      <c r="D104" s="7" t="s">
        <v>23</v>
      </c>
      <c r="E104" s="7" t="s">
        <v>49</v>
      </c>
      <c r="F104" s="7" t="s">
        <v>91</v>
      </c>
      <c r="G104" s="7" t="s">
        <v>70</v>
      </c>
      <c r="H104">
        <v>2</v>
      </c>
      <c r="I104">
        <v>6475.3</v>
      </c>
      <c r="J104">
        <v>0.05</v>
      </c>
      <c r="K104">
        <v>12303.07</v>
      </c>
      <c r="L104">
        <v>7242.67</v>
      </c>
      <c r="M104">
        <v>5060.3999999999996</v>
      </c>
      <c r="N104" s="7" t="s">
        <v>26</v>
      </c>
      <c r="O104" s="9">
        <f>IFERROR(RawSalesTable_[[#This Row],[Profit]]/RawSalesTable_[[#This Row],[Revenue]],0)</f>
        <v>0.41131197335299235</v>
      </c>
    </row>
    <row r="105" spans="1:15">
      <c r="A105" s="7" t="s">
        <v>182</v>
      </c>
      <c r="B105" s="8">
        <v>45977</v>
      </c>
      <c r="C105" s="7" t="s">
        <v>15</v>
      </c>
      <c r="D105" s="7" t="s">
        <v>63</v>
      </c>
      <c r="E105" s="7" t="s">
        <v>17</v>
      </c>
      <c r="F105" s="7" t="s">
        <v>75</v>
      </c>
      <c r="G105" s="7" t="s">
        <v>32</v>
      </c>
      <c r="H105">
        <v>6</v>
      </c>
      <c r="I105">
        <v>188205.6</v>
      </c>
      <c r="J105">
        <v>0</v>
      </c>
      <c r="K105">
        <v>1129233.6000000001</v>
      </c>
      <c r="L105">
        <v>833966.07</v>
      </c>
      <c r="M105">
        <v>295267.53000000003</v>
      </c>
      <c r="N105" s="7" t="s">
        <v>20</v>
      </c>
      <c r="O105" s="9">
        <f>IFERROR(RawSalesTable_[[#This Row],[Profit]]/RawSalesTable_[[#This Row],[Revenue]],0)</f>
        <v>0.26147604003281516</v>
      </c>
    </row>
    <row r="106" spans="1:15">
      <c r="A106" s="7" t="s">
        <v>183</v>
      </c>
      <c r="B106" s="8">
        <v>45993</v>
      </c>
      <c r="C106" s="7" t="s">
        <v>15</v>
      </c>
      <c r="D106" s="7" t="s">
        <v>43</v>
      </c>
      <c r="E106" s="7" t="s">
        <v>30</v>
      </c>
      <c r="F106" s="7" t="s">
        <v>40</v>
      </c>
      <c r="G106" s="7" t="s">
        <v>47</v>
      </c>
      <c r="H106">
        <v>7</v>
      </c>
      <c r="I106">
        <v>22928.78</v>
      </c>
      <c r="J106">
        <v>0.15</v>
      </c>
      <c r="K106">
        <v>136426.23999999999</v>
      </c>
      <c r="L106">
        <v>108167.79</v>
      </c>
      <c r="M106">
        <v>28258.45</v>
      </c>
      <c r="N106" s="7" t="s">
        <v>20</v>
      </c>
      <c r="O106" s="9">
        <f>IFERROR(RawSalesTable_[[#This Row],[Profit]]/RawSalesTable_[[#This Row],[Revenue]],0)</f>
        <v>0.20713353970614454</v>
      </c>
    </row>
    <row r="107" spans="1:15">
      <c r="A107" s="7" t="s">
        <v>184</v>
      </c>
      <c r="B107" s="8">
        <v>45876</v>
      </c>
      <c r="C107" s="7" t="s">
        <v>28</v>
      </c>
      <c r="D107" s="7" t="s">
        <v>52</v>
      </c>
      <c r="E107" s="7" t="s">
        <v>49</v>
      </c>
      <c r="F107" s="7" t="s">
        <v>57</v>
      </c>
      <c r="G107" s="7" t="s">
        <v>32</v>
      </c>
      <c r="H107">
        <v>8</v>
      </c>
      <c r="I107">
        <v>11313.66</v>
      </c>
      <c r="J107">
        <v>0.15</v>
      </c>
      <c r="K107">
        <v>76932.89</v>
      </c>
      <c r="L107">
        <v>50786.11</v>
      </c>
      <c r="M107">
        <v>26146.78</v>
      </c>
      <c r="N107" s="7" t="s">
        <v>59</v>
      </c>
      <c r="O107" s="9">
        <f>IFERROR(RawSalesTable_[[#This Row],[Profit]]/RawSalesTable_[[#This Row],[Revenue]],0)</f>
        <v>0.33986478344957533</v>
      </c>
    </row>
    <row r="108" spans="1:15">
      <c r="A108" s="7" t="s">
        <v>185</v>
      </c>
      <c r="B108" s="8">
        <v>45848</v>
      </c>
      <c r="C108" s="7" t="s">
        <v>28</v>
      </c>
      <c r="D108" s="7" t="s">
        <v>52</v>
      </c>
      <c r="E108" s="7" t="s">
        <v>49</v>
      </c>
      <c r="F108" s="7" t="s">
        <v>91</v>
      </c>
      <c r="G108" s="7" t="s">
        <v>61</v>
      </c>
      <c r="H108">
        <v>2</v>
      </c>
      <c r="I108">
        <v>6845.04</v>
      </c>
      <c r="J108">
        <v>0</v>
      </c>
      <c r="K108">
        <v>13690.08</v>
      </c>
      <c r="L108">
        <v>7201.67</v>
      </c>
      <c r="M108">
        <v>6488.41</v>
      </c>
      <c r="N108" s="7" t="s">
        <v>33</v>
      </c>
      <c r="O108" s="9">
        <f>IFERROR(RawSalesTable_[[#This Row],[Profit]]/RawSalesTable_[[#This Row],[Revenue]],0)</f>
        <v>0.47394975047625726</v>
      </c>
    </row>
    <row r="109" spans="1:15">
      <c r="A109" s="7" t="s">
        <v>186</v>
      </c>
      <c r="B109" s="8">
        <v>45874</v>
      </c>
      <c r="C109" s="7" t="s">
        <v>15</v>
      </c>
      <c r="D109" s="7" t="s">
        <v>43</v>
      </c>
      <c r="E109" s="7" t="s">
        <v>30</v>
      </c>
      <c r="F109" s="7" t="s">
        <v>31</v>
      </c>
      <c r="G109" s="7" t="s">
        <v>64</v>
      </c>
      <c r="H109">
        <v>7</v>
      </c>
      <c r="I109">
        <v>131837.72</v>
      </c>
      <c r="J109">
        <v>0.15</v>
      </c>
      <c r="K109">
        <v>784434.43</v>
      </c>
      <c r="L109">
        <v>732366.52</v>
      </c>
      <c r="M109">
        <v>52067.91</v>
      </c>
      <c r="N109" s="7" t="s">
        <v>59</v>
      </c>
      <c r="O109" s="9">
        <f>IFERROR(RawSalesTable_[[#This Row],[Profit]]/RawSalesTable_[[#This Row],[Revenue]],0)</f>
        <v>6.6376370042809066E-2</v>
      </c>
    </row>
    <row r="110" spans="1:15">
      <c r="A110" s="7" t="s">
        <v>187</v>
      </c>
      <c r="B110" s="8">
        <v>45713</v>
      </c>
      <c r="C110" s="7" t="s">
        <v>15</v>
      </c>
      <c r="D110" s="7" t="s">
        <v>63</v>
      </c>
      <c r="E110" s="7" t="s">
        <v>30</v>
      </c>
      <c r="F110" s="7" t="s">
        <v>31</v>
      </c>
      <c r="G110" s="7" t="s">
        <v>32</v>
      </c>
      <c r="H110">
        <v>4</v>
      </c>
      <c r="I110">
        <v>127542.17</v>
      </c>
      <c r="J110">
        <v>0.05</v>
      </c>
      <c r="K110">
        <v>484660.25</v>
      </c>
      <c r="L110">
        <v>398221.64</v>
      </c>
      <c r="M110">
        <v>86438.61</v>
      </c>
      <c r="N110" s="7" t="s">
        <v>59</v>
      </c>
      <c r="O110" s="9">
        <f>IFERROR(RawSalesTable_[[#This Row],[Profit]]/RawSalesTable_[[#This Row],[Revenue]],0)</f>
        <v>0.17834887428874144</v>
      </c>
    </row>
    <row r="111" spans="1:15">
      <c r="A111" s="7" t="s">
        <v>188</v>
      </c>
      <c r="B111" s="8">
        <v>45794</v>
      </c>
      <c r="C111" s="7" t="s">
        <v>22</v>
      </c>
      <c r="D111" s="7" t="s">
        <v>35</v>
      </c>
      <c r="E111" s="7" t="s">
        <v>44</v>
      </c>
      <c r="F111" s="7" t="s">
        <v>53</v>
      </c>
      <c r="G111" s="7" t="s">
        <v>64</v>
      </c>
      <c r="H111">
        <v>1</v>
      </c>
      <c r="I111">
        <v>8648.23</v>
      </c>
      <c r="J111">
        <v>0.15</v>
      </c>
      <c r="K111">
        <v>7351</v>
      </c>
      <c r="L111">
        <v>5037.51</v>
      </c>
      <c r="M111">
        <v>2313.4899999999998</v>
      </c>
      <c r="N111" s="7" t="s">
        <v>26</v>
      </c>
      <c r="O111" s="9">
        <f>IFERROR(RawSalesTable_[[#This Row],[Profit]]/RawSalesTable_[[#This Row],[Revenue]],0)</f>
        <v>0.31471772547952659</v>
      </c>
    </row>
    <row r="112" spans="1:15">
      <c r="A112" s="7" t="s">
        <v>189</v>
      </c>
      <c r="B112" s="8">
        <v>45863</v>
      </c>
      <c r="C112" s="7" t="s">
        <v>28</v>
      </c>
      <c r="D112" s="7" t="s">
        <v>29</v>
      </c>
      <c r="E112" s="7" t="s">
        <v>30</v>
      </c>
      <c r="F112" s="7" t="s">
        <v>38</v>
      </c>
      <c r="G112" s="7" t="s">
        <v>19</v>
      </c>
      <c r="H112">
        <v>6</v>
      </c>
      <c r="I112">
        <v>24866.38</v>
      </c>
      <c r="J112">
        <v>0</v>
      </c>
      <c r="K112">
        <v>149198.28</v>
      </c>
      <c r="L112">
        <v>109041.39</v>
      </c>
      <c r="M112">
        <v>40156.89</v>
      </c>
      <c r="N112" s="7" t="s">
        <v>26</v>
      </c>
      <c r="O112" s="9">
        <f>IFERROR(RawSalesTable_[[#This Row],[Profit]]/RawSalesTable_[[#This Row],[Revenue]],0)</f>
        <v>0.26915115911523912</v>
      </c>
    </row>
    <row r="113" spans="1:15">
      <c r="A113" s="7" t="s">
        <v>190</v>
      </c>
      <c r="B113" s="8">
        <v>45847</v>
      </c>
      <c r="C113" s="7" t="s">
        <v>15</v>
      </c>
      <c r="D113" s="7" t="s">
        <v>43</v>
      </c>
      <c r="E113" s="7" t="s">
        <v>17</v>
      </c>
      <c r="F113" s="7" t="s">
        <v>75</v>
      </c>
      <c r="G113" s="7" t="s">
        <v>58</v>
      </c>
      <c r="H113">
        <v>4</v>
      </c>
      <c r="I113">
        <v>181335.35</v>
      </c>
      <c r="J113">
        <v>0.05</v>
      </c>
      <c r="K113">
        <v>689074.33</v>
      </c>
      <c r="L113">
        <v>564514.02</v>
      </c>
      <c r="M113">
        <v>124560.31</v>
      </c>
      <c r="N113" s="7" t="s">
        <v>59</v>
      </c>
      <c r="O113" s="9">
        <f>IFERROR(RawSalesTable_[[#This Row],[Profit]]/RawSalesTable_[[#This Row],[Revenue]],0)</f>
        <v>0.18076469341123186</v>
      </c>
    </row>
    <row r="114" spans="1:15">
      <c r="A114" s="7" t="s">
        <v>191</v>
      </c>
      <c r="B114" s="8">
        <v>45699</v>
      </c>
      <c r="C114" s="7" t="s">
        <v>15</v>
      </c>
      <c r="D114" s="7" t="s">
        <v>43</v>
      </c>
      <c r="E114" s="7" t="s">
        <v>17</v>
      </c>
      <c r="F114" s="7" t="s">
        <v>75</v>
      </c>
      <c r="G114" s="7" t="s">
        <v>58</v>
      </c>
      <c r="H114">
        <v>3</v>
      </c>
      <c r="I114">
        <v>174859.33</v>
      </c>
      <c r="J114">
        <v>0.1</v>
      </c>
      <c r="K114">
        <v>472120.19</v>
      </c>
      <c r="L114">
        <v>414703.92</v>
      </c>
      <c r="M114">
        <v>57416.27</v>
      </c>
      <c r="N114" s="7" t="s">
        <v>20</v>
      </c>
      <c r="O114" s="9">
        <f>IFERROR(RawSalesTable_[[#This Row],[Profit]]/RawSalesTable_[[#This Row],[Revenue]],0)</f>
        <v>0.12161367214564579</v>
      </c>
    </row>
    <row r="115" spans="1:15">
      <c r="A115" s="7" t="s">
        <v>192</v>
      </c>
      <c r="B115" s="8">
        <v>45878</v>
      </c>
      <c r="C115" s="7" t="s">
        <v>15</v>
      </c>
      <c r="D115" s="7" t="s">
        <v>63</v>
      </c>
      <c r="E115" s="7" t="s">
        <v>49</v>
      </c>
      <c r="F115" s="7" t="s">
        <v>107</v>
      </c>
      <c r="G115" s="7" t="s">
        <v>19</v>
      </c>
      <c r="H115">
        <v>7</v>
      </c>
      <c r="I115">
        <v>5011.2700000000004</v>
      </c>
      <c r="J115">
        <v>0.1</v>
      </c>
      <c r="K115">
        <v>31571</v>
      </c>
      <c r="L115">
        <v>18483.580000000002</v>
      </c>
      <c r="M115">
        <v>13087.42</v>
      </c>
      <c r="N115" s="7" t="s">
        <v>59</v>
      </c>
      <c r="O115" s="9">
        <f>IFERROR(RawSalesTable_[[#This Row],[Profit]]/RawSalesTable_[[#This Row],[Revenue]],0)</f>
        <v>0.41453929238858445</v>
      </c>
    </row>
    <row r="116" spans="1:15">
      <c r="A116" s="7" t="s">
        <v>193</v>
      </c>
      <c r="B116" s="8">
        <v>45762</v>
      </c>
      <c r="C116" s="7" t="s">
        <v>15</v>
      </c>
      <c r="D116" s="7" t="s">
        <v>43</v>
      </c>
      <c r="E116" s="7" t="s">
        <v>49</v>
      </c>
      <c r="F116" s="7" t="s">
        <v>57</v>
      </c>
      <c r="G116" s="7" t="s">
        <v>58</v>
      </c>
      <c r="H116">
        <v>1</v>
      </c>
      <c r="I116">
        <v>10985.75</v>
      </c>
      <c r="J116">
        <v>0.1</v>
      </c>
      <c r="K116">
        <v>9887.18</v>
      </c>
      <c r="L116">
        <v>6329.93</v>
      </c>
      <c r="M116">
        <v>3557.25</v>
      </c>
      <c r="N116" s="7" t="s">
        <v>26</v>
      </c>
      <c r="O116" s="9">
        <f>IFERROR(RawSalesTable_[[#This Row],[Profit]]/RawSalesTable_[[#This Row],[Revenue]],0)</f>
        <v>0.35978408403609524</v>
      </c>
    </row>
    <row r="117" spans="1:15">
      <c r="A117" s="7" t="s">
        <v>194</v>
      </c>
      <c r="B117" s="8">
        <v>45724</v>
      </c>
      <c r="C117" s="7" t="s">
        <v>22</v>
      </c>
      <c r="D117" s="7" t="s">
        <v>35</v>
      </c>
      <c r="E117" s="7" t="s">
        <v>30</v>
      </c>
      <c r="F117" s="7" t="s">
        <v>38</v>
      </c>
      <c r="G117" s="7" t="s">
        <v>25</v>
      </c>
      <c r="H117">
        <v>2</v>
      </c>
      <c r="I117">
        <v>24873.39</v>
      </c>
      <c r="J117">
        <v>0.15</v>
      </c>
      <c r="K117">
        <v>42284.76</v>
      </c>
      <c r="L117">
        <v>36005.25</v>
      </c>
      <c r="M117">
        <v>6279.51</v>
      </c>
      <c r="N117" s="7" t="s">
        <v>26</v>
      </c>
      <c r="O117" s="9">
        <f>IFERROR(RawSalesTable_[[#This Row],[Profit]]/RawSalesTable_[[#This Row],[Revenue]],0)</f>
        <v>0.1485052770785503</v>
      </c>
    </row>
    <row r="118" spans="1:15">
      <c r="A118" s="7" t="s">
        <v>195</v>
      </c>
      <c r="B118" s="8">
        <v>45893</v>
      </c>
      <c r="C118" s="7" t="s">
        <v>15</v>
      </c>
      <c r="D118" s="7" t="s">
        <v>43</v>
      </c>
      <c r="E118" s="7" t="s">
        <v>30</v>
      </c>
      <c r="F118" s="7" t="s">
        <v>31</v>
      </c>
      <c r="G118" s="7" t="s">
        <v>19</v>
      </c>
      <c r="H118">
        <v>7</v>
      </c>
      <c r="I118">
        <v>142814.10999999999</v>
      </c>
      <c r="J118">
        <v>0</v>
      </c>
      <c r="K118">
        <v>999698.77</v>
      </c>
      <c r="L118">
        <v>707378.51</v>
      </c>
      <c r="M118">
        <v>292320.26</v>
      </c>
      <c r="N118" s="7" t="s">
        <v>59</v>
      </c>
      <c r="O118" s="9">
        <f>IFERROR(RawSalesTable_[[#This Row],[Profit]]/RawSalesTable_[[#This Row],[Revenue]],0)</f>
        <v>0.29240834216491035</v>
      </c>
    </row>
    <row r="119" spans="1:15">
      <c r="A119" s="7" t="s">
        <v>196</v>
      </c>
      <c r="B119" s="8">
        <v>45745</v>
      </c>
      <c r="C119" s="7" t="s">
        <v>15</v>
      </c>
      <c r="D119" s="7" t="s">
        <v>63</v>
      </c>
      <c r="E119" s="7" t="s">
        <v>49</v>
      </c>
      <c r="F119" s="7" t="s">
        <v>107</v>
      </c>
      <c r="G119" s="7" t="s">
        <v>70</v>
      </c>
      <c r="H119">
        <v>5</v>
      </c>
      <c r="I119">
        <v>4879.82</v>
      </c>
      <c r="J119">
        <v>0</v>
      </c>
      <c r="K119">
        <v>24399.1</v>
      </c>
      <c r="L119">
        <v>14008.06</v>
      </c>
      <c r="M119">
        <v>10391.040000000001</v>
      </c>
      <c r="N119" s="7" t="s">
        <v>59</v>
      </c>
      <c r="O119" s="9">
        <f>IFERROR(RawSalesTable_[[#This Row],[Profit]]/RawSalesTable_[[#This Row],[Revenue]],0)</f>
        <v>0.42587800369685774</v>
      </c>
    </row>
    <row r="120" spans="1:15">
      <c r="A120" s="7" t="s">
        <v>197</v>
      </c>
      <c r="B120" s="8">
        <v>45875</v>
      </c>
      <c r="C120" s="7" t="s">
        <v>22</v>
      </c>
      <c r="D120" s="7" t="s">
        <v>35</v>
      </c>
      <c r="E120" s="7" t="s">
        <v>17</v>
      </c>
      <c r="F120" s="7" t="s">
        <v>24</v>
      </c>
      <c r="G120" s="7" t="s">
        <v>32</v>
      </c>
      <c r="H120">
        <v>7</v>
      </c>
      <c r="I120">
        <v>93308.19</v>
      </c>
      <c r="J120">
        <v>0.1</v>
      </c>
      <c r="K120">
        <v>587841.6</v>
      </c>
      <c r="L120">
        <v>464340.52</v>
      </c>
      <c r="M120">
        <v>123501.08</v>
      </c>
      <c r="N120" s="7" t="s">
        <v>26</v>
      </c>
      <c r="O120" s="9">
        <f>IFERROR(RawSalesTable_[[#This Row],[Profit]]/RawSalesTable_[[#This Row],[Revenue]],0)</f>
        <v>0.21009244667270913</v>
      </c>
    </row>
    <row r="121" spans="1:15">
      <c r="A121" s="7" t="s">
        <v>199</v>
      </c>
      <c r="B121" s="8">
        <v>45988</v>
      </c>
      <c r="C121" s="7" t="s">
        <v>28</v>
      </c>
      <c r="D121" s="7" t="s">
        <v>52</v>
      </c>
      <c r="E121" s="7" t="s">
        <v>17</v>
      </c>
      <c r="F121" s="7" t="s">
        <v>75</v>
      </c>
      <c r="G121" s="7" t="s">
        <v>61</v>
      </c>
      <c r="H121">
        <v>4</v>
      </c>
      <c r="I121">
        <v>197015.31</v>
      </c>
      <c r="J121">
        <v>0.05</v>
      </c>
      <c r="K121">
        <v>748658.18</v>
      </c>
      <c r="L121">
        <v>564919.73</v>
      </c>
      <c r="M121">
        <v>183738.45</v>
      </c>
      <c r="N121" s="7" t="s">
        <v>26</v>
      </c>
      <c r="O121" s="9">
        <f>IFERROR(RawSalesTable_[[#This Row],[Profit]]/RawSalesTable_[[#This Row],[Revenue]],0)</f>
        <v>0.24542368588025046</v>
      </c>
    </row>
    <row r="122" spans="1:15">
      <c r="A122" s="7" t="s">
        <v>200</v>
      </c>
      <c r="B122" s="8">
        <v>45979</v>
      </c>
      <c r="C122" s="7" t="s">
        <v>22</v>
      </c>
      <c r="D122" s="7" t="s">
        <v>23</v>
      </c>
      <c r="E122" s="7" t="s">
        <v>30</v>
      </c>
      <c r="F122" s="7" t="s">
        <v>86</v>
      </c>
      <c r="G122" s="7" t="s">
        <v>70</v>
      </c>
      <c r="H122">
        <v>3</v>
      </c>
      <c r="I122">
        <v>33540.67</v>
      </c>
      <c r="J122">
        <v>0.15</v>
      </c>
      <c r="K122">
        <v>85528.71</v>
      </c>
      <c r="L122">
        <v>65831.039999999994</v>
      </c>
      <c r="M122">
        <v>19697.669999999998</v>
      </c>
      <c r="N122" s="7" t="s">
        <v>20</v>
      </c>
      <c r="O122" s="9">
        <f>IFERROR(RawSalesTable_[[#This Row],[Profit]]/RawSalesTable_[[#This Row],[Revenue]],0)</f>
        <v>0.23030477134520089</v>
      </c>
    </row>
    <row r="123" spans="1:15">
      <c r="A123" s="7" t="s">
        <v>201</v>
      </c>
      <c r="B123" s="8">
        <v>45981</v>
      </c>
      <c r="C123" s="7" t="s">
        <v>15</v>
      </c>
      <c r="D123" s="7" t="s">
        <v>43</v>
      </c>
      <c r="E123" s="7" t="s">
        <v>49</v>
      </c>
      <c r="F123" s="7" t="s">
        <v>57</v>
      </c>
      <c r="G123" s="7" t="s">
        <v>58</v>
      </c>
      <c r="H123">
        <v>6</v>
      </c>
      <c r="I123">
        <v>10857.76</v>
      </c>
      <c r="J123">
        <v>0</v>
      </c>
      <c r="K123">
        <v>65146.559999999998</v>
      </c>
      <c r="L123">
        <v>39110.15</v>
      </c>
      <c r="M123">
        <v>26036.41</v>
      </c>
      <c r="N123" s="7" t="s">
        <v>59</v>
      </c>
      <c r="O123" s="9">
        <f>IFERROR(RawSalesTable_[[#This Row],[Profit]]/RawSalesTable_[[#This Row],[Revenue]],0)</f>
        <v>0.39965901499634054</v>
      </c>
    </row>
    <row r="124" spans="1:15">
      <c r="A124" s="7" t="s">
        <v>202</v>
      </c>
      <c r="B124" s="8">
        <v>45804</v>
      </c>
      <c r="C124" s="7" t="s">
        <v>15</v>
      </c>
      <c r="D124" s="7" t="s">
        <v>16</v>
      </c>
      <c r="E124" s="7" t="s">
        <v>30</v>
      </c>
      <c r="F124" s="7" t="s">
        <v>31</v>
      </c>
      <c r="G124" s="7" t="s">
        <v>19</v>
      </c>
      <c r="H124">
        <v>5</v>
      </c>
      <c r="I124">
        <v>134173.64000000001</v>
      </c>
      <c r="J124">
        <v>0</v>
      </c>
      <c r="K124">
        <v>670868.19999999995</v>
      </c>
      <c r="L124">
        <v>491861.06</v>
      </c>
      <c r="M124">
        <v>179007.14</v>
      </c>
      <c r="N124" s="7" t="s">
        <v>33</v>
      </c>
      <c r="O124" s="9">
        <f>IFERROR(RawSalesTable_[[#This Row],[Profit]]/RawSalesTable_[[#This Row],[Revenue]],0)</f>
        <v>0.26682907313239773</v>
      </c>
    </row>
    <row r="125" spans="1:15">
      <c r="A125" s="7" t="s">
        <v>203</v>
      </c>
      <c r="B125" s="8">
        <v>45822</v>
      </c>
      <c r="C125" s="7" t="s">
        <v>15</v>
      </c>
      <c r="D125" s="7" t="s">
        <v>43</v>
      </c>
      <c r="E125" s="7" t="s">
        <v>49</v>
      </c>
      <c r="F125" s="7" t="s">
        <v>107</v>
      </c>
      <c r="G125" s="7" t="s">
        <v>70</v>
      </c>
      <c r="H125">
        <v>1</v>
      </c>
      <c r="I125">
        <v>5158.18</v>
      </c>
      <c r="J125">
        <v>0.1</v>
      </c>
      <c r="K125">
        <v>4642.3599999999997</v>
      </c>
      <c r="L125">
        <v>2742.2</v>
      </c>
      <c r="M125">
        <v>1900.16</v>
      </c>
      <c r="N125" s="7" t="s">
        <v>26</v>
      </c>
      <c r="O125" s="9">
        <f>IFERROR(RawSalesTable_[[#This Row],[Profit]]/RawSalesTable_[[#This Row],[Revenue]],0)</f>
        <v>0.40930905832378361</v>
      </c>
    </row>
    <row r="126" spans="1:15">
      <c r="A126" s="7" t="s">
        <v>204</v>
      </c>
      <c r="B126" s="8">
        <v>46020</v>
      </c>
      <c r="C126" s="7" t="s">
        <v>22</v>
      </c>
      <c r="D126" s="7" t="s">
        <v>35</v>
      </c>
      <c r="E126" s="7" t="s">
        <v>17</v>
      </c>
      <c r="F126" s="7" t="s">
        <v>18</v>
      </c>
      <c r="G126" s="7" t="s">
        <v>70</v>
      </c>
      <c r="H126">
        <v>2</v>
      </c>
      <c r="I126">
        <v>14510.55</v>
      </c>
      <c r="J126">
        <v>0</v>
      </c>
      <c r="K126">
        <v>29021.1</v>
      </c>
      <c r="L126">
        <v>15952.94</v>
      </c>
      <c r="M126">
        <v>13068.16</v>
      </c>
      <c r="N126" s="7" t="s">
        <v>20</v>
      </c>
      <c r="O126" s="9">
        <f>IFERROR(RawSalesTable_[[#This Row],[Profit]]/RawSalesTable_[[#This Row],[Revenue]],0)</f>
        <v>0.45029857586376809</v>
      </c>
    </row>
    <row r="127" spans="1:15">
      <c r="A127" s="7" t="s">
        <v>205</v>
      </c>
      <c r="B127" s="8">
        <v>45831</v>
      </c>
      <c r="C127" s="7" t="s">
        <v>15</v>
      </c>
      <c r="D127" s="7" t="s">
        <v>43</v>
      </c>
      <c r="E127" s="7" t="s">
        <v>44</v>
      </c>
      <c r="F127" s="7" t="s">
        <v>69</v>
      </c>
      <c r="G127" s="7" t="s">
        <v>64</v>
      </c>
      <c r="H127">
        <v>6</v>
      </c>
      <c r="I127">
        <v>40541.06</v>
      </c>
      <c r="J127">
        <v>0.05</v>
      </c>
      <c r="K127">
        <v>231084.04</v>
      </c>
      <c r="L127">
        <v>155783.76</v>
      </c>
      <c r="M127">
        <v>75300.28</v>
      </c>
      <c r="N127" s="7" t="s">
        <v>59</v>
      </c>
      <c r="O127" s="9">
        <f>IFERROR(RawSalesTable_[[#This Row],[Profit]]/RawSalesTable_[[#This Row],[Revenue]],0)</f>
        <v>0.32585668832862708</v>
      </c>
    </row>
    <row r="128" spans="1:15">
      <c r="A128" s="7" t="s">
        <v>206</v>
      </c>
      <c r="B128" s="8">
        <v>45966</v>
      </c>
      <c r="C128" s="7" t="s">
        <v>22</v>
      </c>
      <c r="D128" s="7" t="s">
        <v>35</v>
      </c>
      <c r="E128" s="7" t="s">
        <v>17</v>
      </c>
      <c r="F128" s="7" t="s">
        <v>114</v>
      </c>
      <c r="G128" s="7" t="s">
        <v>61</v>
      </c>
      <c r="H128">
        <v>5</v>
      </c>
      <c r="I128">
        <v>49936.6</v>
      </c>
      <c r="J128">
        <v>0.15</v>
      </c>
      <c r="K128">
        <v>212230.55</v>
      </c>
      <c r="L128">
        <v>189345.34</v>
      </c>
      <c r="M128">
        <v>22885.21</v>
      </c>
      <c r="N128" s="7" t="s">
        <v>59</v>
      </c>
      <c r="O128" s="9">
        <f>IFERROR(RawSalesTable_[[#This Row],[Profit]]/RawSalesTable_[[#This Row],[Revenue]],0)</f>
        <v>0.1078318366512267</v>
      </c>
    </row>
    <row r="129" spans="1:15">
      <c r="A129" s="7" t="s">
        <v>208</v>
      </c>
      <c r="B129" s="8">
        <v>45724</v>
      </c>
      <c r="C129" s="7" t="s">
        <v>22</v>
      </c>
      <c r="D129" s="7" t="s">
        <v>37</v>
      </c>
      <c r="E129" s="7" t="s">
        <v>44</v>
      </c>
      <c r="F129" s="7" t="s">
        <v>69</v>
      </c>
      <c r="G129" s="7" t="s">
        <v>19</v>
      </c>
      <c r="H129">
        <v>5</v>
      </c>
      <c r="I129">
        <v>40843.589999999997</v>
      </c>
      <c r="J129">
        <v>0.15</v>
      </c>
      <c r="K129">
        <v>173585.26</v>
      </c>
      <c r="L129">
        <v>132125.43</v>
      </c>
      <c r="M129">
        <v>41459.83</v>
      </c>
      <c r="N129" s="7" t="s">
        <v>59</v>
      </c>
      <c r="O129" s="9">
        <f>IFERROR(RawSalesTable_[[#This Row],[Profit]]/RawSalesTable_[[#This Row],[Revenue]],0)</f>
        <v>0.23884418527241311</v>
      </c>
    </row>
    <row r="130" spans="1:15">
      <c r="A130" s="7" t="s">
        <v>209</v>
      </c>
      <c r="B130" s="8">
        <v>45667</v>
      </c>
      <c r="C130" s="7" t="s">
        <v>15</v>
      </c>
      <c r="D130" s="7" t="s">
        <v>63</v>
      </c>
      <c r="E130" s="7" t="s">
        <v>30</v>
      </c>
      <c r="F130" s="7" t="s">
        <v>86</v>
      </c>
      <c r="G130" s="7" t="s">
        <v>32</v>
      </c>
      <c r="H130">
        <v>2</v>
      </c>
      <c r="I130">
        <v>33771.01</v>
      </c>
      <c r="J130">
        <v>0.05</v>
      </c>
      <c r="K130">
        <v>64164.92</v>
      </c>
      <c r="L130">
        <v>45251.74</v>
      </c>
      <c r="M130">
        <v>18913.18</v>
      </c>
      <c r="N130" s="7" t="s">
        <v>59</v>
      </c>
      <c r="O130" s="9">
        <f>IFERROR(RawSalesTable_[[#This Row],[Profit]]/RawSalesTable_[[#This Row],[Revenue]],0)</f>
        <v>0.29475888070927231</v>
      </c>
    </row>
    <row r="131" spans="1:15">
      <c r="A131" s="7" t="s">
        <v>210</v>
      </c>
      <c r="B131" s="8">
        <v>45809</v>
      </c>
      <c r="C131" s="7" t="s">
        <v>22</v>
      </c>
      <c r="D131" s="7" t="s">
        <v>23</v>
      </c>
      <c r="E131" s="7" t="s">
        <v>30</v>
      </c>
      <c r="F131" s="7" t="s">
        <v>40</v>
      </c>
      <c r="G131" s="7" t="s">
        <v>19</v>
      </c>
      <c r="H131">
        <v>4</v>
      </c>
      <c r="I131">
        <v>23428.05</v>
      </c>
      <c r="J131">
        <v>0</v>
      </c>
      <c r="K131">
        <v>93712.2</v>
      </c>
      <c r="L131">
        <v>61989.48</v>
      </c>
      <c r="M131">
        <v>31722.720000000001</v>
      </c>
      <c r="N131" s="7" t="s">
        <v>33</v>
      </c>
      <c r="O131" s="9">
        <f>IFERROR(RawSalesTable_[[#This Row],[Profit]]/RawSalesTable_[[#This Row],[Revenue]],0)</f>
        <v>0.33851216810618046</v>
      </c>
    </row>
    <row r="132" spans="1:15">
      <c r="A132" s="7" t="s">
        <v>211</v>
      </c>
      <c r="B132" s="8">
        <v>45742</v>
      </c>
      <c r="C132" s="7" t="s">
        <v>15</v>
      </c>
      <c r="D132" s="7" t="s">
        <v>63</v>
      </c>
      <c r="E132" s="7" t="s">
        <v>44</v>
      </c>
      <c r="F132" s="7" t="s">
        <v>53</v>
      </c>
      <c r="G132" s="7" t="s">
        <v>70</v>
      </c>
      <c r="H132">
        <v>3</v>
      </c>
      <c r="I132">
        <v>8040.66</v>
      </c>
      <c r="J132">
        <v>0.15</v>
      </c>
      <c r="K132">
        <v>20503.68</v>
      </c>
      <c r="L132">
        <v>15052.46</v>
      </c>
      <c r="M132">
        <v>5451.22</v>
      </c>
      <c r="N132" s="7" t="s">
        <v>33</v>
      </c>
      <c r="O132" s="9">
        <f>IFERROR(RawSalesTable_[[#This Row],[Profit]]/RawSalesTable_[[#This Row],[Revenue]],0)</f>
        <v>0.26586544464213252</v>
      </c>
    </row>
    <row r="133" spans="1:15">
      <c r="A133" s="7" t="s">
        <v>212</v>
      </c>
      <c r="B133" s="8">
        <v>45780</v>
      </c>
      <c r="C133" s="7" t="s">
        <v>28</v>
      </c>
      <c r="D133" s="7" t="s">
        <v>56</v>
      </c>
      <c r="E133" s="7" t="s">
        <v>44</v>
      </c>
      <c r="F133" s="7" t="s">
        <v>53</v>
      </c>
      <c r="G133" s="7" t="s">
        <v>58</v>
      </c>
      <c r="H133">
        <v>5</v>
      </c>
      <c r="I133">
        <v>8843.25</v>
      </c>
      <c r="J133">
        <v>0.05</v>
      </c>
      <c r="K133">
        <v>42005.440000000002</v>
      </c>
      <c r="L133">
        <v>24166.32</v>
      </c>
      <c r="M133">
        <v>17839.12</v>
      </c>
      <c r="N133" s="7" t="s">
        <v>20</v>
      </c>
      <c r="O133" s="9">
        <f>IFERROR(RawSalesTable_[[#This Row],[Profit]]/RawSalesTable_[[#This Row],[Revenue]],0)</f>
        <v>0.42468594543944782</v>
      </c>
    </row>
    <row r="134" spans="1:15">
      <c r="A134" s="7" t="s">
        <v>213</v>
      </c>
      <c r="B134" s="8">
        <v>45740</v>
      </c>
      <c r="C134" s="7" t="s">
        <v>22</v>
      </c>
      <c r="D134" s="7" t="s">
        <v>35</v>
      </c>
      <c r="E134" s="7" t="s">
        <v>49</v>
      </c>
      <c r="F134" s="7" t="s">
        <v>107</v>
      </c>
      <c r="G134" s="7" t="s">
        <v>47</v>
      </c>
      <c r="H134">
        <v>5</v>
      </c>
      <c r="I134">
        <v>5431.4</v>
      </c>
      <c r="J134">
        <v>0.1</v>
      </c>
      <c r="K134">
        <v>24441.3</v>
      </c>
      <c r="L134">
        <v>13593.45</v>
      </c>
      <c r="M134">
        <v>10847.85</v>
      </c>
      <c r="N134" s="7" t="s">
        <v>26</v>
      </c>
      <c r="O134" s="9">
        <f>IFERROR(RawSalesTable_[[#This Row],[Profit]]/RawSalesTable_[[#This Row],[Revenue]],0)</f>
        <v>0.44383277485240152</v>
      </c>
    </row>
    <row r="135" spans="1:15">
      <c r="A135" s="7" t="s">
        <v>214</v>
      </c>
      <c r="B135" s="8">
        <v>45803</v>
      </c>
      <c r="C135" s="7" t="s">
        <v>28</v>
      </c>
      <c r="D135" s="7" t="s">
        <v>52</v>
      </c>
      <c r="E135" s="7" t="s">
        <v>49</v>
      </c>
      <c r="F135" s="7" t="s">
        <v>57</v>
      </c>
      <c r="G135" s="7" t="s">
        <v>19</v>
      </c>
      <c r="H135">
        <v>2</v>
      </c>
      <c r="I135">
        <v>11888.98</v>
      </c>
      <c r="J135">
        <v>0.1</v>
      </c>
      <c r="K135">
        <v>21400.16</v>
      </c>
      <c r="L135">
        <v>13384.56</v>
      </c>
      <c r="M135">
        <v>8015.6</v>
      </c>
      <c r="N135" s="7" t="s">
        <v>26</v>
      </c>
      <c r="O135" s="9">
        <f>IFERROR(RawSalesTable_[[#This Row],[Profit]]/RawSalesTable_[[#This Row],[Revenue]],0)</f>
        <v>0.37455794723030111</v>
      </c>
    </row>
    <row r="136" spans="1:15">
      <c r="A136" s="7" t="s">
        <v>215</v>
      </c>
      <c r="B136" s="8">
        <v>45836</v>
      </c>
      <c r="C136" s="7" t="s">
        <v>28</v>
      </c>
      <c r="D136" s="7" t="s">
        <v>56</v>
      </c>
      <c r="E136" s="7" t="s">
        <v>44</v>
      </c>
      <c r="F136" s="7" t="s">
        <v>53</v>
      </c>
      <c r="G136" s="7" t="s">
        <v>64</v>
      </c>
      <c r="H136">
        <v>2</v>
      </c>
      <c r="I136">
        <v>9107.1200000000008</v>
      </c>
      <c r="J136">
        <v>0</v>
      </c>
      <c r="K136">
        <v>18214.240000000002</v>
      </c>
      <c r="L136">
        <v>10066.26</v>
      </c>
      <c r="M136">
        <v>8147.98</v>
      </c>
      <c r="N136" s="7" t="s">
        <v>20</v>
      </c>
      <c r="O136" s="9">
        <f>IFERROR(RawSalesTable_[[#This Row],[Profit]]/RawSalesTable_[[#This Row],[Revenue]],0)</f>
        <v>0.44734120117007348</v>
      </c>
    </row>
    <row r="137" spans="1:15">
      <c r="A137" s="7" t="s">
        <v>216</v>
      </c>
      <c r="B137" s="8">
        <v>45821</v>
      </c>
      <c r="C137" s="7" t="s">
        <v>22</v>
      </c>
      <c r="D137" s="7" t="s">
        <v>35</v>
      </c>
      <c r="E137" s="7" t="s">
        <v>30</v>
      </c>
      <c r="F137" s="7" t="s">
        <v>86</v>
      </c>
      <c r="G137" s="7" t="s">
        <v>19</v>
      </c>
      <c r="H137">
        <v>7</v>
      </c>
      <c r="I137">
        <v>35611.089999999997</v>
      </c>
      <c r="J137">
        <v>0.05</v>
      </c>
      <c r="K137">
        <v>236813.75</v>
      </c>
      <c r="L137">
        <v>155250.54</v>
      </c>
      <c r="M137">
        <v>81563.210000000006</v>
      </c>
      <c r="N137" s="7" t="s">
        <v>59</v>
      </c>
      <c r="O137" s="9">
        <f>IFERROR(RawSalesTable_[[#This Row],[Profit]]/RawSalesTable_[[#This Row],[Revenue]],0)</f>
        <v>0.34441923241365846</v>
      </c>
    </row>
    <row r="138" spans="1:15">
      <c r="A138" s="7" t="s">
        <v>217</v>
      </c>
      <c r="B138" s="8">
        <v>45898</v>
      </c>
      <c r="C138" s="7" t="s">
        <v>22</v>
      </c>
      <c r="D138" s="7" t="s">
        <v>23</v>
      </c>
      <c r="E138" s="7" t="s">
        <v>17</v>
      </c>
      <c r="F138" s="7" t="s">
        <v>18</v>
      </c>
      <c r="G138" s="7" t="s">
        <v>70</v>
      </c>
      <c r="H138">
        <v>8</v>
      </c>
      <c r="I138">
        <v>14954.89</v>
      </c>
      <c r="J138">
        <v>0</v>
      </c>
      <c r="K138">
        <v>119639.12</v>
      </c>
      <c r="L138">
        <v>67116.600000000006</v>
      </c>
      <c r="M138">
        <v>52522.52</v>
      </c>
      <c r="N138" s="7" t="s">
        <v>33</v>
      </c>
      <c r="O138" s="9">
        <f>IFERROR(RawSalesTable_[[#This Row],[Profit]]/RawSalesTable_[[#This Row],[Revenue]],0)</f>
        <v>0.4390079097873672</v>
      </c>
    </row>
    <row r="139" spans="1:15">
      <c r="A139" s="7" t="s">
        <v>218</v>
      </c>
      <c r="B139" s="8">
        <v>45874</v>
      </c>
      <c r="C139" s="7" t="s">
        <v>22</v>
      </c>
      <c r="D139" s="7" t="s">
        <v>23</v>
      </c>
      <c r="E139" s="7" t="s">
        <v>30</v>
      </c>
      <c r="F139" s="7" t="s">
        <v>86</v>
      </c>
      <c r="G139" s="7" t="s">
        <v>19</v>
      </c>
      <c r="H139">
        <v>3</v>
      </c>
      <c r="I139">
        <v>33257.69</v>
      </c>
      <c r="J139">
        <v>0.15</v>
      </c>
      <c r="K139">
        <v>84807.11</v>
      </c>
      <c r="L139">
        <v>68351.960000000006</v>
      </c>
      <c r="M139">
        <v>16455.150000000001</v>
      </c>
      <c r="N139" s="7" t="s">
        <v>59</v>
      </c>
      <c r="O139" s="9">
        <f>IFERROR(RawSalesTable_[[#This Row],[Profit]]/RawSalesTable_[[#This Row],[Revenue]],0)</f>
        <v>0.19403031184531583</v>
      </c>
    </row>
    <row r="140" spans="1:15">
      <c r="A140" s="7" t="s">
        <v>219</v>
      </c>
      <c r="B140" s="8">
        <v>45714</v>
      </c>
      <c r="C140" s="7" t="s">
        <v>22</v>
      </c>
      <c r="D140" s="7" t="s">
        <v>35</v>
      </c>
      <c r="E140" s="7" t="s">
        <v>17</v>
      </c>
      <c r="F140" s="7" t="s">
        <v>75</v>
      </c>
      <c r="G140" s="7" t="s">
        <v>70</v>
      </c>
      <c r="H140">
        <v>4</v>
      </c>
      <c r="I140">
        <v>182626.84</v>
      </c>
      <c r="J140">
        <v>0.1</v>
      </c>
      <c r="K140">
        <v>657456.62</v>
      </c>
      <c r="L140">
        <v>569134.84</v>
      </c>
      <c r="M140">
        <v>88321.78</v>
      </c>
      <c r="N140" s="7" t="s">
        <v>33</v>
      </c>
      <c r="O140" s="9">
        <f>IFERROR(RawSalesTable_[[#This Row],[Profit]]/RawSalesTable_[[#This Row],[Revenue]],0)</f>
        <v>0.13433856670269742</v>
      </c>
    </row>
    <row r="141" spans="1:15">
      <c r="A141" s="7" t="s">
        <v>220</v>
      </c>
      <c r="B141" s="8">
        <v>45950</v>
      </c>
      <c r="C141" s="7" t="s">
        <v>15</v>
      </c>
      <c r="D141" s="7" t="s">
        <v>43</v>
      </c>
      <c r="E141" s="7" t="s">
        <v>44</v>
      </c>
      <c r="F141" s="7" t="s">
        <v>45</v>
      </c>
      <c r="G141" s="7" t="s">
        <v>25</v>
      </c>
      <c r="H141">
        <v>5</v>
      </c>
      <c r="I141">
        <v>28177.33</v>
      </c>
      <c r="J141">
        <v>0.1</v>
      </c>
      <c r="K141">
        <v>126797.99</v>
      </c>
      <c r="L141">
        <v>94496.23</v>
      </c>
      <c r="M141">
        <v>32301.759999999998</v>
      </c>
      <c r="N141" s="7" t="s">
        <v>26</v>
      </c>
      <c r="O141" s="9">
        <f>IFERROR(RawSalesTable_[[#This Row],[Profit]]/RawSalesTable_[[#This Row],[Revenue]],0)</f>
        <v>0.25474977955092187</v>
      </c>
    </row>
    <row r="142" spans="1:15">
      <c r="A142" s="7" t="s">
        <v>221</v>
      </c>
      <c r="B142" s="8">
        <v>45917</v>
      </c>
      <c r="C142" s="7" t="s">
        <v>15</v>
      </c>
      <c r="D142" s="7" t="s">
        <v>43</v>
      </c>
      <c r="E142" s="7" t="s">
        <v>17</v>
      </c>
      <c r="F142" s="7" t="s">
        <v>18</v>
      </c>
      <c r="G142" s="7" t="s">
        <v>64</v>
      </c>
      <c r="H142">
        <v>2</v>
      </c>
      <c r="I142">
        <v>15551.9</v>
      </c>
      <c r="J142">
        <v>0.1</v>
      </c>
      <c r="K142">
        <v>27993.42</v>
      </c>
      <c r="L142">
        <v>16490.41</v>
      </c>
      <c r="M142">
        <v>11503.01</v>
      </c>
      <c r="N142" s="7" t="s">
        <v>20</v>
      </c>
      <c r="O142" s="9">
        <f>IFERROR(RawSalesTable_[[#This Row],[Profit]]/RawSalesTable_[[#This Row],[Revenue]],0)</f>
        <v>0.41091835152689454</v>
      </c>
    </row>
    <row r="143" spans="1:15">
      <c r="A143" s="7" t="s">
        <v>222</v>
      </c>
      <c r="B143" s="8">
        <v>45834</v>
      </c>
      <c r="C143" s="7" t="s">
        <v>28</v>
      </c>
      <c r="D143" s="7" t="s">
        <v>52</v>
      </c>
      <c r="E143" s="7" t="s">
        <v>49</v>
      </c>
      <c r="F143" s="7" t="s">
        <v>57</v>
      </c>
      <c r="G143" s="7" t="s">
        <v>47</v>
      </c>
      <c r="H143">
        <v>5</v>
      </c>
      <c r="I143">
        <v>11955.06</v>
      </c>
      <c r="J143">
        <v>0.05</v>
      </c>
      <c r="K143">
        <v>56786.53</v>
      </c>
      <c r="L143">
        <v>33318.879999999997</v>
      </c>
      <c r="M143">
        <v>23467.65</v>
      </c>
      <c r="N143" s="7" t="s">
        <v>33</v>
      </c>
      <c r="O143" s="9">
        <f>IFERROR(RawSalesTable_[[#This Row],[Profit]]/RawSalesTable_[[#This Row],[Revenue]],0)</f>
        <v>0.4132608560516024</v>
      </c>
    </row>
    <row r="144" spans="1:15">
      <c r="A144" s="7" t="s">
        <v>223</v>
      </c>
      <c r="B144" s="8">
        <v>45747</v>
      </c>
      <c r="C144" s="7" t="s">
        <v>15</v>
      </c>
      <c r="D144" s="7" t="s">
        <v>43</v>
      </c>
      <c r="E144" s="7" t="s">
        <v>30</v>
      </c>
      <c r="F144" s="7" t="s">
        <v>86</v>
      </c>
      <c r="G144" s="7" t="s">
        <v>70</v>
      </c>
      <c r="H144">
        <v>1</v>
      </c>
      <c r="I144">
        <v>32220.14</v>
      </c>
      <c r="J144">
        <v>0.05</v>
      </c>
      <c r="K144">
        <v>30609.13</v>
      </c>
      <c r="L144">
        <v>23106.28</v>
      </c>
      <c r="M144">
        <v>7502.85</v>
      </c>
      <c r="N144" s="7" t="s">
        <v>20</v>
      </c>
      <c r="O144" s="9">
        <f>IFERROR(RawSalesTable_[[#This Row],[Profit]]/RawSalesTable_[[#This Row],[Revenue]],0)</f>
        <v>0.24511804157779069</v>
      </c>
    </row>
    <row r="145" spans="1:15">
      <c r="A145" s="7" t="s">
        <v>224</v>
      </c>
      <c r="B145" s="8">
        <v>45760</v>
      </c>
      <c r="C145" s="7" t="s">
        <v>15</v>
      </c>
      <c r="D145" s="7" t="s">
        <v>16</v>
      </c>
      <c r="E145" s="7" t="s">
        <v>44</v>
      </c>
      <c r="F145" s="7" t="s">
        <v>80</v>
      </c>
      <c r="G145" s="7" t="s">
        <v>64</v>
      </c>
      <c r="H145">
        <v>8</v>
      </c>
      <c r="I145">
        <v>39814.449999999997</v>
      </c>
      <c r="J145">
        <v>0</v>
      </c>
      <c r="K145">
        <v>318515.59999999998</v>
      </c>
      <c r="L145">
        <v>241320.48</v>
      </c>
      <c r="M145">
        <v>77195.12</v>
      </c>
      <c r="N145" s="7" t="s">
        <v>59</v>
      </c>
      <c r="O145" s="9">
        <f>IFERROR(RawSalesTable_[[#This Row],[Profit]]/RawSalesTable_[[#This Row],[Revenue]],0)</f>
        <v>0.24235899277774778</v>
      </c>
    </row>
    <row r="146" spans="1:15">
      <c r="A146" s="7" t="s">
        <v>225</v>
      </c>
      <c r="B146" s="8">
        <v>45840</v>
      </c>
      <c r="C146" s="7" t="s">
        <v>28</v>
      </c>
      <c r="D146" s="7" t="s">
        <v>29</v>
      </c>
      <c r="E146" s="7" t="s">
        <v>49</v>
      </c>
      <c r="F146" s="7" t="s">
        <v>107</v>
      </c>
      <c r="G146" s="7" t="s">
        <v>64</v>
      </c>
      <c r="H146">
        <v>5</v>
      </c>
      <c r="I146">
        <v>4814.47</v>
      </c>
      <c r="J146">
        <v>0.15</v>
      </c>
      <c r="K146">
        <v>20461.5</v>
      </c>
      <c r="L146">
        <v>13275.59</v>
      </c>
      <c r="M146">
        <v>7185.91</v>
      </c>
      <c r="N146" s="7" t="s">
        <v>59</v>
      </c>
      <c r="O146" s="9">
        <f>IFERROR(RawSalesTable_[[#This Row],[Profit]]/RawSalesTable_[[#This Row],[Revenue]],0)</f>
        <v>0.35119175036043299</v>
      </c>
    </row>
    <row r="147" spans="1:15">
      <c r="A147" s="7" t="s">
        <v>226</v>
      </c>
      <c r="B147" s="8">
        <v>45753</v>
      </c>
      <c r="C147" s="7" t="s">
        <v>28</v>
      </c>
      <c r="D147" s="7" t="s">
        <v>52</v>
      </c>
      <c r="E147" s="7" t="s">
        <v>30</v>
      </c>
      <c r="F147" s="7" t="s">
        <v>40</v>
      </c>
      <c r="G147" s="7" t="s">
        <v>70</v>
      </c>
      <c r="H147">
        <v>7</v>
      </c>
      <c r="I147">
        <v>25453.77</v>
      </c>
      <c r="J147">
        <v>0.05</v>
      </c>
      <c r="K147">
        <v>169267.57</v>
      </c>
      <c r="L147">
        <v>109906.82</v>
      </c>
      <c r="M147">
        <v>59360.75</v>
      </c>
      <c r="N147" s="7" t="s">
        <v>20</v>
      </c>
      <c r="O147" s="9">
        <f>IFERROR(RawSalesTable_[[#This Row],[Profit]]/RawSalesTable_[[#This Row],[Revenue]],0)</f>
        <v>0.35069180706026559</v>
      </c>
    </row>
    <row r="148" spans="1:15">
      <c r="A148" s="7" t="s">
        <v>227</v>
      </c>
      <c r="B148" s="8">
        <v>45750</v>
      </c>
      <c r="C148" s="7" t="s">
        <v>28</v>
      </c>
      <c r="D148" s="7" t="s">
        <v>29</v>
      </c>
      <c r="E148" s="7" t="s">
        <v>30</v>
      </c>
      <c r="F148" s="7" t="s">
        <v>31</v>
      </c>
      <c r="G148" s="7" t="s">
        <v>58</v>
      </c>
      <c r="H148">
        <v>7</v>
      </c>
      <c r="I148">
        <v>125904.82</v>
      </c>
      <c r="J148">
        <v>0.1</v>
      </c>
      <c r="K148">
        <v>793200.37</v>
      </c>
      <c r="L148">
        <v>735037.41</v>
      </c>
      <c r="M148">
        <v>58162.96</v>
      </c>
      <c r="N148" s="7" t="s">
        <v>59</v>
      </c>
      <c r="O148" s="9">
        <f>IFERROR(RawSalesTable_[[#This Row],[Profit]]/RawSalesTable_[[#This Row],[Revenue]],0)</f>
        <v>7.3326945119806239E-2</v>
      </c>
    </row>
    <row r="149" spans="1:15">
      <c r="A149" s="7" t="s">
        <v>228</v>
      </c>
      <c r="B149" s="8">
        <v>46011</v>
      </c>
      <c r="C149" s="7" t="s">
        <v>22</v>
      </c>
      <c r="D149" s="7" t="s">
        <v>23</v>
      </c>
      <c r="E149" s="7" t="s">
        <v>30</v>
      </c>
      <c r="F149" s="7" t="s">
        <v>38</v>
      </c>
      <c r="G149" s="7" t="s">
        <v>70</v>
      </c>
      <c r="H149">
        <v>5</v>
      </c>
      <c r="I149">
        <v>26766.36</v>
      </c>
      <c r="J149">
        <v>0.15</v>
      </c>
      <c r="K149">
        <v>113757.03</v>
      </c>
      <c r="L149">
        <v>89984.53</v>
      </c>
      <c r="M149">
        <v>23772.5</v>
      </c>
      <c r="N149" s="7" t="s">
        <v>59</v>
      </c>
      <c r="O149" s="9">
        <f>IFERROR(RawSalesTable_[[#This Row],[Profit]]/RawSalesTable_[[#This Row],[Revenue]],0)</f>
        <v>0.20897609580700199</v>
      </c>
    </row>
    <row r="150" spans="1:15">
      <c r="A150" s="7" t="s">
        <v>229</v>
      </c>
      <c r="B150" s="8">
        <v>45984</v>
      </c>
      <c r="C150" s="7" t="s">
        <v>28</v>
      </c>
      <c r="D150" s="7" t="s">
        <v>52</v>
      </c>
      <c r="E150" s="7" t="s">
        <v>30</v>
      </c>
      <c r="F150" s="7" t="s">
        <v>40</v>
      </c>
      <c r="G150" s="7" t="s">
        <v>25</v>
      </c>
      <c r="H150">
        <v>5</v>
      </c>
      <c r="I150">
        <v>25046.720000000001</v>
      </c>
      <c r="J150">
        <v>0</v>
      </c>
      <c r="K150">
        <v>125233.60000000001</v>
      </c>
      <c r="L150">
        <v>77044.98</v>
      </c>
      <c r="M150">
        <v>48188.62</v>
      </c>
      <c r="N150" s="7" t="s">
        <v>59</v>
      </c>
      <c r="O150" s="9">
        <f>IFERROR(RawSalesTable_[[#This Row],[Profit]]/RawSalesTable_[[#This Row],[Revenue]],0)</f>
        <v>0.38478986470084708</v>
      </c>
    </row>
    <row r="151" spans="1:15">
      <c r="A151" s="7" t="s">
        <v>230</v>
      </c>
      <c r="B151" s="8">
        <v>45675</v>
      </c>
      <c r="C151" s="7" t="s">
        <v>15</v>
      </c>
      <c r="D151" s="7" t="s">
        <v>43</v>
      </c>
      <c r="E151" s="7" t="s">
        <v>44</v>
      </c>
      <c r="F151" s="7" t="s">
        <v>80</v>
      </c>
      <c r="G151" s="7" t="s">
        <v>61</v>
      </c>
      <c r="H151">
        <v>3</v>
      </c>
      <c r="I151">
        <v>45398.84</v>
      </c>
      <c r="J151">
        <v>0.15</v>
      </c>
      <c r="K151">
        <v>115767.03999999999</v>
      </c>
      <c r="L151">
        <v>95296.34</v>
      </c>
      <c r="M151">
        <v>20470.7</v>
      </c>
      <c r="N151" s="7" t="s">
        <v>33</v>
      </c>
      <c r="O151" s="9">
        <f>IFERROR(RawSalesTable_[[#This Row],[Profit]]/RawSalesTable_[[#This Row],[Revenue]],0)</f>
        <v>0.1768266684541645</v>
      </c>
    </row>
    <row r="152" spans="1:15">
      <c r="A152" s="7" t="s">
        <v>231</v>
      </c>
      <c r="B152" s="8">
        <v>46005</v>
      </c>
      <c r="C152" s="7" t="s">
        <v>22</v>
      </c>
      <c r="D152" s="7" t="s">
        <v>37</v>
      </c>
      <c r="E152" s="7" t="s">
        <v>30</v>
      </c>
      <c r="F152" s="7" t="s">
        <v>38</v>
      </c>
      <c r="G152" s="7" t="s">
        <v>70</v>
      </c>
      <c r="H152">
        <v>7</v>
      </c>
      <c r="I152">
        <v>28941.7</v>
      </c>
      <c r="J152">
        <v>0</v>
      </c>
      <c r="K152">
        <v>202591.9</v>
      </c>
      <c r="L152">
        <v>127556.94</v>
      </c>
      <c r="M152">
        <v>75034.960000000006</v>
      </c>
      <c r="N152" s="7" t="s">
        <v>59</v>
      </c>
      <c r="O152" s="9">
        <f>IFERROR(RawSalesTable_[[#This Row],[Profit]]/RawSalesTable_[[#This Row],[Revenue]],0)</f>
        <v>0.37037492614462875</v>
      </c>
    </row>
    <row r="153" spans="1:15">
      <c r="A153" s="7" t="s">
        <v>233</v>
      </c>
      <c r="B153" s="8">
        <v>45716</v>
      </c>
      <c r="C153" s="7" t="s">
        <v>28</v>
      </c>
      <c r="D153" s="7" t="s">
        <v>56</v>
      </c>
      <c r="E153" s="7" t="s">
        <v>17</v>
      </c>
      <c r="F153" s="7" t="s">
        <v>24</v>
      </c>
      <c r="G153" s="7" t="s">
        <v>64</v>
      </c>
      <c r="H153">
        <v>6</v>
      </c>
      <c r="I153">
        <v>90499.06</v>
      </c>
      <c r="J153">
        <v>0.15</v>
      </c>
      <c r="K153">
        <v>461545.21</v>
      </c>
      <c r="L153">
        <v>403719.38</v>
      </c>
      <c r="M153">
        <v>57825.83</v>
      </c>
      <c r="N153" s="7" t="s">
        <v>26</v>
      </c>
      <c r="O153" s="9">
        <f>IFERROR(RawSalesTable_[[#This Row],[Profit]]/RawSalesTable_[[#This Row],[Revenue]],0)</f>
        <v>0.12528746642176181</v>
      </c>
    </row>
    <row r="154" spans="1:15">
      <c r="A154" s="7" t="s">
        <v>234</v>
      </c>
      <c r="B154" s="8">
        <v>45971</v>
      </c>
      <c r="C154" s="7" t="s">
        <v>28</v>
      </c>
      <c r="D154" s="7" t="s">
        <v>29</v>
      </c>
      <c r="E154" s="7" t="s">
        <v>49</v>
      </c>
      <c r="F154" s="7" t="s">
        <v>91</v>
      </c>
      <c r="G154" s="7" t="s">
        <v>58</v>
      </c>
      <c r="H154">
        <v>5</v>
      </c>
      <c r="I154">
        <v>6785.96</v>
      </c>
      <c r="J154">
        <v>0.15</v>
      </c>
      <c r="K154">
        <v>28840.33</v>
      </c>
      <c r="L154">
        <v>18022.3</v>
      </c>
      <c r="M154">
        <v>10818.03</v>
      </c>
      <c r="N154" s="7" t="s">
        <v>20</v>
      </c>
      <c r="O154" s="9">
        <f>IFERROR(RawSalesTable_[[#This Row],[Profit]]/RawSalesTable_[[#This Row],[Revenue]],0)</f>
        <v>0.37510077034486083</v>
      </c>
    </row>
    <row r="155" spans="1:15">
      <c r="A155" s="7" t="s">
        <v>235</v>
      </c>
      <c r="B155" s="8">
        <v>45702</v>
      </c>
      <c r="C155" s="7" t="s">
        <v>22</v>
      </c>
      <c r="D155" s="7" t="s">
        <v>23</v>
      </c>
      <c r="E155" s="7" t="s">
        <v>44</v>
      </c>
      <c r="F155" s="7" t="s">
        <v>80</v>
      </c>
      <c r="G155" s="7" t="s">
        <v>32</v>
      </c>
      <c r="H155">
        <v>8</v>
      </c>
      <c r="I155">
        <v>40747.879999999997</v>
      </c>
      <c r="J155">
        <v>0.15</v>
      </c>
      <c r="K155">
        <v>277085.58</v>
      </c>
      <c r="L155">
        <v>248287.13</v>
      </c>
      <c r="M155">
        <v>28798.45</v>
      </c>
      <c r="N155" s="7" t="s">
        <v>59</v>
      </c>
      <c r="O155" s="9">
        <f>IFERROR(RawSalesTable_[[#This Row],[Profit]]/RawSalesTable_[[#This Row],[Revenue]],0)</f>
        <v>0.10393341291885344</v>
      </c>
    </row>
    <row r="156" spans="1:15">
      <c r="A156" s="7" t="s">
        <v>236</v>
      </c>
      <c r="B156" s="8">
        <v>45843</v>
      </c>
      <c r="C156" s="7" t="s">
        <v>15</v>
      </c>
      <c r="D156" s="7" t="s">
        <v>16</v>
      </c>
      <c r="E156" s="7" t="s">
        <v>30</v>
      </c>
      <c r="F156" s="7" t="s">
        <v>38</v>
      </c>
      <c r="G156" s="7" t="s">
        <v>47</v>
      </c>
      <c r="H156">
        <v>3</v>
      </c>
      <c r="I156">
        <v>27915.02</v>
      </c>
      <c r="J156">
        <v>0.15</v>
      </c>
      <c r="K156">
        <v>71183.3</v>
      </c>
      <c r="L156">
        <v>54790.51</v>
      </c>
      <c r="M156">
        <v>16392.79</v>
      </c>
      <c r="N156" s="7" t="s">
        <v>33</v>
      </c>
      <c r="O156" s="9">
        <f>IFERROR(RawSalesTable_[[#This Row],[Profit]]/RawSalesTable_[[#This Row],[Revenue]],0)</f>
        <v>0.2302898292155604</v>
      </c>
    </row>
    <row r="157" spans="1:15">
      <c r="A157" s="7" t="s">
        <v>237</v>
      </c>
      <c r="B157" s="8">
        <v>45940</v>
      </c>
      <c r="C157" s="7" t="s">
        <v>22</v>
      </c>
      <c r="D157" s="7" t="s">
        <v>23</v>
      </c>
      <c r="E157" s="7" t="s">
        <v>44</v>
      </c>
      <c r="F157" s="7" t="s">
        <v>53</v>
      </c>
      <c r="G157" s="7" t="s">
        <v>61</v>
      </c>
      <c r="H157">
        <v>1</v>
      </c>
      <c r="I157">
        <v>8310.82</v>
      </c>
      <c r="J157">
        <v>0.1</v>
      </c>
      <c r="K157">
        <v>7479.74</v>
      </c>
      <c r="L157">
        <v>4879.54</v>
      </c>
      <c r="M157">
        <v>2600.1999999999998</v>
      </c>
      <c r="N157" s="7" t="s">
        <v>33</v>
      </c>
      <c r="O157" s="9">
        <f>IFERROR(RawSalesTable_[[#This Row],[Profit]]/RawSalesTable_[[#This Row],[Revenue]],0)</f>
        <v>0.34763240433491005</v>
      </c>
    </row>
    <row r="158" spans="1:15">
      <c r="A158" s="7" t="s">
        <v>238</v>
      </c>
      <c r="B158" s="8">
        <v>45820</v>
      </c>
      <c r="C158" s="7" t="s">
        <v>22</v>
      </c>
      <c r="D158" s="7" t="s">
        <v>35</v>
      </c>
      <c r="E158" s="7" t="s">
        <v>49</v>
      </c>
      <c r="F158" s="7" t="s">
        <v>107</v>
      </c>
      <c r="G158" s="7" t="s">
        <v>19</v>
      </c>
      <c r="H158">
        <v>7</v>
      </c>
      <c r="I158">
        <v>5423.94</v>
      </c>
      <c r="J158">
        <v>0.1</v>
      </c>
      <c r="K158">
        <v>34170.82</v>
      </c>
      <c r="L158">
        <v>18430.57</v>
      </c>
      <c r="M158">
        <v>15740.25</v>
      </c>
      <c r="N158" s="7" t="s">
        <v>20</v>
      </c>
      <c r="O158" s="9">
        <f>IFERROR(RawSalesTable_[[#This Row],[Profit]]/RawSalesTable_[[#This Row],[Revenue]],0)</f>
        <v>0.46063424875376124</v>
      </c>
    </row>
    <row r="159" spans="1:15">
      <c r="A159" s="7" t="s">
        <v>239</v>
      </c>
      <c r="B159" s="8">
        <v>45686</v>
      </c>
      <c r="C159" s="7" t="s">
        <v>28</v>
      </c>
      <c r="D159" s="7" t="s">
        <v>29</v>
      </c>
      <c r="E159" s="7" t="s">
        <v>30</v>
      </c>
      <c r="F159" s="7" t="s">
        <v>86</v>
      </c>
      <c r="G159" s="7" t="s">
        <v>19</v>
      </c>
      <c r="H159">
        <v>3</v>
      </c>
      <c r="I159">
        <v>34413.89</v>
      </c>
      <c r="J159">
        <v>0</v>
      </c>
      <c r="K159">
        <v>103241.67</v>
      </c>
      <c r="L159">
        <v>67519.12</v>
      </c>
      <c r="M159">
        <v>35722.550000000003</v>
      </c>
      <c r="N159" s="7" t="s">
        <v>26</v>
      </c>
      <c r="O159" s="9">
        <f>IFERROR(RawSalesTable_[[#This Row],[Profit]]/RawSalesTable_[[#This Row],[Revenue]],0)</f>
        <v>0.34600902910617393</v>
      </c>
    </row>
    <row r="160" spans="1:15">
      <c r="A160" s="7" t="s">
        <v>240</v>
      </c>
      <c r="B160" s="8">
        <v>45698</v>
      </c>
      <c r="C160" s="7" t="s">
        <v>28</v>
      </c>
      <c r="D160" s="7" t="s">
        <v>52</v>
      </c>
      <c r="E160" s="7" t="s">
        <v>44</v>
      </c>
      <c r="F160" s="7" t="s">
        <v>69</v>
      </c>
      <c r="G160" s="7" t="s">
        <v>58</v>
      </c>
      <c r="H160">
        <v>4</v>
      </c>
      <c r="I160">
        <v>37063.82</v>
      </c>
      <c r="J160">
        <v>0.1</v>
      </c>
      <c r="K160">
        <v>133429.75</v>
      </c>
      <c r="L160">
        <v>107395.06</v>
      </c>
      <c r="M160">
        <v>26034.69</v>
      </c>
      <c r="N160" s="7" t="s">
        <v>26</v>
      </c>
      <c r="O160" s="9">
        <f>IFERROR(RawSalesTable_[[#This Row],[Profit]]/RawSalesTable_[[#This Row],[Revenue]],0)</f>
        <v>0.19511907951562527</v>
      </c>
    </row>
    <row r="161" spans="1:15">
      <c r="A161" s="7" t="s">
        <v>241</v>
      </c>
      <c r="B161" s="8">
        <v>45744</v>
      </c>
      <c r="C161" s="7" t="s">
        <v>15</v>
      </c>
      <c r="D161" s="7" t="s">
        <v>43</v>
      </c>
      <c r="E161" s="7" t="s">
        <v>30</v>
      </c>
      <c r="F161" s="7" t="s">
        <v>86</v>
      </c>
      <c r="G161" s="7" t="s">
        <v>61</v>
      </c>
      <c r="H161">
        <v>5</v>
      </c>
      <c r="I161">
        <v>33604.18</v>
      </c>
      <c r="J161">
        <v>0</v>
      </c>
      <c r="K161">
        <v>168020.9</v>
      </c>
      <c r="L161">
        <v>113082.76</v>
      </c>
      <c r="M161">
        <v>54938.14</v>
      </c>
      <c r="N161" s="7" t="s">
        <v>26</v>
      </c>
      <c r="O161" s="9">
        <f>IFERROR(RawSalesTable_[[#This Row],[Profit]]/RawSalesTable_[[#This Row],[Revenue]],0)</f>
        <v>0.32697206121381328</v>
      </c>
    </row>
    <row r="162" spans="1:15">
      <c r="A162" s="7" t="s">
        <v>242</v>
      </c>
      <c r="B162" s="8">
        <v>45793</v>
      </c>
      <c r="C162" s="7" t="s">
        <v>15</v>
      </c>
      <c r="D162" s="7" t="s">
        <v>43</v>
      </c>
      <c r="E162" s="7" t="s">
        <v>30</v>
      </c>
      <c r="F162" s="7" t="s">
        <v>31</v>
      </c>
      <c r="G162" s="7" t="s">
        <v>47</v>
      </c>
      <c r="H162">
        <v>1</v>
      </c>
      <c r="I162">
        <v>125954.41</v>
      </c>
      <c r="J162">
        <v>0.15</v>
      </c>
      <c r="K162">
        <v>107061.25</v>
      </c>
      <c r="L162">
        <v>103421.13</v>
      </c>
      <c r="M162">
        <v>3640.12</v>
      </c>
      <c r="N162" s="7" t="s">
        <v>20</v>
      </c>
      <c r="O162" s="9">
        <f>IFERROR(RawSalesTable_[[#This Row],[Profit]]/RawSalesTable_[[#This Row],[Revenue]],0)</f>
        <v>3.4000350266786536E-2</v>
      </c>
    </row>
    <row r="163" spans="1:15">
      <c r="A163" s="7" t="s">
        <v>244</v>
      </c>
      <c r="B163" s="8">
        <v>46008</v>
      </c>
      <c r="C163" s="7" t="s">
        <v>15</v>
      </c>
      <c r="D163" s="7" t="s">
        <v>43</v>
      </c>
      <c r="E163" s="7" t="s">
        <v>17</v>
      </c>
      <c r="F163" s="7" t="s">
        <v>114</v>
      </c>
      <c r="G163" s="7" t="s">
        <v>25</v>
      </c>
      <c r="H163">
        <v>5</v>
      </c>
      <c r="I163">
        <v>53180.67</v>
      </c>
      <c r="J163">
        <v>0.05</v>
      </c>
      <c r="K163">
        <v>252608.18</v>
      </c>
      <c r="L163">
        <v>183194.62</v>
      </c>
      <c r="M163">
        <v>69413.56</v>
      </c>
      <c r="N163" s="7" t="s">
        <v>59</v>
      </c>
      <c r="O163" s="9">
        <f>IFERROR(RawSalesTable_[[#This Row],[Profit]]/RawSalesTable_[[#This Row],[Revenue]],0)</f>
        <v>0.27478745937681037</v>
      </c>
    </row>
    <row r="164" spans="1:15">
      <c r="A164" s="7" t="s">
        <v>245</v>
      </c>
      <c r="B164" s="8">
        <v>45968</v>
      </c>
      <c r="C164" s="7" t="s">
        <v>28</v>
      </c>
      <c r="D164" s="7" t="s">
        <v>52</v>
      </c>
      <c r="E164" s="7" t="s">
        <v>17</v>
      </c>
      <c r="F164" s="7" t="s">
        <v>24</v>
      </c>
      <c r="G164" s="7" t="s">
        <v>61</v>
      </c>
      <c r="H164">
        <v>8</v>
      </c>
      <c r="I164">
        <v>90757.95</v>
      </c>
      <c r="J164">
        <v>0.05</v>
      </c>
      <c r="K164">
        <v>689760.42</v>
      </c>
      <c r="L164">
        <v>535449.19999999995</v>
      </c>
      <c r="M164">
        <v>154311.22</v>
      </c>
      <c r="N164" s="7" t="s">
        <v>59</v>
      </c>
      <c r="O164" s="9">
        <f>IFERROR(RawSalesTable_[[#This Row],[Profit]]/RawSalesTable_[[#This Row],[Revenue]],0)</f>
        <v>0.22371712775285074</v>
      </c>
    </row>
    <row r="165" spans="1:15">
      <c r="A165" s="7" t="s">
        <v>246</v>
      </c>
      <c r="B165" s="8">
        <v>45821</v>
      </c>
      <c r="C165" s="7" t="s">
        <v>15</v>
      </c>
      <c r="D165" s="7" t="s">
        <v>63</v>
      </c>
      <c r="E165" s="7" t="s">
        <v>30</v>
      </c>
      <c r="F165" s="7" t="s">
        <v>40</v>
      </c>
      <c r="G165" s="7" t="s">
        <v>47</v>
      </c>
      <c r="H165">
        <v>3</v>
      </c>
      <c r="I165">
        <v>25521.81</v>
      </c>
      <c r="J165">
        <v>0.1</v>
      </c>
      <c r="K165">
        <v>68908.89</v>
      </c>
      <c r="L165">
        <v>47841.56</v>
      </c>
      <c r="M165">
        <v>21067.33</v>
      </c>
      <c r="N165" s="7" t="s">
        <v>20</v>
      </c>
      <c r="O165" s="9">
        <f>IFERROR(RawSalesTable_[[#This Row],[Profit]]/RawSalesTable_[[#This Row],[Revenue]],0)</f>
        <v>0.30572731617067117</v>
      </c>
    </row>
    <row r="166" spans="1:15">
      <c r="A166" s="7" t="s">
        <v>247</v>
      </c>
      <c r="B166" s="8">
        <v>45973</v>
      </c>
      <c r="C166" s="7" t="s">
        <v>22</v>
      </c>
      <c r="D166" s="7" t="s">
        <v>35</v>
      </c>
      <c r="E166" s="7" t="s">
        <v>49</v>
      </c>
      <c r="F166" s="7" t="s">
        <v>1590</v>
      </c>
      <c r="G166" s="7" t="s">
        <v>25</v>
      </c>
      <c r="H166">
        <v>3</v>
      </c>
      <c r="I166">
        <v>3929.06</v>
      </c>
      <c r="J166">
        <v>0.05</v>
      </c>
      <c r="K166">
        <v>11197.82</v>
      </c>
      <c r="L166">
        <v>6527.91</v>
      </c>
      <c r="M166">
        <v>4669.91</v>
      </c>
      <c r="N166" s="7" t="s">
        <v>26</v>
      </c>
      <c r="O166" s="9">
        <f>IFERROR(RawSalesTable_[[#This Row],[Profit]]/RawSalesTable_[[#This Row],[Revenue]],0)</f>
        <v>0.41703742335561744</v>
      </c>
    </row>
    <row r="167" spans="1:15">
      <c r="A167" s="7" t="s">
        <v>248</v>
      </c>
      <c r="B167" s="8">
        <v>45815</v>
      </c>
      <c r="C167" s="7" t="s">
        <v>22</v>
      </c>
      <c r="D167" s="7" t="s">
        <v>35</v>
      </c>
      <c r="E167" s="7" t="s">
        <v>30</v>
      </c>
      <c r="F167" s="7" t="s">
        <v>86</v>
      </c>
      <c r="G167" s="7" t="s">
        <v>70</v>
      </c>
      <c r="H167">
        <v>3</v>
      </c>
      <c r="I167">
        <v>32990.839999999997</v>
      </c>
      <c r="J167">
        <v>0.1</v>
      </c>
      <c r="K167">
        <v>89075.27</v>
      </c>
      <c r="L167">
        <v>67680.7</v>
      </c>
      <c r="M167">
        <v>21394.57</v>
      </c>
      <c r="N167" s="7" t="s">
        <v>33</v>
      </c>
      <c r="O167" s="9">
        <f>IFERROR(RawSalesTable_[[#This Row],[Profit]]/RawSalesTable_[[#This Row],[Revenue]],0)</f>
        <v>0.2401852949758109</v>
      </c>
    </row>
    <row r="168" spans="1:15">
      <c r="A168" s="7" t="s">
        <v>250</v>
      </c>
      <c r="B168" s="8">
        <v>45911</v>
      </c>
      <c r="C168" s="7" t="s">
        <v>22</v>
      </c>
      <c r="D168" s="7" t="s">
        <v>35</v>
      </c>
      <c r="E168" s="7" t="s">
        <v>49</v>
      </c>
      <c r="F168" s="7" t="s">
        <v>1590</v>
      </c>
      <c r="G168" s="7" t="s">
        <v>70</v>
      </c>
      <c r="H168">
        <v>4</v>
      </c>
      <c r="I168">
        <v>4256.01</v>
      </c>
      <c r="J168">
        <v>0</v>
      </c>
      <c r="K168">
        <v>17024.04</v>
      </c>
      <c r="L168">
        <v>8177.72</v>
      </c>
      <c r="M168">
        <v>8846.32</v>
      </c>
      <c r="N168" s="7" t="s">
        <v>59</v>
      </c>
      <c r="O168" s="9">
        <f>IFERROR(RawSalesTable_[[#This Row],[Profit]]/RawSalesTable_[[#This Row],[Revenue]],0)</f>
        <v>0.51963693694328716</v>
      </c>
    </row>
    <row r="169" spans="1:15">
      <c r="A169" s="7" t="s">
        <v>251</v>
      </c>
      <c r="B169" s="8">
        <v>45864</v>
      </c>
      <c r="C169" s="7" t="s">
        <v>15</v>
      </c>
      <c r="D169" s="7" t="s">
        <v>16</v>
      </c>
      <c r="E169" s="7" t="s">
        <v>17</v>
      </c>
      <c r="F169" s="7" t="s">
        <v>114</v>
      </c>
      <c r="G169" s="7" t="s">
        <v>32</v>
      </c>
      <c r="H169">
        <v>3</v>
      </c>
      <c r="I169">
        <v>55182.03</v>
      </c>
      <c r="J169">
        <v>0.15</v>
      </c>
      <c r="K169">
        <v>140714.18</v>
      </c>
      <c r="L169">
        <v>109018.69</v>
      </c>
      <c r="M169">
        <v>31695.49</v>
      </c>
      <c r="N169" s="7" t="s">
        <v>33</v>
      </c>
      <c r="O169" s="9">
        <f>IFERROR(RawSalesTable_[[#This Row],[Profit]]/RawSalesTable_[[#This Row],[Revenue]],0)</f>
        <v>0.22524730627716413</v>
      </c>
    </row>
    <row r="170" spans="1:15">
      <c r="A170" s="7" t="s">
        <v>252</v>
      </c>
      <c r="B170" s="8">
        <v>45939</v>
      </c>
      <c r="C170" s="7" t="s">
        <v>28</v>
      </c>
      <c r="D170" s="7" t="s">
        <v>52</v>
      </c>
      <c r="E170" s="7" t="s">
        <v>44</v>
      </c>
      <c r="F170" s="7" t="s">
        <v>69</v>
      </c>
      <c r="G170" s="7" t="s">
        <v>58</v>
      </c>
      <c r="H170">
        <v>5</v>
      </c>
      <c r="I170">
        <v>35407.07</v>
      </c>
      <c r="J170">
        <v>0.1</v>
      </c>
      <c r="K170">
        <v>159331.82</v>
      </c>
      <c r="L170">
        <v>130198.22</v>
      </c>
      <c r="M170">
        <v>29133.599999999999</v>
      </c>
      <c r="N170" s="7" t="s">
        <v>33</v>
      </c>
      <c r="O170" s="9">
        <f>IFERROR(RawSalesTable_[[#This Row],[Profit]]/RawSalesTable_[[#This Row],[Revenue]],0)</f>
        <v>0.18284859860384448</v>
      </c>
    </row>
    <row r="171" spans="1:15">
      <c r="A171" s="7" t="s">
        <v>253</v>
      </c>
      <c r="B171" s="8">
        <v>45759</v>
      </c>
      <c r="C171" s="7" t="s">
        <v>22</v>
      </c>
      <c r="D171" s="7" t="s">
        <v>23</v>
      </c>
      <c r="E171" s="7" t="s">
        <v>49</v>
      </c>
      <c r="F171" s="7" t="s">
        <v>57</v>
      </c>
      <c r="G171" s="7" t="s">
        <v>25</v>
      </c>
      <c r="H171">
        <v>6</v>
      </c>
      <c r="I171">
        <v>11606.41</v>
      </c>
      <c r="J171">
        <v>0.05</v>
      </c>
      <c r="K171">
        <v>66156.539999999994</v>
      </c>
      <c r="L171">
        <v>39891.050000000003</v>
      </c>
      <c r="M171">
        <v>26265.49</v>
      </c>
      <c r="N171" s="7" t="s">
        <v>33</v>
      </c>
      <c r="O171" s="9">
        <f>IFERROR(RawSalesTable_[[#This Row],[Profit]]/RawSalesTable_[[#This Row],[Revenue]],0)</f>
        <v>0.39702030970785357</v>
      </c>
    </row>
    <row r="172" spans="1:15">
      <c r="A172" s="7" t="s">
        <v>254</v>
      </c>
      <c r="B172" s="8">
        <v>45921</v>
      </c>
      <c r="C172" s="7" t="s">
        <v>22</v>
      </c>
      <c r="D172" s="7" t="s">
        <v>23</v>
      </c>
      <c r="E172" s="7" t="s">
        <v>44</v>
      </c>
      <c r="F172" s="7" t="s">
        <v>69</v>
      </c>
      <c r="G172" s="7" t="s">
        <v>61</v>
      </c>
      <c r="H172">
        <v>8</v>
      </c>
      <c r="I172">
        <v>38117.54</v>
      </c>
      <c r="J172">
        <v>0</v>
      </c>
      <c r="K172">
        <v>304940.32</v>
      </c>
      <c r="L172">
        <v>210587.15</v>
      </c>
      <c r="M172">
        <v>94353.17</v>
      </c>
      <c r="N172" s="7" t="s">
        <v>59</v>
      </c>
      <c r="O172" s="9">
        <f>IFERROR(RawSalesTable_[[#This Row],[Profit]]/RawSalesTable_[[#This Row],[Revenue]],0)</f>
        <v>0.30941519966923364</v>
      </c>
    </row>
    <row r="173" spans="1:15">
      <c r="A173" s="7" t="s">
        <v>255</v>
      </c>
      <c r="B173" s="8">
        <v>45930</v>
      </c>
      <c r="C173" s="7" t="s">
        <v>15</v>
      </c>
      <c r="D173" s="7" t="s">
        <v>63</v>
      </c>
      <c r="E173" s="7" t="s">
        <v>44</v>
      </c>
      <c r="F173" s="7" t="s">
        <v>53</v>
      </c>
      <c r="G173" s="7" t="s">
        <v>70</v>
      </c>
      <c r="H173">
        <v>5</v>
      </c>
      <c r="I173">
        <v>8627.4699999999993</v>
      </c>
      <c r="J173">
        <v>0.1</v>
      </c>
      <c r="K173">
        <v>38823.61</v>
      </c>
      <c r="L173">
        <v>25185.52</v>
      </c>
      <c r="M173">
        <v>13638.09</v>
      </c>
      <c r="N173" s="7" t="s">
        <v>59</v>
      </c>
      <c r="O173" s="9">
        <f>IFERROR(RawSalesTable_[[#This Row],[Profit]]/RawSalesTable_[[#This Row],[Revenue]],0)</f>
        <v>0.35128340718444268</v>
      </c>
    </row>
    <row r="174" spans="1:15">
      <c r="A174" s="7" t="s">
        <v>256</v>
      </c>
      <c r="B174" s="8">
        <v>46010</v>
      </c>
      <c r="C174" s="7" t="s">
        <v>28</v>
      </c>
      <c r="D174" s="7" t="s">
        <v>52</v>
      </c>
      <c r="E174" s="7" t="s">
        <v>30</v>
      </c>
      <c r="F174" s="7" t="s">
        <v>38</v>
      </c>
      <c r="G174" s="7" t="s">
        <v>64</v>
      </c>
      <c r="H174">
        <v>2</v>
      </c>
      <c r="I174">
        <v>29073.16</v>
      </c>
      <c r="J174">
        <v>0.1</v>
      </c>
      <c r="K174">
        <v>52331.69</v>
      </c>
      <c r="L174">
        <v>35695.35</v>
      </c>
      <c r="M174">
        <v>16636.34</v>
      </c>
      <c r="N174" s="7" t="s">
        <v>20</v>
      </c>
      <c r="O174" s="9">
        <f>IFERROR(RawSalesTable_[[#This Row],[Profit]]/RawSalesTable_[[#This Row],[Revenue]],0)</f>
        <v>0.31790182965617964</v>
      </c>
    </row>
    <row r="175" spans="1:15">
      <c r="A175" s="7" t="s">
        <v>257</v>
      </c>
      <c r="B175" s="8">
        <v>45852</v>
      </c>
      <c r="C175" s="7" t="s">
        <v>28</v>
      </c>
      <c r="D175" s="7" t="s">
        <v>29</v>
      </c>
      <c r="E175" s="7" t="s">
        <v>44</v>
      </c>
      <c r="F175" s="7" t="s">
        <v>80</v>
      </c>
      <c r="G175" s="7" t="s">
        <v>61</v>
      </c>
      <c r="H175">
        <v>8</v>
      </c>
      <c r="I175">
        <v>40733.120000000003</v>
      </c>
      <c r="J175">
        <v>0.15</v>
      </c>
      <c r="K175">
        <v>276985.21999999997</v>
      </c>
      <c r="L175">
        <v>253079.73</v>
      </c>
      <c r="M175">
        <v>23905.49</v>
      </c>
      <c r="N175" s="7" t="s">
        <v>26</v>
      </c>
      <c r="O175" s="9">
        <f>IFERROR(RawSalesTable_[[#This Row],[Profit]]/RawSalesTable_[[#This Row],[Revenue]],0)</f>
        <v>8.6306013006758997E-2</v>
      </c>
    </row>
    <row r="176" spans="1:15">
      <c r="A176" s="7" t="s">
        <v>258</v>
      </c>
      <c r="B176" s="8">
        <v>46011</v>
      </c>
      <c r="C176" s="7" t="s">
        <v>22</v>
      </c>
      <c r="D176" s="7" t="s">
        <v>37</v>
      </c>
      <c r="E176" s="7" t="s">
        <v>17</v>
      </c>
      <c r="F176" s="7" t="s">
        <v>24</v>
      </c>
      <c r="G176" s="7" t="s">
        <v>47</v>
      </c>
      <c r="H176">
        <v>1</v>
      </c>
      <c r="I176">
        <v>91132.09</v>
      </c>
      <c r="J176">
        <v>0.05</v>
      </c>
      <c r="K176">
        <v>86575.49</v>
      </c>
      <c r="L176">
        <v>66680.81</v>
      </c>
      <c r="M176">
        <v>19894.68</v>
      </c>
      <c r="N176" s="7" t="s">
        <v>20</v>
      </c>
      <c r="O176" s="9">
        <f>IFERROR(RawSalesTable_[[#This Row],[Profit]]/RawSalesTable_[[#This Row],[Revenue]],0)</f>
        <v>0.22979575397147622</v>
      </c>
    </row>
    <row r="177" spans="1:15">
      <c r="A177" s="7" t="s">
        <v>259</v>
      </c>
      <c r="B177" s="8">
        <v>45997</v>
      </c>
      <c r="C177" s="7" t="s">
        <v>15</v>
      </c>
      <c r="D177" s="7" t="s">
        <v>43</v>
      </c>
      <c r="E177" s="7" t="s">
        <v>49</v>
      </c>
      <c r="F177" s="7" t="s">
        <v>91</v>
      </c>
      <c r="G177" s="7" t="s">
        <v>70</v>
      </c>
      <c r="H177">
        <v>3</v>
      </c>
      <c r="I177">
        <v>6519.43</v>
      </c>
      <c r="J177">
        <v>0.1</v>
      </c>
      <c r="K177">
        <v>17602.46</v>
      </c>
      <c r="L177">
        <v>10721.74</v>
      </c>
      <c r="M177">
        <v>6880.72</v>
      </c>
      <c r="N177" s="7" t="s">
        <v>20</v>
      </c>
      <c r="O177" s="9">
        <f>IFERROR(RawSalesTable_[[#This Row],[Profit]]/RawSalesTable_[[#This Row],[Revenue]],0)</f>
        <v>0.39089536348896692</v>
      </c>
    </row>
    <row r="178" spans="1:15">
      <c r="A178" s="7" t="s">
        <v>260</v>
      </c>
      <c r="B178" s="8">
        <v>46012</v>
      </c>
      <c r="C178" s="7" t="s">
        <v>28</v>
      </c>
      <c r="D178" s="7" t="s">
        <v>52</v>
      </c>
      <c r="E178" s="7" t="s">
        <v>49</v>
      </c>
      <c r="F178" s="7" t="s">
        <v>57</v>
      </c>
      <c r="G178" s="7" t="s">
        <v>58</v>
      </c>
      <c r="H178">
        <v>6</v>
      </c>
      <c r="I178">
        <v>11823.6</v>
      </c>
      <c r="J178">
        <v>0.15</v>
      </c>
      <c r="K178">
        <v>60300.36</v>
      </c>
      <c r="L178">
        <v>39688.44</v>
      </c>
      <c r="M178">
        <v>20611.919999999998</v>
      </c>
      <c r="N178" s="7" t="s">
        <v>20</v>
      </c>
      <c r="O178" s="9">
        <f>IFERROR(RawSalesTable_[[#This Row],[Profit]]/RawSalesTable_[[#This Row],[Revenue]],0)</f>
        <v>0.34182084485067749</v>
      </c>
    </row>
    <row r="179" spans="1:15">
      <c r="A179" s="7" t="s">
        <v>261</v>
      </c>
      <c r="B179" s="8">
        <v>46018</v>
      </c>
      <c r="C179" s="7" t="s">
        <v>22</v>
      </c>
      <c r="D179" s="7" t="s">
        <v>23</v>
      </c>
      <c r="E179" s="7" t="s">
        <v>30</v>
      </c>
      <c r="F179" s="7" t="s">
        <v>38</v>
      </c>
      <c r="G179" s="7" t="s">
        <v>47</v>
      </c>
      <c r="H179">
        <v>4</v>
      </c>
      <c r="I179">
        <v>28907.22</v>
      </c>
      <c r="J179">
        <v>0.05</v>
      </c>
      <c r="K179">
        <v>109847.44</v>
      </c>
      <c r="L179">
        <v>73726.720000000001</v>
      </c>
      <c r="M179">
        <v>36120.720000000001</v>
      </c>
      <c r="N179" s="7" t="s">
        <v>20</v>
      </c>
      <c r="O179" s="9">
        <f>IFERROR(RawSalesTable_[[#This Row],[Profit]]/RawSalesTable_[[#This Row],[Revenue]],0)</f>
        <v>0.32882623391132282</v>
      </c>
    </row>
    <row r="180" spans="1:15">
      <c r="A180" s="7" t="s">
        <v>262</v>
      </c>
      <c r="B180" s="8">
        <v>45860</v>
      </c>
      <c r="C180" s="7" t="s">
        <v>28</v>
      </c>
      <c r="D180" s="7" t="s">
        <v>56</v>
      </c>
      <c r="E180" s="7" t="s">
        <v>30</v>
      </c>
      <c r="F180" s="7" t="s">
        <v>38</v>
      </c>
      <c r="G180" s="7" t="s">
        <v>32</v>
      </c>
      <c r="H180">
        <v>5</v>
      </c>
      <c r="I180">
        <v>25366.5</v>
      </c>
      <c r="J180">
        <v>0.15</v>
      </c>
      <c r="K180">
        <v>107807.62</v>
      </c>
      <c r="L180">
        <v>90722.1</v>
      </c>
      <c r="M180">
        <v>17085.52</v>
      </c>
      <c r="N180" s="7" t="s">
        <v>26</v>
      </c>
      <c r="O180" s="9">
        <f>IFERROR(RawSalesTable_[[#This Row],[Profit]]/RawSalesTable_[[#This Row],[Revenue]],0)</f>
        <v>0.15848156187846463</v>
      </c>
    </row>
    <row r="181" spans="1:15">
      <c r="A181" s="7" t="s">
        <v>263</v>
      </c>
      <c r="B181" s="8">
        <v>45903</v>
      </c>
      <c r="C181" s="7" t="s">
        <v>28</v>
      </c>
      <c r="D181" s="7" t="s">
        <v>52</v>
      </c>
      <c r="E181" s="7" t="s">
        <v>30</v>
      </c>
      <c r="F181" s="7" t="s">
        <v>31</v>
      </c>
      <c r="G181" s="7" t="s">
        <v>47</v>
      </c>
      <c r="H181">
        <v>6</v>
      </c>
      <c r="I181">
        <v>144158.60999999999</v>
      </c>
      <c r="J181">
        <v>0.15</v>
      </c>
      <c r="K181">
        <v>735208.91</v>
      </c>
      <c r="L181">
        <v>598698.35</v>
      </c>
      <c r="M181">
        <v>136510.56</v>
      </c>
      <c r="N181" s="7" t="s">
        <v>26</v>
      </c>
      <c r="O181" s="9">
        <f>IFERROR(RawSalesTable_[[#This Row],[Profit]]/RawSalesTable_[[#This Row],[Revenue]],0)</f>
        <v>0.18567587816638401</v>
      </c>
    </row>
    <row r="182" spans="1:15">
      <c r="A182" s="7" t="s">
        <v>264</v>
      </c>
      <c r="B182" s="8">
        <v>45683</v>
      </c>
      <c r="C182" s="7" t="s">
        <v>15</v>
      </c>
      <c r="D182" s="7" t="s">
        <v>63</v>
      </c>
      <c r="E182" s="7" t="s">
        <v>30</v>
      </c>
      <c r="F182" s="7" t="s">
        <v>86</v>
      </c>
      <c r="G182" s="7" t="s">
        <v>47</v>
      </c>
      <c r="H182">
        <v>2</v>
      </c>
      <c r="I182">
        <v>33610.769999999997</v>
      </c>
      <c r="J182">
        <v>0.1</v>
      </c>
      <c r="K182">
        <v>60499.39</v>
      </c>
      <c r="L182">
        <v>44403.74</v>
      </c>
      <c r="M182">
        <v>16095.65</v>
      </c>
      <c r="N182" s="7" t="s">
        <v>26</v>
      </c>
      <c r="O182" s="9">
        <f>IFERROR(RawSalesTable_[[#This Row],[Profit]]/RawSalesTable_[[#This Row],[Revenue]],0)</f>
        <v>0.26604648410504633</v>
      </c>
    </row>
    <row r="183" spans="1:15">
      <c r="A183" s="7" t="s">
        <v>265</v>
      </c>
      <c r="B183" s="8">
        <v>45939</v>
      </c>
      <c r="C183" s="7" t="s">
        <v>22</v>
      </c>
      <c r="D183" s="7" t="s">
        <v>23</v>
      </c>
      <c r="E183" s="7" t="s">
        <v>49</v>
      </c>
      <c r="F183" s="7" t="s">
        <v>57</v>
      </c>
      <c r="G183" s="7" t="s">
        <v>61</v>
      </c>
      <c r="H183">
        <v>8</v>
      </c>
      <c r="I183">
        <v>10765</v>
      </c>
      <c r="J183">
        <v>0</v>
      </c>
      <c r="K183">
        <v>86120</v>
      </c>
      <c r="L183">
        <v>50458.86</v>
      </c>
      <c r="M183">
        <v>35661.14</v>
      </c>
      <c r="N183" s="7" t="s">
        <v>20</v>
      </c>
      <c r="O183" s="9">
        <f>IFERROR(RawSalesTable_[[#This Row],[Profit]]/RawSalesTable_[[#This Row],[Revenue]],0)</f>
        <v>0.4140866233163028</v>
      </c>
    </row>
    <row r="184" spans="1:15">
      <c r="A184" s="7" t="s">
        <v>266</v>
      </c>
      <c r="B184" s="8">
        <v>45703</v>
      </c>
      <c r="C184" s="7" t="s">
        <v>15</v>
      </c>
      <c r="D184" s="7" t="s">
        <v>63</v>
      </c>
      <c r="E184" s="7" t="s">
        <v>49</v>
      </c>
      <c r="F184" s="7" t="s">
        <v>1590</v>
      </c>
      <c r="G184" s="7" t="s">
        <v>47</v>
      </c>
      <c r="H184">
        <v>5</v>
      </c>
      <c r="I184">
        <v>4079.82</v>
      </c>
      <c r="J184">
        <v>0.15</v>
      </c>
      <c r="K184">
        <v>17339.240000000002</v>
      </c>
      <c r="L184">
        <v>10228.48</v>
      </c>
      <c r="M184">
        <v>7110.76</v>
      </c>
      <c r="N184" s="7" t="s">
        <v>33</v>
      </c>
      <c r="O184" s="9">
        <f>IFERROR(RawSalesTable_[[#This Row],[Profit]]/RawSalesTable_[[#This Row],[Revenue]],0)</f>
        <v>0.41009640560947308</v>
      </c>
    </row>
    <row r="185" spans="1:15">
      <c r="A185" s="7" t="s">
        <v>267</v>
      </c>
      <c r="B185" s="8">
        <v>45806</v>
      </c>
      <c r="C185" s="7" t="s">
        <v>22</v>
      </c>
      <c r="D185" s="7" t="s">
        <v>35</v>
      </c>
      <c r="E185" s="7" t="s">
        <v>44</v>
      </c>
      <c r="F185" s="7" t="s">
        <v>80</v>
      </c>
      <c r="G185" s="7" t="s">
        <v>64</v>
      </c>
      <c r="H185">
        <v>7</v>
      </c>
      <c r="I185">
        <v>44981.17</v>
      </c>
      <c r="J185">
        <v>0</v>
      </c>
      <c r="K185">
        <v>314868.19</v>
      </c>
      <c r="L185">
        <v>224717.09</v>
      </c>
      <c r="M185">
        <v>90151.1</v>
      </c>
      <c r="N185" s="7" t="s">
        <v>33</v>
      </c>
      <c r="O185" s="9">
        <f>IFERROR(RawSalesTable_[[#This Row],[Profit]]/RawSalesTable_[[#This Row],[Revenue]],0)</f>
        <v>0.28631377466234365</v>
      </c>
    </row>
    <row r="186" spans="1:15">
      <c r="A186" s="7" t="s">
        <v>268</v>
      </c>
      <c r="B186" s="8">
        <v>45910</v>
      </c>
      <c r="C186" s="7" t="s">
        <v>28</v>
      </c>
      <c r="D186" s="7" t="s">
        <v>29</v>
      </c>
      <c r="E186" s="7" t="s">
        <v>17</v>
      </c>
      <c r="F186" s="7" t="s">
        <v>18</v>
      </c>
      <c r="G186" s="7" t="s">
        <v>61</v>
      </c>
      <c r="H186">
        <v>5</v>
      </c>
      <c r="I186">
        <v>14394.09</v>
      </c>
      <c r="J186">
        <v>0.15</v>
      </c>
      <c r="K186">
        <v>61174.879999999997</v>
      </c>
      <c r="L186">
        <v>41329.269999999997</v>
      </c>
      <c r="M186">
        <v>19845.61</v>
      </c>
      <c r="N186" s="7" t="s">
        <v>20</v>
      </c>
      <c r="O186" s="9">
        <f>IFERROR(RawSalesTable_[[#This Row],[Profit]]/RawSalesTable_[[#This Row],[Revenue]],0)</f>
        <v>0.32440782883431896</v>
      </c>
    </row>
    <row r="187" spans="1:15">
      <c r="A187" s="7" t="s">
        <v>269</v>
      </c>
      <c r="B187" s="8">
        <v>45753</v>
      </c>
      <c r="C187" s="7" t="s">
        <v>28</v>
      </c>
      <c r="D187" s="7" t="s">
        <v>52</v>
      </c>
      <c r="E187" s="7" t="s">
        <v>17</v>
      </c>
      <c r="F187" s="7" t="s">
        <v>18</v>
      </c>
      <c r="G187" s="7" t="s">
        <v>64</v>
      </c>
      <c r="H187">
        <v>3</v>
      </c>
      <c r="I187">
        <v>15036.2</v>
      </c>
      <c r="J187">
        <v>0.15</v>
      </c>
      <c r="K187">
        <v>38342.31</v>
      </c>
      <c r="L187">
        <v>24305.01</v>
      </c>
      <c r="M187">
        <v>14037.3</v>
      </c>
      <c r="N187" s="7" t="s">
        <v>59</v>
      </c>
      <c r="O187" s="9">
        <f>IFERROR(RawSalesTable_[[#This Row],[Profit]]/RawSalesTable_[[#This Row],[Revenue]],0)</f>
        <v>0.36610470261181449</v>
      </c>
    </row>
    <row r="188" spans="1:15">
      <c r="A188" s="7" t="s">
        <v>270</v>
      </c>
      <c r="B188" s="8">
        <v>45863</v>
      </c>
      <c r="C188" s="7" t="s">
        <v>28</v>
      </c>
      <c r="D188" s="7" t="s">
        <v>29</v>
      </c>
      <c r="E188" s="7" t="s">
        <v>44</v>
      </c>
      <c r="F188" s="7" t="s">
        <v>45</v>
      </c>
      <c r="G188" s="7" t="s">
        <v>19</v>
      </c>
      <c r="H188">
        <v>7</v>
      </c>
      <c r="I188">
        <v>29991.07</v>
      </c>
      <c r="J188">
        <v>0.1</v>
      </c>
      <c r="K188">
        <v>188943.74</v>
      </c>
      <c r="L188">
        <v>132063</v>
      </c>
      <c r="M188">
        <v>56880.74</v>
      </c>
      <c r="N188" s="7" t="s">
        <v>26</v>
      </c>
      <c r="O188" s="9">
        <f>IFERROR(RawSalesTable_[[#This Row],[Profit]]/RawSalesTable_[[#This Row],[Revenue]],0)</f>
        <v>0.30104590922144336</v>
      </c>
    </row>
    <row r="189" spans="1:15">
      <c r="A189" s="7" t="s">
        <v>271</v>
      </c>
      <c r="B189" s="8">
        <v>45794</v>
      </c>
      <c r="C189" s="7" t="s">
        <v>22</v>
      </c>
      <c r="D189" s="7" t="s">
        <v>35</v>
      </c>
      <c r="E189" s="7" t="s">
        <v>30</v>
      </c>
      <c r="F189" s="7" t="s">
        <v>86</v>
      </c>
      <c r="G189" s="7" t="s">
        <v>32</v>
      </c>
      <c r="H189">
        <v>1</v>
      </c>
      <c r="I189">
        <v>31736.95</v>
      </c>
      <c r="J189">
        <v>0</v>
      </c>
      <c r="K189">
        <v>31736.95</v>
      </c>
      <c r="L189">
        <v>22528.61</v>
      </c>
      <c r="M189">
        <v>9208.34</v>
      </c>
      <c r="N189" s="7" t="s">
        <v>59</v>
      </c>
      <c r="O189" s="9">
        <f>IFERROR(RawSalesTable_[[#This Row],[Profit]]/RawSalesTable_[[#This Row],[Revenue]],0)</f>
        <v>0.29014571343497092</v>
      </c>
    </row>
    <row r="190" spans="1:15">
      <c r="A190" s="7" t="s">
        <v>272</v>
      </c>
      <c r="B190" s="8">
        <v>45896</v>
      </c>
      <c r="C190" s="7" t="s">
        <v>15</v>
      </c>
      <c r="D190" s="7" t="s">
        <v>43</v>
      </c>
      <c r="E190" s="7" t="s">
        <v>17</v>
      </c>
      <c r="F190" s="7" t="s">
        <v>18</v>
      </c>
      <c r="G190" s="7" t="s">
        <v>58</v>
      </c>
      <c r="H190">
        <v>6</v>
      </c>
      <c r="I190">
        <v>14947.22</v>
      </c>
      <c r="J190">
        <v>0</v>
      </c>
      <c r="K190">
        <v>89683.32</v>
      </c>
      <c r="L190">
        <v>50023.86</v>
      </c>
      <c r="M190">
        <v>39659.46</v>
      </c>
      <c r="N190" s="7" t="s">
        <v>26</v>
      </c>
      <c r="O190" s="9">
        <f>IFERROR(RawSalesTable_[[#This Row],[Profit]]/RawSalesTable_[[#This Row],[Revenue]],0)</f>
        <v>0.44221667975717222</v>
      </c>
    </row>
    <row r="191" spans="1:15">
      <c r="A191" s="7" t="s">
        <v>273</v>
      </c>
      <c r="B191" s="8">
        <v>45726</v>
      </c>
      <c r="C191" s="7" t="s">
        <v>28</v>
      </c>
      <c r="D191" s="7" t="s">
        <v>29</v>
      </c>
      <c r="E191" s="7" t="s">
        <v>30</v>
      </c>
      <c r="F191" s="7" t="s">
        <v>31</v>
      </c>
      <c r="G191" s="7" t="s">
        <v>70</v>
      </c>
      <c r="H191">
        <v>5</v>
      </c>
      <c r="I191">
        <v>132138.95000000001</v>
      </c>
      <c r="J191">
        <v>0</v>
      </c>
      <c r="K191">
        <v>660694.75</v>
      </c>
      <c r="L191">
        <v>497596.2</v>
      </c>
      <c r="M191">
        <v>163098.54999999999</v>
      </c>
      <c r="N191" s="7" t="s">
        <v>26</v>
      </c>
      <c r="O191" s="9">
        <f>IFERROR(RawSalesTable_[[#This Row],[Profit]]/RawSalesTable_[[#This Row],[Revenue]],0)</f>
        <v>0.24685915848430759</v>
      </c>
    </row>
    <row r="192" spans="1:15">
      <c r="A192" s="7" t="s">
        <v>274</v>
      </c>
      <c r="B192" s="8">
        <v>45784</v>
      </c>
      <c r="C192" s="7" t="s">
        <v>28</v>
      </c>
      <c r="D192" s="7" t="s">
        <v>29</v>
      </c>
      <c r="E192" s="7" t="s">
        <v>30</v>
      </c>
      <c r="F192" s="7" t="s">
        <v>40</v>
      </c>
      <c r="G192" s="7" t="s">
        <v>19</v>
      </c>
      <c r="H192">
        <v>8</v>
      </c>
      <c r="I192">
        <v>25508.81</v>
      </c>
      <c r="J192">
        <v>0.15</v>
      </c>
      <c r="K192">
        <v>173459.91</v>
      </c>
      <c r="L192">
        <v>129912.94</v>
      </c>
      <c r="M192">
        <v>43546.97</v>
      </c>
      <c r="N192" s="7" t="s">
        <v>20</v>
      </c>
      <c r="O192" s="9">
        <f>IFERROR(RawSalesTable_[[#This Row],[Profit]]/RawSalesTable_[[#This Row],[Revenue]],0)</f>
        <v>0.25104919055936326</v>
      </c>
    </row>
    <row r="193" spans="1:15">
      <c r="A193" s="7" t="s">
        <v>275</v>
      </c>
      <c r="B193" s="8">
        <v>45761</v>
      </c>
      <c r="C193" s="7" t="s">
        <v>15</v>
      </c>
      <c r="D193" s="7" t="s">
        <v>43</v>
      </c>
      <c r="E193" s="7" t="s">
        <v>30</v>
      </c>
      <c r="F193" s="7" t="s">
        <v>31</v>
      </c>
      <c r="G193" s="7" t="s">
        <v>61</v>
      </c>
      <c r="H193">
        <v>2</v>
      </c>
      <c r="I193">
        <v>125533.97</v>
      </c>
      <c r="J193">
        <v>0.1</v>
      </c>
      <c r="K193">
        <v>225961.15</v>
      </c>
      <c r="L193">
        <v>208706.84</v>
      </c>
      <c r="M193">
        <v>17254.310000000001</v>
      </c>
      <c r="N193" s="7" t="s">
        <v>26</v>
      </c>
      <c r="O193" s="9">
        <f>IFERROR(RawSalesTable_[[#This Row],[Profit]]/RawSalesTable_[[#This Row],[Revenue]],0)</f>
        <v>7.6359630848046228E-2</v>
      </c>
    </row>
    <row r="194" spans="1:15">
      <c r="A194" s="7" t="s">
        <v>276</v>
      </c>
      <c r="B194" s="8">
        <v>45919</v>
      </c>
      <c r="C194" s="7" t="s">
        <v>28</v>
      </c>
      <c r="D194" s="7" t="s">
        <v>29</v>
      </c>
      <c r="E194" s="7" t="s">
        <v>49</v>
      </c>
      <c r="F194" s="7" t="s">
        <v>91</v>
      </c>
      <c r="G194" s="7" t="s">
        <v>70</v>
      </c>
      <c r="H194">
        <v>4</v>
      </c>
      <c r="I194">
        <v>6725.59</v>
      </c>
      <c r="J194">
        <v>0.05</v>
      </c>
      <c r="K194">
        <v>25557.24</v>
      </c>
      <c r="L194">
        <v>14059.67</v>
      </c>
      <c r="M194">
        <v>11497.57</v>
      </c>
      <c r="N194" s="7" t="s">
        <v>33</v>
      </c>
      <c r="O194" s="9">
        <f>IFERROR(RawSalesTable_[[#This Row],[Profit]]/RawSalesTable_[[#This Row],[Revenue]],0)</f>
        <v>0.44987526039587994</v>
      </c>
    </row>
    <row r="195" spans="1:15">
      <c r="A195" s="7" t="s">
        <v>277</v>
      </c>
      <c r="B195" s="8">
        <v>45669</v>
      </c>
      <c r="C195" s="7" t="s">
        <v>28</v>
      </c>
      <c r="D195" s="7" t="s">
        <v>52</v>
      </c>
      <c r="E195" s="7" t="s">
        <v>49</v>
      </c>
      <c r="F195" s="7" t="s">
        <v>107</v>
      </c>
      <c r="G195" s="7" t="s">
        <v>25</v>
      </c>
      <c r="H195">
        <v>1</v>
      </c>
      <c r="I195">
        <v>5248.92</v>
      </c>
      <c r="J195">
        <v>0.15</v>
      </c>
      <c r="K195">
        <v>4461.58</v>
      </c>
      <c r="L195">
        <v>2771.51</v>
      </c>
      <c r="M195">
        <v>1690.07</v>
      </c>
      <c r="N195" s="7" t="s">
        <v>59</v>
      </c>
      <c r="O195" s="9">
        <f>IFERROR(RawSalesTable_[[#This Row],[Profit]]/RawSalesTable_[[#This Row],[Revenue]],0)</f>
        <v>0.37880526629579653</v>
      </c>
    </row>
    <row r="196" spans="1:15">
      <c r="A196" s="7" t="s">
        <v>278</v>
      </c>
      <c r="B196" s="8">
        <v>45688</v>
      </c>
      <c r="C196" s="7" t="s">
        <v>22</v>
      </c>
      <c r="D196" s="7" t="s">
        <v>37</v>
      </c>
      <c r="E196" s="7" t="s">
        <v>44</v>
      </c>
      <c r="F196" s="7" t="s">
        <v>80</v>
      </c>
      <c r="G196" s="7" t="s">
        <v>19</v>
      </c>
      <c r="H196">
        <v>1</v>
      </c>
      <c r="I196">
        <v>42475.040000000001</v>
      </c>
      <c r="J196">
        <v>0.15</v>
      </c>
      <c r="K196">
        <v>36103.78</v>
      </c>
      <c r="L196">
        <v>30208.36</v>
      </c>
      <c r="M196">
        <v>5895.42</v>
      </c>
      <c r="N196" s="7" t="s">
        <v>20</v>
      </c>
      <c r="O196" s="9">
        <f>IFERROR(RawSalesTable_[[#This Row],[Profit]]/RawSalesTable_[[#This Row],[Revenue]],0)</f>
        <v>0.1632909351873959</v>
      </c>
    </row>
    <row r="197" spans="1:15">
      <c r="A197" s="7" t="s">
        <v>279</v>
      </c>
      <c r="B197" s="8">
        <v>45873</v>
      </c>
      <c r="C197" s="7" t="s">
        <v>22</v>
      </c>
      <c r="D197" s="7" t="s">
        <v>35</v>
      </c>
      <c r="E197" s="7" t="s">
        <v>49</v>
      </c>
      <c r="F197" s="7" t="s">
        <v>1590</v>
      </c>
      <c r="G197" s="7" t="s">
        <v>32</v>
      </c>
      <c r="H197">
        <v>3</v>
      </c>
      <c r="I197">
        <v>4378.6400000000003</v>
      </c>
      <c r="J197">
        <v>0.15</v>
      </c>
      <c r="K197">
        <v>11165.53</v>
      </c>
      <c r="L197">
        <v>6395.83</v>
      </c>
      <c r="M197">
        <v>4769.7</v>
      </c>
      <c r="N197" s="7" t="s">
        <v>20</v>
      </c>
      <c r="O197" s="9">
        <f>IFERROR(RawSalesTable_[[#This Row],[Profit]]/RawSalesTable_[[#This Row],[Revenue]],0)</f>
        <v>0.42718079661243125</v>
      </c>
    </row>
    <row r="198" spans="1:15">
      <c r="A198" s="7" t="s">
        <v>280</v>
      </c>
      <c r="B198" s="8">
        <v>45933</v>
      </c>
      <c r="C198" s="7" t="s">
        <v>28</v>
      </c>
      <c r="D198" s="7" t="s">
        <v>56</v>
      </c>
      <c r="E198" s="7" t="s">
        <v>49</v>
      </c>
      <c r="F198" s="7" t="s">
        <v>91</v>
      </c>
      <c r="G198" s="7" t="s">
        <v>25</v>
      </c>
      <c r="H198">
        <v>3</v>
      </c>
      <c r="I198">
        <v>6659.68</v>
      </c>
      <c r="J198">
        <v>0.05</v>
      </c>
      <c r="K198">
        <v>18980.09</v>
      </c>
      <c r="L198">
        <v>10565.69</v>
      </c>
      <c r="M198">
        <v>8414.4</v>
      </c>
      <c r="N198" s="7" t="s">
        <v>26</v>
      </c>
      <c r="O198" s="9">
        <f>IFERROR(RawSalesTable_[[#This Row],[Profit]]/RawSalesTable_[[#This Row],[Revenue]],0)</f>
        <v>0.44332771867783555</v>
      </c>
    </row>
    <row r="199" spans="1:15">
      <c r="A199" s="7" t="s">
        <v>281</v>
      </c>
      <c r="B199" s="8">
        <v>45930</v>
      </c>
      <c r="C199" s="7" t="s">
        <v>15</v>
      </c>
      <c r="D199" s="7" t="s">
        <v>16</v>
      </c>
      <c r="E199" s="7" t="s">
        <v>17</v>
      </c>
      <c r="F199" s="7" t="s">
        <v>75</v>
      </c>
      <c r="G199" s="7" t="s">
        <v>25</v>
      </c>
      <c r="H199">
        <v>5</v>
      </c>
      <c r="I199">
        <v>183904.92</v>
      </c>
      <c r="J199">
        <v>0.15</v>
      </c>
      <c r="K199">
        <v>781595.91</v>
      </c>
      <c r="L199">
        <v>715758.93</v>
      </c>
      <c r="M199">
        <v>65836.98</v>
      </c>
      <c r="N199" s="7" t="s">
        <v>26</v>
      </c>
      <c r="O199" s="9">
        <f>IFERROR(RawSalesTable_[[#This Row],[Profit]]/RawSalesTable_[[#This Row],[Revenue]],0)</f>
        <v>8.4234038532775835E-2</v>
      </c>
    </row>
    <row r="200" spans="1:15">
      <c r="A200" s="7" t="s">
        <v>282</v>
      </c>
      <c r="B200" s="8">
        <v>45674</v>
      </c>
      <c r="C200" s="7" t="s">
        <v>22</v>
      </c>
      <c r="D200" s="7" t="s">
        <v>35</v>
      </c>
      <c r="E200" s="7" t="s">
        <v>30</v>
      </c>
      <c r="F200" s="7" t="s">
        <v>86</v>
      </c>
      <c r="G200" s="7" t="s">
        <v>25</v>
      </c>
      <c r="H200">
        <v>5</v>
      </c>
      <c r="I200">
        <v>31355.18</v>
      </c>
      <c r="J200">
        <v>0.15</v>
      </c>
      <c r="K200">
        <v>133259.51</v>
      </c>
      <c r="L200">
        <v>115153.23</v>
      </c>
      <c r="M200">
        <v>18106.28</v>
      </c>
      <c r="N200" s="7" t="s">
        <v>33</v>
      </c>
      <c r="O200" s="9">
        <f>IFERROR(RawSalesTable_[[#This Row],[Profit]]/RawSalesTable_[[#This Row],[Revenue]],0)</f>
        <v>0.13587232911182098</v>
      </c>
    </row>
    <row r="201" spans="1:15">
      <c r="A201" s="7" t="s">
        <v>283</v>
      </c>
      <c r="B201" s="8">
        <v>45682</v>
      </c>
      <c r="C201" s="7" t="s">
        <v>22</v>
      </c>
      <c r="D201" s="7" t="s">
        <v>23</v>
      </c>
      <c r="E201" s="7" t="s">
        <v>17</v>
      </c>
      <c r="F201" s="7" t="s">
        <v>75</v>
      </c>
      <c r="G201" s="7" t="s">
        <v>47</v>
      </c>
      <c r="H201">
        <v>1</v>
      </c>
      <c r="I201">
        <v>183414.66</v>
      </c>
      <c r="J201">
        <v>0.15</v>
      </c>
      <c r="K201">
        <v>155902.46</v>
      </c>
      <c r="L201">
        <v>144730.67000000001</v>
      </c>
      <c r="M201">
        <v>11171.79</v>
      </c>
      <c r="N201" s="7" t="s">
        <v>33</v>
      </c>
      <c r="O201" s="9">
        <f>IFERROR(RawSalesTable_[[#This Row],[Profit]]/RawSalesTable_[[#This Row],[Revenue]],0)</f>
        <v>7.1658843612858972E-2</v>
      </c>
    </row>
    <row r="202" spans="1:15">
      <c r="A202" s="7" t="s">
        <v>284</v>
      </c>
      <c r="B202" s="8">
        <v>45952</v>
      </c>
      <c r="C202" s="7" t="s">
        <v>28</v>
      </c>
      <c r="D202" s="7" t="s">
        <v>56</v>
      </c>
      <c r="E202" s="7" t="s">
        <v>44</v>
      </c>
      <c r="F202" s="7" t="s">
        <v>45</v>
      </c>
      <c r="G202" s="7" t="s">
        <v>32</v>
      </c>
      <c r="H202">
        <v>1</v>
      </c>
      <c r="I202">
        <v>26859.02</v>
      </c>
      <c r="J202">
        <v>0.05</v>
      </c>
      <c r="K202">
        <v>25516.07</v>
      </c>
      <c r="L202">
        <v>18741.43</v>
      </c>
      <c r="M202">
        <v>6774.64</v>
      </c>
      <c r="N202" s="7" t="s">
        <v>59</v>
      </c>
      <c r="O202" s="9">
        <f>IFERROR(RawSalesTable_[[#This Row],[Profit]]/RawSalesTable_[[#This Row],[Revenue]],0)</f>
        <v>0.26550483675581704</v>
      </c>
    </row>
    <row r="203" spans="1:15">
      <c r="A203" s="7" t="s">
        <v>285</v>
      </c>
      <c r="B203" s="8">
        <v>45960</v>
      </c>
      <c r="C203" s="7" t="s">
        <v>22</v>
      </c>
      <c r="D203" s="7" t="s">
        <v>35</v>
      </c>
      <c r="E203" s="7" t="s">
        <v>44</v>
      </c>
      <c r="F203" s="7" t="s">
        <v>45</v>
      </c>
      <c r="G203" s="7" t="s">
        <v>61</v>
      </c>
      <c r="H203">
        <v>7</v>
      </c>
      <c r="I203">
        <v>27590.28</v>
      </c>
      <c r="J203">
        <v>0</v>
      </c>
      <c r="K203">
        <v>193131.96</v>
      </c>
      <c r="L203">
        <v>134193.04999999999</v>
      </c>
      <c r="M203">
        <v>58938.91</v>
      </c>
      <c r="N203" s="7" t="s">
        <v>20</v>
      </c>
      <c r="O203" s="9">
        <f>IFERROR(RawSalesTable_[[#This Row],[Profit]]/RawSalesTable_[[#This Row],[Revenue]],0)</f>
        <v>0.30517429637228349</v>
      </c>
    </row>
    <row r="204" spans="1:15">
      <c r="A204" s="7" t="s">
        <v>286</v>
      </c>
      <c r="B204" s="8">
        <v>45867</v>
      </c>
      <c r="C204" s="7" t="s">
        <v>15</v>
      </c>
      <c r="D204" s="7" t="s">
        <v>63</v>
      </c>
      <c r="E204" s="7" t="s">
        <v>17</v>
      </c>
      <c r="F204" s="7" t="s">
        <v>18</v>
      </c>
      <c r="G204" s="7" t="s">
        <v>61</v>
      </c>
      <c r="H204">
        <v>7</v>
      </c>
      <c r="I204">
        <v>15163.07</v>
      </c>
      <c r="J204">
        <v>0.05</v>
      </c>
      <c r="K204">
        <v>100834.42</v>
      </c>
      <c r="L204">
        <v>58475.77</v>
      </c>
      <c r="M204">
        <v>42358.65</v>
      </c>
      <c r="N204" s="7" t="s">
        <v>59</v>
      </c>
      <c r="O204" s="9">
        <f>IFERROR(RawSalesTable_[[#This Row],[Profit]]/RawSalesTable_[[#This Row],[Revenue]],0)</f>
        <v>0.42008125796726953</v>
      </c>
    </row>
    <row r="205" spans="1:15">
      <c r="A205" s="7" t="s">
        <v>287</v>
      </c>
      <c r="B205" s="8">
        <v>45895</v>
      </c>
      <c r="C205" s="7" t="s">
        <v>28</v>
      </c>
      <c r="D205" s="7" t="s">
        <v>52</v>
      </c>
      <c r="E205" s="7" t="s">
        <v>49</v>
      </c>
      <c r="F205" s="7" t="s">
        <v>1590</v>
      </c>
      <c r="G205" s="7" t="s">
        <v>64</v>
      </c>
      <c r="H205">
        <v>4</v>
      </c>
      <c r="I205">
        <v>4066.09</v>
      </c>
      <c r="J205">
        <v>0.15</v>
      </c>
      <c r="K205">
        <v>13824.71</v>
      </c>
      <c r="L205">
        <v>8232.8799999999992</v>
      </c>
      <c r="M205">
        <v>5591.83</v>
      </c>
      <c r="N205" s="7" t="s">
        <v>20</v>
      </c>
      <c r="O205" s="9">
        <f>IFERROR(RawSalesTable_[[#This Row],[Profit]]/RawSalesTable_[[#This Row],[Revenue]],0)</f>
        <v>0.40448081731913366</v>
      </c>
    </row>
    <row r="206" spans="1:15">
      <c r="A206" s="7" t="s">
        <v>288</v>
      </c>
      <c r="B206" s="8">
        <v>45888</v>
      </c>
      <c r="C206" s="7" t="s">
        <v>28</v>
      </c>
      <c r="D206" s="7" t="s">
        <v>29</v>
      </c>
      <c r="E206" s="7" t="s">
        <v>44</v>
      </c>
      <c r="F206" s="7" t="s">
        <v>53</v>
      </c>
      <c r="G206" s="7" t="s">
        <v>32</v>
      </c>
      <c r="H206">
        <v>4</v>
      </c>
      <c r="I206">
        <v>8166.79</v>
      </c>
      <c r="J206">
        <v>0.05</v>
      </c>
      <c r="K206">
        <v>31033.8</v>
      </c>
      <c r="L206">
        <v>19899.28</v>
      </c>
      <c r="M206">
        <v>11134.52</v>
      </c>
      <c r="N206" s="7" t="s">
        <v>33</v>
      </c>
      <c r="O206" s="9">
        <f>IFERROR(RawSalesTable_[[#This Row],[Profit]]/RawSalesTable_[[#This Row],[Revenue]],0)</f>
        <v>0.35878687108894175</v>
      </c>
    </row>
    <row r="207" spans="1:15">
      <c r="A207" s="7" t="s">
        <v>289</v>
      </c>
      <c r="B207" s="8">
        <v>45695</v>
      </c>
      <c r="C207" s="7" t="s">
        <v>15</v>
      </c>
      <c r="D207" s="7" t="s">
        <v>43</v>
      </c>
      <c r="E207" s="7" t="s">
        <v>44</v>
      </c>
      <c r="F207" s="7" t="s">
        <v>80</v>
      </c>
      <c r="G207" s="7" t="s">
        <v>47</v>
      </c>
      <c r="H207">
        <v>5</v>
      </c>
      <c r="I207">
        <v>42154.92</v>
      </c>
      <c r="J207">
        <v>0.1</v>
      </c>
      <c r="K207">
        <v>189697.14</v>
      </c>
      <c r="L207">
        <v>156891.70000000001</v>
      </c>
      <c r="M207">
        <v>32805.440000000002</v>
      </c>
      <c r="N207" s="7" t="s">
        <v>26</v>
      </c>
      <c r="O207" s="9">
        <f>IFERROR(RawSalesTable_[[#This Row],[Profit]]/RawSalesTable_[[#This Row],[Revenue]],0)</f>
        <v>0.17293587030357971</v>
      </c>
    </row>
    <row r="208" spans="1:15">
      <c r="A208" s="7" t="s">
        <v>290</v>
      </c>
      <c r="B208" s="8">
        <v>45718</v>
      </c>
      <c r="C208" s="7" t="s">
        <v>28</v>
      </c>
      <c r="D208" s="7" t="s">
        <v>52</v>
      </c>
      <c r="E208" s="7" t="s">
        <v>30</v>
      </c>
      <c r="F208" s="7" t="s">
        <v>38</v>
      </c>
      <c r="G208" s="7" t="s">
        <v>70</v>
      </c>
      <c r="H208">
        <v>1</v>
      </c>
      <c r="I208">
        <v>25755.01</v>
      </c>
      <c r="J208">
        <v>0</v>
      </c>
      <c r="K208">
        <v>25755.01</v>
      </c>
      <c r="L208">
        <v>18672.22</v>
      </c>
      <c r="M208">
        <v>7082.79</v>
      </c>
      <c r="N208" s="7" t="s">
        <v>26</v>
      </c>
      <c r="O208" s="9">
        <f>IFERROR(RawSalesTable_[[#This Row],[Profit]]/RawSalesTable_[[#This Row],[Revenue]],0)</f>
        <v>0.27500629974517582</v>
      </c>
    </row>
    <row r="209" spans="1:15">
      <c r="A209" s="7" t="s">
        <v>291</v>
      </c>
      <c r="B209" s="8">
        <v>45931</v>
      </c>
      <c r="C209" s="7" t="s">
        <v>15</v>
      </c>
      <c r="D209" s="7" t="s">
        <v>43</v>
      </c>
      <c r="E209" s="7" t="s">
        <v>44</v>
      </c>
      <c r="F209" s="7" t="s">
        <v>53</v>
      </c>
      <c r="G209" s="7" t="s">
        <v>32</v>
      </c>
      <c r="H209">
        <v>4</v>
      </c>
      <c r="I209">
        <v>8570.83</v>
      </c>
      <c r="J209">
        <v>-0.05</v>
      </c>
      <c r="K209">
        <v>32569.15</v>
      </c>
      <c r="L209">
        <v>19534.27</v>
      </c>
      <c r="M209">
        <v>13034.88</v>
      </c>
      <c r="N209" s="7" t="s">
        <v>59</v>
      </c>
      <c r="O209" s="9">
        <f>IFERROR(RawSalesTable_[[#This Row],[Profit]]/RawSalesTable_[[#This Row],[Revenue]],0)</f>
        <v>0.40022168217469595</v>
      </c>
    </row>
    <row r="210" spans="1:15">
      <c r="A210" s="7" t="s">
        <v>292</v>
      </c>
      <c r="B210" s="8">
        <v>45821</v>
      </c>
      <c r="C210" s="7" t="s">
        <v>28</v>
      </c>
      <c r="D210" s="7" t="s">
        <v>56</v>
      </c>
      <c r="E210" s="7" t="s">
        <v>49</v>
      </c>
      <c r="F210" s="7" t="s">
        <v>107</v>
      </c>
      <c r="G210" s="7" t="s">
        <v>47</v>
      </c>
      <c r="H210">
        <v>2</v>
      </c>
      <c r="I210">
        <v>5451.94</v>
      </c>
      <c r="J210">
        <v>0.15</v>
      </c>
      <c r="K210">
        <v>9268.2999999999993</v>
      </c>
      <c r="L210">
        <v>5415.47</v>
      </c>
      <c r="M210">
        <v>3852.83</v>
      </c>
      <c r="N210" s="7" t="s">
        <v>59</v>
      </c>
      <c r="O210" s="9">
        <f>IFERROR(RawSalesTable_[[#This Row],[Profit]]/RawSalesTable_[[#This Row],[Revenue]],0)</f>
        <v>0.41569975076335469</v>
      </c>
    </row>
    <row r="211" spans="1:15">
      <c r="A211" s="7" t="s">
        <v>293</v>
      </c>
      <c r="B211" s="8">
        <v>45954</v>
      </c>
      <c r="C211" s="7" t="s">
        <v>28</v>
      </c>
      <c r="D211" s="7" t="s">
        <v>56</v>
      </c>
      <c r="E211" s="7" t="s">
        <v>17</v>
      </c>
      <c r="F211" s="7" t="s">
        <v>24</v>
      </c>
      <c r="G211" s="7" t="s">
        <v>25</v>
      </c>
      <c r="H211">
        <v>3</v>
      </c>
      <c r="I211">
        <v>84878.76</v>
      </c>
      <c r="J211">
        <v>0.1</v>
      </c>
      <c r="K211">
        <v>229172.65</v>
      </c>
      <c r="L211">
        <v>211228.35</v>
      </c>
      <c r="M211">
        <v>17944.3</v>
      </c>
      <c r="N211" s="7" t="s">
        <v>59</v>
      </c>
      <c r="O211" s="9">
        <f>IFERROR(RawSalesTable_[[#This Row],[Profit]]/RawSalesTable_[[#This Row],[Revenue]],0)</f>
        <v>7.8300355648896147E-2</v>
      </c>
    </row>
    <row r="212" spans="1:15">
      <c r="A212" s="7" t="s">
        <v>294</v>
      </c>
      <c r="B212" s="8">
        <v>45993</v>
      </c>
      <c r="C212" s="7" t="s">
        <v>22</v>
      </c>
      <c r="D212" s="7" t="s">
        <v>23</v>
      </c>
      <c r="E212" s="7" t="s">
        <v>30</v>
      </c>
      <c r="F212" s="7" t="s">
        <v>86</v>
      </c>
      <c r="G212" s="7" t="s">
        <v>32</v>
      </c>
      <c r="H212">
        <v>7</v>
      </c>
      <c r="I212">
        <v>33368.49</v>
      </c>
      <c r="J212">
        <v>0</v>
      </c>
      <c r="K212">
        <v>233579.43</v>
      </c>
      <c r="L212">
        <v>158279.79999999999</v>
      </c>
      <c r="M212">
        <v>75299.63</v>
      </c>
      <c r="N212" s="7" t="s">
        <v>59</v>
      </c>
      <c r="O212" s="9">
        <f>IFERROR(RawSalesTable_[[#This Row],[Profit]]/RawSalesTable_[[#This Row],[Revenue]],0)</f>
        <v>0.32237269352014436</v>
      </c>
    </row>
    <row r="213" spans="1:15">
      <c r="A213" s="7" t="s">
        <v>295</v>
      </c>
      <c r="B213" s="8">
        <v>45937</v>
      </c>
      <c r="C213" s="7" t="s">
        <v>28</v>
      </c>
      <c r="D213" s="7" t="s">
        <v>29</v>
      </c>
      <c r="E213" s="7" t="s">
        <v>49</v>
      </c>
      <c r="F213" s="7" t="s">
        <v>107</v>
      </c>
      <c r="G213" s="7" t="s">
        <v>70</v>
      </c>
      <c r="H213">
        <v>3</v>
      </c>
      <c r="I213">
        <v>5393.67</v>
      </c>
      <c r="J213">
        <v>0.05</v>
      </c>
      <c r="K213">
        <v>15371.96</v>
      </c>
      <c r="L213">
        <v>7952.97</v>
      </c>
      <c r="M213">
        <v>7418.99</v>
      </c>
      <c r="N213" s="7" t="s">
        <v>26</v>
      </c>
      <c r="O213" s="9">
        <f>IFERROR(RawSalesTable_[[#This Row],[Profit]]/RawSalesTable_[[#This Row],[Revenue]],0)</f>
        <v>0.48263136255884093</v>
      </c>
    </row>
    <row r="214" spans="1:15">
      <c r="A214" s="7" t="s">
        <v>296</v>
      </c>
      <c r="B214" s="8">
        <v>45661</v>
      </c>
      <c r="C214" s="7" t="s">
        <v>15</v>
      </c>
      <c r="D214" s="7" t="s">
        <v>43</v>
      </c>
      <c r="E214" s="7" t="s">
        <v>17</v>
      </c>
      <c r="F214" s="7" t="s">
        <v>75</v>
      </c>
      <c r="G214" s="7" t="s">
        <v>25</v>
      </c>
      <c r="H214">
        <v>2</v>
      </c>
      <c r="I214">
        <v>198177.57</v>
      </c>
      <c r="J214">
        <v>0.15</v>
      </c>
      <c r="K214">
        <v>336901.87</v>
      </c>
      <c r="L214">
        <v>276444.46999999997</v>
      </c>
      <c r="M214">
        <v>60457.4</v>
      </c>
      <c r="N214" s="7" t="s">
        <v>26</v>
      </c>
      <c r="O214" s="9">
        <f>IFERROR(RawSalesTable_[[#This Row],[Profit]]/RawSalesTable_[[#This Row],[Revenue]],0)</f>
        <v>0.17945106686406936</v>
      </c>
    </row>
    <row r="215" spans="1:15">
      <c r="A215" s="7" t="s">
        <v>297</v>
      </c>
      <c r="B215" s="8">
        <v>45974</v>
      </c>
      <c r="C215" s="7" t="s">
        <v>15</v>
      </c>
      <c r="D215" s="7" t="s">
        <v>16</v>
      </c>
      <c r="E215" s="7" t="s">
        <v>17</v>
      </c>
      <c r="F215" s="7" t="s">
        <v>24</v>
      </c>
      <c r="G215" s="7" t="s">
        <v>70</v>
      </c>
      <c r="H215">
        <v>1</v>
      </c>
      <c r="I215">
        <v>87859.55</v>
      </c>
      <c r="J215">
        <v>0.05</v>
      </c>
      <c r="K215">
        <v>83466.570000000007</v>
      </c>
      <c r="L215">
        <v>67736.44</v>
      </c>
      <c r="M215">
        <v>15730.13</v>
      </c>
      <c r="N215" s="7" t="s">
        <v>20</v>
      </c>
      <c r="O215" s="9">
        <f>IFERROR(RawSalesTable_[[#This Row],[Profit]]/RawSalesTable_[[#This Row],[Revenue]],0)</f>
        <v>0.18846024222631885</v>
      </c>
    </row>
    <row r="216" spans="1:15">
      <c r="A216" s="7" t="s">
        <v>298</v>
      </c>
      <c r="B216" s="8">
        <v>45804</v>
      </c>
      <c r="C216" s="7" t="s">
        <v>22</v>
      </c>
      <c r="D216" s="7" t="s">
        <v>23</v>
      </c>
      <c r="E216" s="7" t="s">
        <v>49</v>
      </c>
      <c r="F216" s="7" t="s">
        <v>91</v>
      </c>
      <c r="G216" s="7" t="s">
        <v>64</v>
      </c>
      <c r="H216">
        <v>1</v>
      </c>
      <c r="I216">
        <v>6530.59</v>
      </c>
      <c r="J216">
        <v>0.05</v>
      </c>
      <c r="K216">
        <v>6204.06</v>
      </c>
      <c r="L216">
        <v>3627.01</v>
      </c>
      <c r="M216">
        <v>2577.0500000000002</v>
      </c>
      <c r="N216" s="7" t="s">
        <v>20</v>
      </c>
      <c r="O216" s="9">
        <f>IFERROR(RawSalesTable_[[#This Row],[Profit]]/RawSalesTable_[[#This Row],[Revenue]],0)</f>
        <v>0.41538121810556311</v>
      </c>
    </row>
    <row r="217" spans="1:15">
      <c r="A217" s="7" t="s">
        <v>299</v>
      </c>
      <c r="B217" s="8">
        <v>45839</v>
      </c>
      <c r="C217" s="7" t="s">
        <v>22</v>
      </c>
      <c r="D217" s="7" t="s">
        <v>23</v>
      </c>
      <c r="E217" s="7" t="s">
        <v>17</v>
      </c>
      <c r="F217" s="7" t="s">
        <v>24</v>
      </c>
      <c r="G217" s="7" t="s">
        <v>58</v>
      </c>
      <c r="H217">
        <v>4</v>
      </c>
      <c r="I217">
        <v>87465.24</v>
      </c>
      <c r="J217">
        <v>0.1</v>
      </c>
      <c r="K217">
        <v>314874.86</v>
      </c>
      <c r="L217">
        <v>268646.03999999998</v>
      </c>
      <c r="M217">
        <v>46228.82</v>
      </c>
      <c r="N217" s="7" t="s">
        <v>20</v>
      </c>
      <c r="O217" s="9">
        <f>IFERROR(RawSalesTable_[[#This Row],[Profit]]/RawSalesTable_[[#This Row],[Revenue]],0)</f>
        <v>0.14681648449164852</v>
      </c>
    </row>
    <row r="218" spans="1:15">
      <c r="A218" s="7" t="s">
        <v>300</v>
      </c>
      <c r="B218" s="8">
        <v>45699</v>
      </c>
      <c r="C218" s="7" t="s">
        <v>22</v>
      </c>
      <c r="D218" s="7" t="s">
        <v>35</v>
      </c>
      <c r="E218" s="7" t="s">
        <v>49</v>
      </c>
      <c r="F218" s="7" t="s">
        <v>107</v>
      </c>
      <c r="G218" s="7" t="s">
        <v>64</v>
      </c>
      <c r="H218">
        <v>4</v>
      </c>
      <c r="I218">
        <v>5607.87</v>
      </c>
      <c r="J218">
        <v>0</v>
      </c>
      <c r="K218">
        <v>22431.48</v>
      </c>
      <c r="L218">
        <v>10702.78</v>
      </c>
      <c r="M218">
        <v>11728.7</v>
      </c>
      <c r="N218" s="7" t="s">
        <v>33</v>
      </c>
      <c r="O218" s="9">
        <f>IFERROR(RawSalesTable_[[#This Row],[Profit]]/RawSalesTable_[[#This Row],[Revenue]],0)</f>
        <v>0.52286786248611328</v>
      </c>
    </row>
    <row r="219" spans="1:15">
      <c r="A219" s="7" t="s">
        <v>302</v>
      </c>
      <c r="B219" s="8">
        <v>45913</v>
      </c>
      <c r="C219" s="7" t="s">
        <v>28</v>
      </c>
      <c r="D219" s="7" t="s">
        <v>56</v>
      </c>
      <c r="E219" s="7" t="s">
        <v>49</v>
      </c>
      <c r="F219" s="7" t="s">
        <v>107</v>
      </c>
      <c r="G219" s="7" t="s">
        <v>25</v>
      </c>
      <c r="H219">
        <v>1</v>
      </c>
      <c r="I219">
        <v>5313.77</v>
      </c>
      <c r="J219">
        <v>0.15</v>
      </c>
      <c r="K219">
        <v>4516.7</v>
      </c>
      <c r="L219">
        <v>2651.39</v>
      </c>
      <c r="M219">
        <v>1865.31</v>
      </c>
      <c r="N219" s="7" t="s">
        <v>59</v>
      </c>
      <c r="O219" s="9">
        <f>IFERROR(RawSalesTable_[[#This Row],[Profit]]/RawSalesTable_[[#This Row],[Revenue]],0)</f>
        <v>0.41298071600947595</v>
      </c>
    </row>
    <row r="220" spans="1:15">
      <c r="A220" s="7" t="s">
        <v>303</v>
      </c>
      <c r="B220" s="8">
        <v>45901</v>
      </c>
      <c r="C220" s="7" t="s">
        <v>15</v>
      </c>
      <c r="D220" s="7" t="s">
        <v>16</v>
      </c>
      <c r="E220" s="7" t="s">
        <v>17</v>
      </c>
      <c r="F220" s="7" t="s">
        <v>24</v>
      </c>
      <c r="G220" s="7" t="s">
        <v>58</v>
      </c>
      <c r="H220">
        <v>4</v>
      </c>
      <c r="I220">
        <v>97906.74</v>
      </c>
      <c r="J220">
        <v>0.15</v>
      </c>
      <c r="K220">
        <v>332882.92</v>
      </c>
      <c r="L220">
        <v>280739.03000000003</v>
      </c>
      <c r="M220">
        <v>52143.89</v>
      </c>
      <c r="N220" s="7" t="s">
        <v>33</v>
      </c>
      <c r="O220" s="9">
        <f>IFERROR(RawSalesTable_[[#This Row],[Profit]]/RawSalesTable_[[#This Row],[Revenue]],0)</f>
        <v>0.15664333273692746</v>
      </c>
    </row>
    <row r="221" spans="1:15">
      <c r="A221" s="7" t="s">
        <v>304</v>
      </c>
      <c r="B221" s="8">
        <v>45764</v>
      </c>
      <c r="C221" s="7" t="s">
        <v>22</v>
      </c>
      <c r="D221" s="7" t="s">
        <v>37</v>
      </c>
      <c r="E221" s="7" t="s">
        <v>30</v>
      </c>
      <c r="F221" s="7" t="s">
        <v>31</v>
      </c>
      <c r="G221" s="7" t="s">
        <v>61</v>
      </c>
      <c r="H221">
        <v>3</v>
      </c>
      <c r="I221">
        <v>144261.35</v>
      </c>
      <c r="J221">
        <v>0.05</v>
      </c>
      <c r="K221">
        <v>411144.85</v>
      </c>
      <c r="L221">
        <v>294242.11</v>
      </c>
      <c r="M221">
        <v>116902.74</v>
      </c>
      <c r="N221" s="7" t="s">
        <v>20</v>
      </c>
      <c r="O221" s="9">
        <f>IFERROR(RawSalesTable_[[#This Row],[Profit]]/RawSalesTable_[[#This Row],[Revenue]],0)</f>
        <v>0.28433468156052549</v>
      </c>
    </row>
    <row r="222" spans="1:15">
      <c r="A222" s="7" t="s">
        <v>305</v>
      </c>
      <c r="B222" s="8">
        <v>45729</v>
      </c>
      <c r="C222" s="7" t="s">
        <v>22</v>
      </c>
      <c r="D222" s="7" t="s">
        <v>35</v>
      </c>
      <c r="E222" s="7" t="s">
        <v>44</v>
      </c>
      <c r="F222" s="7" t="s">
        <v>45</v>
      </c>
      <c r="G222" s="7" t="s">
        <v>19</v>
      </c>
      <c r="H222">
        <v>7</v>
      </c>
      <c r="I222">
        <v>29307.279999999999</v>
      </c>
      <c r="J222">
        <v>0.1</v>
      </c>
      <c r="K222">
        <v>184635.86</v>
      </c>
      <c r="L222">
        <v>132098.4</v>
      </c>
      <c r="M222">
        <v>52537.46</v>
      </c>
      <c r="N222" s="7" t="s">
        <v>59</v>
      </c>
      <c r="O222" s="9">
        <f>IFERROR(RawSalesTable_[[#This Row],[Profit]]/RawSalesTable_[[#This Row],[Revenue]],0)</f>
        <v>0.28454634977192406</v>
      </c>
    </row>
    <row r="223" spans="1:15">
      <c r="A223" s="7" t="s">
        <v>306</v>
      </c>
      <c r="B223" s="8">
        <v>45861</v>
      </c>
      <c r="C223" s="7" t="s">
        <v>22</v>
      </c>
      <c r="D223" s="7" t="s">
        <v>23</v>
      </c>
      <c r="E223" s="7" t="s">
        <v>49</v>
      </c>
      <c r="F223" s="7" t="s">
        <v>1590</v>
      </c>
      <c r="G223" s="7" t="s">
        <v>32</v>
      </c>
      <c r="H223">
        <v>2</v>
      </c>
      <c r="I223">
        <v>4092.88</v>
      </c>
      <c r="J223">
        <v>0.1</v>
      </c>
      <c r="K223">
        <v>7367.18</v>
      </c>
      <c r="L223">
        <v>4354.7299999999996</v>
      </c>
      <c r="M223">
        <v>3012.45</v>
      </c>
      <c r="N223" s="7" t="s">
        <v>33</v>
      </c>
      <c r="O223" s="9">
        <f>IFERROR(RawSalesTable_[[#This Row],[Profit]]/RawSalesTable_[[#This Row],[Revenue]],0)</f>
        <v>0.40890137067371773</v>
      </c>
    </row>
    <row r="224" spans="1:15">
      <c r="A224" s="7" t="s">
        <v>307</v>
      </c>
      <c r="B224" s="8">
        <v>46006</v>
      </c>
      <c r="C224" s="7" t="s">
        <v>15</v>
      </c>
      <c r="D224" s="7" t="s">
        <v>63</v>
      </c>
      <c r="E224" s="7" t="s">
        <v>49</v>
      </c>
      <c r="F224" s="7" t="s">
        <v>107</v>
      </c>
      <c r="G224" s="7" t="s">
        <v>25</v>
      </c>
      <c r="H224">
        <v>4</v>
      </c>
      <c r="I224">
        <v>5080.03</v>
      </c>
      <c r="J224">
        <v>0.05</v>
      </c>
      <c r="K224">
        <v>19304.11</v>
      </c>
      <c r="L224">
        <v>10802.48</v>
      </c>
      <c r="M224">
        <v>8501.6299999999992</v>
      </c>
      <c r="N224" s="7" t="s">
        <v>33</v>
      </c>
      <c r="O224" s="9">
        <f>IFERROR(RawSalesTable_[[#This Row],[Profit]]/RawSalesTable_[[#This Row],[Revenue]],0)</f>
        <v>0.44040517796469242</v>
      </c>
    </row>
    <row r="225" spans="1:15">
      <c r="A225" s="7" t="s">
        <v>308</v>
      </c>
      <c r="B225" s="8">
        <v>45982</v>
      </c>
      <c r="C225" s="7" t="s">
        <v>15</v>
      </c>
      <c r="D225" s="7" t="s">
        <v>63</v>
      </c>
      <c r="E225" s="7" t="s">
        <v>44</v>
      </c>
      <c r="F225" s="7" t="s">
        <v>80</v>
      </c>
      <c r="G225" s="7" t="s">
        <v>61</v>
      </c>
      <c r="H225">
        <v>2</v>
      </c>
      <c r="I225">
        <v>41403.65</v>
      </c>
      <c r="J225">
        <v>0.05</v>
      </c>
      <c r="K225">
        <v>78666.929999999993</v>
      </c>
      <c r="L225">
        <v>63228.68</v>
      </c>
      <c r="M225">
        <v>15438.25</v>
      </c>
      <c r="N225" s="7" t="s">
        <v>20</v>
      </c>
      <c r="O225" s="9">
        <f>IFERROR(RawSalesTable_[[#This Row],[Profit]]/RawSalesTable_[[#This Row],[Revenue]],0)</f>
        <v>0.19624828374515188</v>
      </c>
    </row>
    <row r="226" spans="1:15">
      <c r="A226" s="7" t="s">
        <v>309</v>
      </c>
      <c r="B226" s="8">
        <v>45796</v>
      </c>
      <c r="C226" s="7" t="s">
        <v>28</v>
      </c>
      <c r="D226" s="7" t="s">
        <v>56</v>
      </c>
      <c r="E226" s="7" t="s">
        <v>17</v>
      </c>
      <c r="F226" s="7" t="s">
        <v>75</v>
      </c>
      <c r="G226" s="7" t="s">
        <v>19</v>
      </c>
      <c r="H226">
        <v>1</v>
      </c>
      <c r="I226">
        <v>198111.62</v>
      </c>
      <c r="J226">
        <v>0.05</v>
      </c>
      <c r="K226">
        <v>188206.04</v>
      </c>
      <c r="L226">
        <v>141317.57999999999</v>
      </c>
      <c r="M226">
        <v>46888.46</v>
      </c>
      <c r="N226" s="7" t="s">
        <v>26</v>
      </c>
      <c r="O226" s="9">
        <f>IFERROR(RawSalesTable_[[#This Row],[Profit]]/RawSalesTable_[[#This Row],[Revenue]],0)</f>
        <v>0.24913366223528213</v>
      </c>
    </row>
    <row r="227" spans="1:15">
      <c r="A227" s="7" t="s">
        <v>310</v>
      </c>
      <c r="B227" s="8">
        <v>45705</v>
      </c>
      <c r="C227" s="7" t="s">
        <v>22</v>
      </c>
      <c r="D227" s="7" t="s">
        <v>23</v>
      </c>
      <c r="E227" s="7" t="s">
        <v>49</v>
      </c>
      <c r="F227" s="7" t="s">
        <v>107</v>
      </c>
      <c r="G227" s="7" t="s">
        <v>32</v>
      </c>
      <c r="H227">
        <v>7</v>
      </c>
      <c r="I227">
        <v>4869.9399999999996</v>
      </c>
      <c r="J227">
        <v>0</v>
      </c>
      <c r="K227">
        <v>34089.58</v>
      </c>
      <c r="L227">
        <v>18801.23</v>
      </c>
      <c r="M227">
        <v>15288.35</v>
      </c>
      <c r="N227" s="7" t="s">
        <v>20</v>
      </c>
      <c r="O227" s="9">
        <f>IFERROR(RawSalesTable_[[#This Row],[Profit]]/RawSalesTable_[[#This Row],[Revenue]],0)</f>
        <v>0.44847575124128836</v>
      </c>
    </row>
    <row r="228" spans="1:15">
      <c r="A228" s="7" t="s">
        <v>311</v>
      </c>
      <c r="B228" s="8">
        <v>45782</v>
      </c>
      <c r="C228" s="7" t="s">
        <v>22</v>
      </c>
      <c r="D228" s="7" t="s">
        <v>35</v>
      </c>
      <c r="E228" s="7" t="s">
        <v>49</v>
      </c>
      <c r="F228" s="7" t="s">
        <v>107</v>
      </c>
      <c r="G228" s="7" t="s">
        <v>61</v>
      </c>
      <c r="H228">
        <v>2</v>
      </c>
      <c r="I228">
        <v>5387.07</v>
      </c>
      <c r="J228">
        <v>0.1</v>
      </c>
      <c r="K228">
        <v>9696.73</v>
      </c>
      <c r="L228">
        <v>5580.17</v>
      </c>
      <c r="M228">
        <v>4116.5600000000004</v>
      </c>
      <c r="N228" s="7" t="s">
        <v>20</v>
      </c>
      <c r="O228" s="9">
        <f>IFERROR(RawSalesTable_[[#This Row],[Profit]]/RawSalesTable_[[#This Row],[Revenue]],0)</f>
        <v>0.4245307438693251</v>
      </c>
    </row>
    <row r="229" spans="1:15">
      <c r="A229" s="7" t="s">
        <v>312</v>
      </c>
      <c r="B229" s="8">
        <v>45799</v>
      </c>
      <c r="C229" s="7" t="s">
        <v>22</v>
      </c>
      <c r="D229" s="7" t="s">
        <v>23</v>
      </c>
      <c r="E229" s="7" t="s">
        <v>30</v>
      </c>
      <c r="F229" s="7" t="s">
        <v>38</v>
      </c>
      <c r="G229" s="7" t="s">
        <v>25</v>
      </c>
      <c r="H229">
        <v>5</v>
      </c>
      <c r="I229">
        <v>26970.3</v>
      </c>
      <c r="J229">
        <v>0</v>
      </c>
      <c r="K229">
        <v>134851.5</v>
      </c>
      <c r="L229">
        <v>88353.41</v>
      </c>
      <c r="M229">
        <v>46498.09</v>
      </c>
      <c r="N229" s="7" t="s">
        <v>59</v>
      </c>
      <c r="O229" s="9">
        <f>IFERROR(RawSalesTable_[[#This Row],[Profit]]/RawSalesTable_[[#This Row],[Revenue]],0)</f>
        <v>0.34480958684182228</v>
      </c>
    </row>
    <row r="230" spans="1:15">
      <c r="A230" s="7" t="s">
        <v>313</v>
      </c>
      <c r="B230" s="8">
        <v>45758</v>
      </c>
      <c r="C230" s="7" t="s">
        <v>28</v>
      </c>
      <c r="D230" s="7" t="s">
        <v>52</v>
      </c>
      <c r="E230" s="7" t="s">
        <v>30</v>
      </c>
      <c r="F230" s="7" t="s">
        <v>38</v>
      </c>
      <c r="G230" s="7" t="s">
        <v>70</v>
      </c>
      <c r="H230">
        <v>4</v>
      </c>
      <c r="I230">
        <v>27954.29</v>
      </c>
      <c r="J230">
        <v>0.05</v>
      </c>
      <c r="K230">
        <v>106226.3</v>
      </c>
      <c r="L230">
        <v>72832.78</v>
      </c>
      <c r="M230">
        <v>33393.519999999997</v>
      </c>
      <c r="N230" s="7" t="s">
        <v>33</v>
      </c>
      <c r="O230" s="9">
        <f>IFERROR(RawSalesTable_[[#This Row],[Profit]]/RawSalesTable_[[#This Row],[Revenue]],0)</f>
        <v>0.3143620741756043</v>
      </c>
    </row>
    <row r="231" spans="1:15">
      <c r="A231" s="7" t="s">
        <v>314</v>
      </c>
      <c r="B231" s="8">
        <v>45826</v>
      </c>
      <c r="C231" s="7" t="s">
        <v>22</v>
      </c>
      <c r="D231" s="7" t="s">
        <v>35</v>
      </c>
      <c r="E231" s="7" t="s">
        <v>17</v>
      </c>
      <c r="F231" s="7" t="s">
        <v>114</v>
      </c>
      <c r="G231" s="7" t="s">
        <v>70</v>
      </c>
      <c r="H231">
        <v>6</v>
      </c>
      <c r="I231">
        <v>54842.22</v>
      </c>
      <c r="J231">
        <v>0.05</v>
      </c>
      <c r="K231">
        <v>312600.65000000002</v>
      </c>
      <c r="L231">
        <v>224756.49</v>
      </c>
      <c r="M231">
        <v>87844.160000000003</v>
      </c>
      <c r="N231" s="7" t="s">
        <v>59</v>
      </c>
      <c r="O231" s="9">
        <f>IFERROR(RawSalesTable_[[#This Row],[Profit]]/RawSalesTable_[[#This Row],[Revenue]],0)</f>
        <v>0.28101080404023471</v>
      </c>
    </row>
    <row r="232" spans="1:15">
      <c r="A232" s="7" t="s">
        <v>315</v>
      </c>
      <c r="B232" s="8">
        <v>45818</v>
      </c>
      <c r="C232" s="7" t="s">
        <v>28</v>
      </c>
      <c r="D232" s="7" t="s">
        <v>29</v>
      </c>
      <c r="E232" s="7" t="s">
        <v>44</v>
      </c>
      <c r="F232" s="7" t="s">
        <v>69</v>
      </c>
      <c r="G232" s="7" t="s">
        <v>61</v>
      </c>
      <c r="H232">
        <v>6</v>
      </c>
      <c r="I232">
        <v>38627.519999999997</v>
      </c>
      <c r="J232">
        <v>0.15</v>
      </c>
      <c r="K232">
        <v>197000.35</v>
      </c>
      <c r="L232">
        <v>153513.29999999999</v>
      </c>
      <c r="M232">
        <v>43487.05</v>
      </c>
      <c r="N232" s="7" t="s">
        <v>20</v>
      </c>
      <c r="O232" s="9">
        <f>IFERROR(RawSalesTable_[[#This Row],[Profit]]/RawSalesTable_[[#This Row],[Revenue]],0)</f>
        <v>0.2207460545120859</v>
      </c>
    </row>
    <row r="233" spans="1:15">
      <c r="A233" s="7" t="s">
        <v>317</v>
      </c>
      <c r="B233" s="8">
        <v>45946</v>
      </c>
      <c r="C233" s="7" t="s">
        <v>28</v>
      </c>
      <c r="D233" s="7" t="s">
        <v>56</v>
      </c>
      <c r="E233" s="7" t="s">
        <v>49</v>
      </c>
      <c r="F233" s="7" t="s">
        <v>1590</v>
      </c>
      <c r="G233" s="7" t="s">
        <v>47</v>
      </c>
      <c r="H233">
        <v>6</v>
      </c>
      <c r="I233">
        <v>4116.71</v>
      </c>
      <c r="J233">
        <v>0.05</v>
      </c>
      <c r="K233">
        <v>23465.25</v>
      </c>
      <c r="L233">
        <v>12543.94</v>
      </c>
      <c r="M233">
        <v>10921.31</v>
      </c>
      <c r="N233" s="7" t="s">
        <v>26</v>
      </c>
      <c r="O233" s="9">
        <f>IFERROR(RawSalesTable_[[#This Row],[Profit]]/RawSalesTable_[[#This Row],[Revenue]],0)</f>
        <v>0.46542483033421761</v>
      </c>
    </row>
    <row r="234" spans="1:15">
      <c r="A234" s="7" t="s">
        <v>318</v>
      </c>
      <c r="B234" s="8">
        <v>45693</v>
      </c>
      <c r="C234" s="7" t="s">
        <v>15</v>
      </c>
      <c r="D234" s="7" t="s">
        <v>43</v>
      </c>
      <c r="E234" s="7" t="s">
        <v>17</v>
      </c>
      <c r="F234" s="7" t="s">
        <v>114</v>
      </c>
      <c r="G234" s="7" t="s">
        <v>25</v>
      </c>
      <c r="H234">
        <v>4</v>
      </c>
      <c r="I234">
        <v>51487.95</v>
      </c>
      <c r="J234">
        <v>0.05</v>
      </c>
      <c r="K234">
        <v>195654.21</v>
      </c>
      <c r="L234">
        <v>150115.70000000001</v>
      </c>
      <c r="M234">
        <v>45538.51</v>
      </c>
      <c r="N234" s="7" t="s">
        <v>20</v>
      </c>
      <c r="O234" s="9">
        <f>IFERROR(RawSalesTable_[[#This Row],[Profit]]/RawSalesTable_[[#This Row],[Revenue]],0)</f>
        <v>0.23274996229317019</v>
      </c>
    </row>
    <row r="235" spans="1:15">
      <c r="A235" s="7" t="s">
        <v>319</v>
      </c>
      <c r="B235" s="8">
        <v>45851</v>
      </c>
      <c r="C235" s="7" t="s">
        <v>22</v>
      </c>
      <c r="D235" s="7" t="s">
        <v>37</v>
      </c>
      <c r="E235" s="7" t="s">
        <v>30</v>
      </c>
      <c r="F235" s="7" t="s">
        <v>86</v>
      </c>
      <c r="G235" s="7" t="s">
        <v>19</v>
      </c>
      <c r="H235">
        <v>5</v>
      </c>
      <c r="I235">
        <v>33837.74</v>
      </c>
      <c r="J235">
        <v>0.15</v>
      </c>
      <c r="K235">
        <v>143810.39000000001</v>
      </c>
      <c r="L235">
        <v>112457.13</v>
      </c>
      <c r="M235">
        <v>31353.26</v>
      </c>
      <c r="N235" s="7" t="s">
        <v>20</v>
      </c>
      <c r="O235" s="9">
        <f>IFERROR(RawSalesTable_[[#This Row],[Profit]]/RawSalesTable_[[#This Row],[Revenue]],0)</f>
        <v>0.2180180444542289</v>
      </c>
    </row>
    <row r="236" spans="1:15">
      <c r="A236" s="7" t="s">
        <v>320</v>
      </c>
      <c r="B236" s="8">
        <v>45932</v>
      </c>
      <c r="C236" s="7" t="s">
        <v>15</v>
      </c>
      <c r="D236" s="7" t="s">
        <v>63</v>
      </c>
      <c r="E236" s="7" t="s">
        <v>49</v>
      </c>
      <c r="F236" s="7" t="s">
        <v>107</v>
      </c>
      <c r="G236" s="7" t="s">
        <v>19</v>
      </c>
      <c r="H236">
        <v>1</v>
      </c>
      <c r="I236">
        <v>5441.88</v>
      </c>
      <c r="J236">
        <v>0.05</v>
      </c>
      <c r="K236">
        <v>5169.79</v>
      </c>
      <c r="L236">
        <v>2751.61</v>
      </c>
      <c r="M236">
        <v>2418.1799999999998</v>
      </c>
      <c r="N236" s="7" t="s">
        <v>33</v>
      </c>
      <c r="O236" s="9">
        <f>IFERROR(RawSalesTable_[[#This Row],[Profit]]/RawSalesTable_[[#This Row],[Revenue]],0)</f>
        <v>0.46775207503592986</v>
      </c>
    </row>
    <row r="237" spans="1:15">
      <c r="A237" s="7" t="s">
        <v>321</v>
      </c>
      <c r="B237" s="8">
        <v>45862</v>
      </c>
      <c r="C237" s="7" t="s">
        <v>22</v>
      </c>
      <c r="D237" s="7" t="s">
        <v>37</v>
      </c>
      <c r="E237" s="7" t="s">
        <v>30</v>
      </c>
      <c r="F237" s="7" t="s">
        <v>86</v>
      </c>
      <c r="G237" s="7" t="s">
        <v>32</v>
      </c>
      <c r="H237">
        <v>1</v>
      </c>
      <c r="I237">
        <v>33333.800000000003</v>
      </c>
      <c r="J237">
        <v>0.15</v>
      </c>
      <c r="K237">
        <v>28333.73</v>
      </c>
      <c r="L237">
        <v>22892.02</v>
      </c>
      <c r="M237">
        <v>5441.71</v>
      </c>
      <c r="N237" s="7" t="s">
        <v>20</v>
      </c>
      <c r="O237" s="9">
        <f>IFERROR(RawSalesTable_[[#This Row],[Profit]]/RawSalesTable_[[#This Row],[Revenue]],0)</f>
        <v>0.19205766413387859</v>
      </c>
    </row>
    <row r="238" spans="1:15">
      <c r="A238" s="7" t="s">
        <v>322</v>
      </c>
      <c r="B238" s="8">
        <v>46010</v>
      </c>
      <c r="C238" s="7" t="s">
        <v>22</v>
      </c>
      <c r="D238" s="7" t="s">
        <v>23</v>
      </c>
      <c r="E238" s="7" t="s">
        <v>17</v>
      </c>
      <c r="F238" s="7" t="s">
        <v>18</v>
      </c>
      <c r="G238" s="7" t="s">
        <v>47</v>
      </c>
      <c r="H238">
        <v>4</v>
      </c>
      <c r="I238">
        <v>14524.77</v>
      </c>
      <c r="J238">
        <v>0.1</v>
      </c>
      <c r="K238">
        <v>52289.17</v>
      </c>
      <c r="L238">
        <v>33097.15</v>
      </c>
      <c r="M238">
        <v>19192.02</v>
      </c>
      <c r="N238" s="7" t="s">
        <v>20</v>
      </c>
      <c r="O238" s="9">
        <f>IFERROR(RawSalesTable_[[#This Row],[Profit]]/RawSalesTable_[[#This Row],[Revenue]],0)</f>
        <v>0.36703623331561774</v>
      </c>
    </row>
    <row r="239" spans="1:15">
      <c r="A239" s="7" t="s">
        <v>323</v>
      </c>
      <c r="B239" s="8">
        <v>45870</v>
      </c>
      <c r="C239" s="7" t="s">
        <v>28</v>
      </c>
      <c r="D239" s="7" t="s">
        <v>56</v>
      </c>
      <c r="E239" s="7" t="s">
        <v>49</v>
      </c>
      <c r="F239" s="7" t="s">
        <v>1590</v>
      </c>
      <c r="G239" s="7" t="s">
        <v>19</v>
      </c>
      <c r="H239">
        <v>6</v>
      </c>
      <c r="I239">
        <v>4534.46</v>
      </c>
      <c r="J239">
        <v>0.05</v>
      </c>
      <c r="K239">
        <v>25846.42</v>
      </c>
      <c r="L239">
        <v>12314.21</v>
      </c>
      <c r="M239">
        <v>13532.21</v>
      </c>
      <c r="N239" s="7" t="s">
        <v>33</v>
      </c>
      <c r="O239" s="9">
        <f>IFERROR(RawSalesTable_[[#This Row],[Profit]]/RawSalesTable_[[#This Row],[Revenue]],0)</f>
        <v>0.52356225736484974</v>
      </c>
    </row>
    <row r="240" spans="1:15">
      <c r="A240" s="7" t="s">
        <v>324</v>
      </c>
      <c r="B240" s="8">
        <v>45836</v>
      </c>
      <c r="C240" s="7" t="s">
        <v>15</v>
      </c>
      <c r="D240" s="7" t="s">
        <v>16</v>
      </c>
      <c r="E240" s="7" t="s">
        <v>30</v>
      </c>
      <c r="F240" s="7" t="s">
        <v>38</v>
      </c>
      <c r="G240" s="7" t="s">
        <v>70</v>
      </c>
      <c r="H240">
        <v>6</v>
      </c>
      <c r="I240">
        <v>26807.040000000001</v>
      </c>
      <c r="J240">
        <v>0</v>
      </c>
      <c r="K240">
        <v>160842.23999999999</v>
      </c>
      <c r="L240">
        <v>108699.63</v>
      </c>
      <c r="M240">
        <v>52142.61</v>
      </c>
      <c r="N240" s="7" t="s">
        <v>33</v>
      </c>
      <c r="O240" s="9">
        <f>IFERROR(RawSalesTable_[[#This Row],[Profit]]/RawSalesTable_[[#This Row],[Revenue]],0)</f>
        <v>0.32418480369335817</v>
      </c>
    </row>
    <row r="241" spans="1:15">
      <c r="A241" s="7" t="s">
        <v>325</v>
      </c>
      <c r="B241" s="8">
        <v>45833</v>
      </c>
      <c r="C241" s="7" t="s">
        <v>28</v>
      </c>
      <c r="D241" s="7" t="s">
        <v>29</v>
      </c>
      <c r="E241" s="7" t="s">
        <v>49</v>
      </c>
      <c r="F241" s="7" t="s">
        <v>57</v>
      </c>
      <c r="G241" s="7" t="s">
        <v>19</v>
      </c>
      <c r="H241">
        <v>2</v>
      </c>
      <c r="I241">
        <v>11132.49</v>
      </c>
      <c r="J241">
        <v>0.15</v>
      </c>
      <c r="K241">
        <v>18925.23</v>
      </c>
      <c r="L241">
        <v>12714.73</v>
      </c>
      <c r="M241">
        <v>6210.5</v>
      </c>
      <c r="N241" s="7" t="s">
        <v>26</v>
      </c>
      <c r="O241" s="9">
        <f>IFERROR(RawSalesTable_[[#This Row],[Profit]]/RawSalesTable_[[#This Row],[Revenue]],0)</f>
        <v>0.32815981628756957</v>
      </c>
    </row>
    <row r="242" spans="1:15">
      <c r="A242" s="7" t="s">
        <v>326</v>
      </c>
      <c r="B242" s="8">
        <v>45865</v>
      </c>
      <c r="C242" s="7" t="s">
        <v>15</v>
      </c>
      <c r="D242" s="7" t="s">
        <v>16</v>
      </c>
      <c r="E242" s="7" t="s">
        <v>44</v>
      </c>
      <c r="F242" s="7" t="s">
        <v>45</v>
      </c>
      <c r="G242" s="7" t="s">
        <v>61</v>
      </c>
      <c r="H242">
        <v>6</v>
      </c>
      <c r="I242">
        <v>28772.91</v>
      </c>
      <c r="J242">
        <v>0.05</v>
      </c>
      <c r="K242">
        <v>164005.59</v>
      </c>
      <c r="L242">
        <v>112430.21</v>
      </c>
      <c r="M242">
        <v>51575.38</v>
      </c>
      <c r="N242" s="7" t="s">
        <v>26</v>
      </c>
      <c r="O242" s="9">
        <f>IFERROR(RawSalesTable_[[#This Row],[Profit]]/RawSalesTable_[[#This Row],[Revenue]],0)</f>
        <v>0.31447330545257635</v>
      </c>
    </row>
    <row r="243" spans="1:15">
      <c r="A243" s="7" t="s">
        <v>327</v>
      </c>
      <c r="B243" s="8">
        <v>45877</v>
      </c>
      <c r="C243" s="7" t="s">
        <v>15</v>
      </c>
      <c r="D243" s="7" t="s">
        <v>43</v>
      </c>
      <c r="E243" s="7" t="s">
        <v>49</v>
      </c>
      <c r="F243" s="7" t="s">
        <v>107</v>
      </c>
      <c r="G243" s="7" t="s">
        <v>25</v>
      </c>
      <c r="H243">
        <v>1</v>
      </c>
      <c r="I243">
        <v>5397.51</v>
      </c>
      <c r="J243">
        <v>0</v>
      </c>
      <c r="K243">
        <v>5397.51</v>
      </c>
      <c r="L243">
        <v>2703.97</v>
      </c>
      <c r="M243">
        <v>2693.54</v>
      </c>
      <c r="N243" s="7" t="s">
        <v>33</v>
      </c>
      <c r="O243" s="9">
        <f>IFERROR(RawSalesTable_[[#This Row],[Profit]]/RawSalesTable_[[#This Row],[Revenue]],0)</f>
        <v>0.49903381374003936</v>
      </c>
    </row>
    <row r="244" spans="1:15">
      <c r="A244" s="7" t="s">
        <v>328</v>
      </c>
      <c r="B244" s="8">
        <v>45824</v>
      </c>
      <c r="C244" s="7" t="s">
        <v>15</v>
      </c>
      <c r="D244" s="7" t="s">
        <v>16</v>
      </c>
      <c r="E244" s="7" t="s">
        <v>44</v>
      </c>
      <c r="F244" s="7" t="s">
        <v>69</v>
      </c>
      <c r="G244" s="7" t="s">
        <v>47</v>
      </c>
      <c r="H244">
        <v>2</v>
      </c>
      <c r="I244">
        <v>38470.28</v>
      </c>
      <c r="J244">
        <v>0.1</v>
      </c>
      <c r="K244">
        <v>69246.5</v>
      </c>
      <c r="L244">
        <v>51120.53</v>
      </c>
      <c r="M244">
        <v>18125.97</v>
      </c>
      <c r="N244" s="7" t="s">
        <v>20</v>
      </c>
      <c r="O244" s="9">
        <f>IFERROR(RawSalesTable_[[#This Row],[Profit]]/RawSalesTable_[[#This Row],[Revenue]],0)</f>
        <v>0.26176008895756464</v>
      </c>
    </row>
    <row r="245" spans="1:15">
      <c r="A245" s="7" t="s">
        <v>329</v>
      </c>
      <c r="B245" s="8">
        <v>45838</v>
      </c>
      <c r="C245" s="7" t="s">
        <v>22</v>
      </c>
      <c r="D245" s="7" t="s">
        <v>35</v>
      </c>
      <c r="E245" s="7" t="s">
        <v>49</v>
      </c>
      <c r="F245" s="7" t="s">
        <v>57</v>
      </c>
      <c r="G245" s="7" t="s">
        <v>70</v>
      </c>
      <c r="H245">
        <v>7</v>
      </c>
      <c r="I245">
        <v>11704.81</v>
      </c>
      <c r="J245">
        <v>0.1</v>
      </c>
      <c r="K245">
        <v>73740.3</v>
      </c>
      <c r="L245">
        <v>44498.83</v>
      </c>
      <c r="M245">
        <v>29241.47</v>
      </c>
      <c r="N245" s="7" t="s">
        <v>26</v>
      </c>
      <c r="O245" s="9">
        <f>IFERROR(RawSalesTable_[[#This Row],[Profit]]/RawSalesTable_[[#This Row],[Revenue]],0)</f>
        <v>0.39654666444264536</v>
      </c>
    </row>
    <row r="246" spans="1:15">
      <c r="A246" s="7" t="s">
        <v>330</v>
      </c>
      <c r="B246" s="8">
        <v>45751</v>
      </c>
      <c r="C246" s="7" t="s">
        <v>15</v>
      </c>
      <c r="D246" s="7" t="s">
        <v>43</v>
      </c>
      <c r="E246" s="7" t="s">
        <v>30</v>
      </c>
      <c r="F246" s="7" t="s">
        <v>31</v>
      </c>
      <c r="G246" s="7" t="s">
        <v>32</v>
      </c>
      <c r="H246">
        <v>3</v>
      </c>
      <c r="I246">
        <v>130964.81</v>
      </c>
      <c r="J246">
        <v>0</v>
      </c>
      <c r="K246">
        <v>392894.43</v>
      </c>
      <c r="L246">
        <v>300387.11</v>
      </c>
      <c r="M246">
        <v>92507.32</v>
      </c>
      <c r="N246" s="7" t="s">
        <v>26</v>
      </c>
      <c r="O246" s="9">
        <f>IFERROR(RawSalesTable_[[#This Row],[Profit]]/RawSalesTable_[[#This Row],[Revenue]],0)</f>
        <v>0.23545083090131874</v>
      </c>
    </row>
    <row r="247" spans="1:15">
      <c r="A247" s="7" t="s">
        <v>332</v>
      </c>
      <c r="B247" s="8">
        <v>46013</v>
      </c>
      <c r="C247" s="7" t="s">
        <v>15</v>
      </c>
      <c r="D247" s="7" t="s">
        <v>63</v>
      </c>
      <c r="E247" s="7" t="s">
        <v>49</v>
      </c>
      <c r="F247" s="7" t="s">
        <v>1590</v>
      </c>
      <c r="G247" s="7" t="s">
        <v>61</v>
      </c>
      <c r="H247">
        <v>7</v>
      </c>
      <c r="I247">
        <v>4148.28</v>
      </c>
      <c r="J247">
        <v>0.05</v>
      </c>
      <c r="K247">
        <v>27586.06</v>
      </c>
      <c r="L247">
        <v>14912.93</v>
      </c>
      <c r="M247">
        <v>12673.13</v>
      </c>
      <c r="N247" s="7" t="s">
        <v>26</v>
      </c>
      <c r="O247" s="9">
        <f>IFERROR(RawSalesTable_[[#This Row],[Profit]]/RawSalesTable_[[#This Row],[Revenue]],0)</f>
        <v>0.45940340882315195</v>
      </c>
    </row>
    <row r="248" spans="1:15">
      <c r="A248" s="7" t="s">
        <v>333</v>
      </c>
      <c r="B248" s="8">
        <v>45841</v>
      </c>
      <c r="C248" s="7" t="s">
        <v>28</v>
      </c>
      <c r="D248" s="7" t="s">
        <v>56</v>
      </c>
      <c r="E248" s="7" t="s">
        <v>44</v>
      </c>
      <c r="F248" s="7" t="s">
        <v>45</v>
      </c>
      <c r="G248" s="7" t="s">
        <v>64</v>
      </c>
      <c r="H248">
        <v>6</v>
      </c>
      <c r="I248">
        <v>30059.45</v>
      </c>
      <c r="J248">
        <v>0.1</v>
      </c>
      <c r="K248">
        <v>162321.03</v>
      </c>
      <c r="L248">
        <v>111007.82</v>
      </c>
      <c r="M248">
        <v>51313.21</v>
      </c>
      <c r="N248" s="7" t="s">
        <v>20</v>
      </c>
      <c r="O248" s="9">
        <f>IFERROR(RawSalesTable_[[#This Row],[Profit]]/RawSalesTable_[[#This Row],[Revenue]],0)</f>
        <v>0.31612176191834168</v>
      </c>
    </row>
    <row r="249" spans="1:15">
      <c r="A249" s="7" t="s">
        <v>334</v>
      </c>
      <c r="B249" s="8">
        <v>45885</v>
      </c>
      <c r="C249" s="7" t="s">
        <v>22</v>
      </c>
      <c r="D249" s="7" t="s">
        <v>23</v>
      </c>
      <c r="E249" s="7" t="s">
        <v>49</v>
      </c>
      <c r="F249" s="7" t="s">
        <v>107</v>
      </c>
      <c r="G249" s="7" t="s">
        <v>70</v>
      </c>
      <c r="H249">
        <v>7</v>
      </c>
      <c r="I249">
        <v>5353.67</v>
      </c>
      <c r="J249">
        <v>0.05</v>
      </c>
      <c r="K249">
        <v>35601.910000000003</v>
      </c>
      <c r="L249">
        <v>19272.52</v>
      </c>
      <c r="M249">
        <v>16329.39</v>
      </c>
      <c r="N249" s="7" t="s">
        <v>26</v>
      </c>
      <c r="O249" s="9">
        <f>IFERROR(RawSalesTable_[[#This Row],[Profit]]/RawSalesTable_[[#This Row],[Revenue]],0)</f>
        <v>0.45866612212659369</v>
      </c>
    </row>
    <row r="250" spans="1:15">
      <c r="A250" s="7" t="s">
        <v>337</v>
      </c>
      <c r="B250" s="8">
        <v>45679</v>
      </c>
      <c r="C250" s="7" t="s">
        <v>15</v>
      </c>
      <c r="D250" s="7" t="s">
        <v>43</v>
      </c>
      <c r="E250" s="7" t="s">
        <v>17</v>
      </c>
      <c r="F250" s="7" t="s">
        <v>75</v>
      </c>
      <c r="G250" s="7" t="s">
        <v>70</v>
      </c>
      <c r="H250">
        <v>5</v>
      </c>
      <c r="I250">
        <v>193143.35</v>
      </c>
      <c r="J250">
        <v>0.05</v>
      </c>
      <c r="K250">
        <v>917430.91</v>
      </c>
      <c r="L250">
        <v>715639.56</v>
      </c>
      <c r="M250">
        <v>201791.35</v>
      </c>
      <c r="N250" s="7" t="s">
        <v>26</v>
      </c>
      <c r="O250" s="9">
        <f>IFERROR(RawSalesTable_[[#This Row],[Profit]]/RawSalesTable_[[#This Row],[Revenue]],0)</f>
        <v>0.21995263926740816</v>
      </c>
    </row>
    <row r="251" spans="1:15">
      <c r="A251" s="7" t="s">
        <v>338</v>
      </c>
      <c r="B251" s="8">
        <v>45702</v>
      </c>
      <c r="C251" s="7" t="s">
        <v>28</v>
      </c>
      <c r="D251" s="7" t="s">
        <v>52</v>
      </c>
      <c r="E251" s="7" t="s">
        <v>44</v>
      </c>
      <c r="F251" s="7" t="s">
        <v>69</v>
      </c>
      <c r="G251" s="7" t="s">
        <v>70</v>
      </c>
      <c r="H251">
        <v>1</v>
      </c>
      <c r="I251">
        <v>37694.370000000003</v>
      </c>
      <c r="J251">
        <v>0.05</v>
      </c>
      <c r="K251">
        <v>35809.65</v>
      </c>
      <c r="L251">
        <v>26789.200000000001</v>
      </c>
      <c r="M251">
        <v>9020.4500000000007</v>
      </c>
      <c r="N251" s="7" t="s">
        <v>33</v>
      </c>
      <c r="O251" s="9">
        <f>IFERROR(RawSalesTable_[[#This Row],[Profit]]/RawSalesTable_[[#This Row],[Revenue]],0)</f>
        <v>0.25189997668226305</v>
      </c>
    </row>
    <row r="252" spans="1:15">
      <c r="A252" s="7" t="s">
        <v>339</v>
      </c>
      <c r="B252" s="8">
        <v>45688</v>
      </c>
      <c r="C252" s="7" t="s">
        <v>22</v>
      </c>
      <c r="D252" s="7" t="s">
        <v>23</v>
      </c>
      <c r="E252" s="7" t="s">
        <v>30</v>
      </c>
      <c r="F252" s="7" t="s">
        <v>40</v>
      </c>
      <c r="G252" s="7" t="s">
        <v>32</v>
      </c>
      <c r="H252">
        <v>3</v>
      </c>
      <c r="I252">
        <v>24955.31</v>
      </c>
      <c r="J252">
        <v>0</v>
      </c>
      <c r="K252">
        <v>74865.929999999993</v>
      </c>
      <c r="L252">
        <v>48677.29</v>
      </c>
      <c r="M252">
        <v>26188.639999999999</v>
      </c>
      <c r="N252" s="7" t="s">
        <v>59</v>
      </c>
      <c r="O252" s="9">
        <f>IFERROR(RawSalesTable_[[#This Row],[Profit]]/RawSalesTable_[[#This Row],[Revenue]],0)</f>
        <v>0.3498071819851834</v>
      </c>
    </row>
    <row r="253" spans="1:15">
      <c r="A253" s="7" t="s">
        <v>341</v>
      </c>
      <c r="B253" s="8">
        <v>45921</v>
      </c>
      <c r="C253" s="7" t="s">
        <v>15</v>
      </c>
      <c r="D253" s="7" t="s">
        <v>43</v>
      </c>
      <c r="E253" s="7" t="s">
        <v>44</v>
      </c>
      <c r="F253" s="7" t="s">
        <v>69</v>
      </c>
      <c r="G253" s="7" t="s">
        <v>19</v>
      </c>
      <c r="H253">
        <v>5</v>
      </c>
      <c r="I253">
        <v>36719.15</v>
      </c>
      <c r="J253">
        <v>0.05</v>
      </c>
      <c r="K253">
        <v>174415.96</v>
      </c>
      <c r="L253">
        <v>134766.82</v>
      </c>
      <c r="M253">
        <v>39649.14</v>
      </c>
      <c r="N253" s="7" t="s">
        <v>26</v>
      </c>
      <c r="O253" s="9">
        <f>IFERROR(RawSalesTable_[[#This Row],[Profit]]/RawSalesTable_[[#This Row],[Revenue]],0)</f>
        <v>0.22732518285597259</v>
      </c>
    </row>
    <row r="254" spans="1:15">
      <c r="A254" s="7" t="s">
        <v>343</v>
      </c>
      <c r="B254" s="8">
        <v>45784</v>
      </c>
      <c r="C254" s="7" t="s">
        <v>28</v>
      </c>
      <c r="D254" s="7" t="s">
        <v>52</v>
      </c>
      <c r="E254" s="7" t="s">
        <v>30</v>
      </c>
      <c r="F254" s="7" t="s">
        <v>86</v>
      </c>
      <c r="G254" s="7" t="s">
        <v>25</v>
      </c>
      <c r="H254">
        <v>3</v>
      </c>
      <c r="I254">
        <v>31678.3</v>
      </c>
      <c r="J254">
        <v>0.15</v>
      </c>
      <c r="K254">
        <v>80779.66</v>
      </c>
      <c r="L254">
        <v>66996.91</v>
      </c>
      <c r="M254">
        <v>13782.75</v>
      </c>
      <c r="N254" s="7" t="s">
        <v>20</v>
      </c>
      <c r="O254" s="9">
        <f>IFERROR(RawSalesTable_[[#This Row],[Profit]]/RawSalesTable_[[#This Row],[Revenue]],0)</f>
        <v>0.17062154012532363</v>
      </c>
    </row>
    <row r="255" spans="1:15">
      <c r="A255" s="7" t="s">
        <v>344</v>
      </c>
      <c r="B255" s="8">
        <v>45705</v>
      </c>
      <c r="C255" s="7" t="s">
        <v>22</v>
      </c>
      <c r="D255" s="7" t="s">
        <v>37</v>
      </c>
      <c r="E255" s="7" t="s">
        <v>30</v>
      </c>
      <c r="F255" s="7" t="s">
        <v>40</v>
      </c>
      <c r="G255" s="7" t="s">
        <v>25</v>
      </c>
      <c r="H255">
        <v>7</v>
      </c>
      <c r="I255">
        <v>24311.81</v>
      </c>
      <c r="J255">
        <v>0.15</v>
      </c>
      <c r="K255">
        <v>144655.26999999999</v>
      </c>
      <c r="L255">
        <v>113433.78</v>
      </c>
      <c r="M255">
        <v>31221.49</v>
      </c>
      <c r="N255" s="7" t="s">
        <v>59</v>
      </c>
      <c r="O255" s="9">
        <f>IFERROR(RawSalesTable_[[#This Row],[Profit]]/RawSalesTable_[[#This Row],[Revenue]],0)</f>
        <v>0.21583375427663301</v>
      </c>
    </row>
    <row r="256" spans="1:15">
      <c r="A256" s="7" t="s">
        <v>345</v>
      </c>
      <c r="B256" s="8">
        <v>45892</v>
      </c>
      <c r="C256" s="7" t="s">
        <v>15</v>
      </c>
      <c r="D256" s="7" t="s">
        <v>63</v>
      </c>
      <c r="E256" s="7" t="s">
        <v>49</v>
      </c>
      <c r="F256" s="7" t="s">
        <v>107</v>
      </c>
      <c r="G256" s="7" t="s">
        <v>32</v>
      </c>
      <c r="H256">
        <v>6</v>
      </c>
      <c r="I256">
        <v>5268.19</v>
      </c>
      <c r="J256">
        <v>0.15</v>
      </c>
      <c r="K256">
        <v>26867.77</v>
      </c>
      <c r="L256">
        <v>15819.62</v>
      </c>
      <c r="M256">
        <v>11048.15</v>
      </c>
      <c r="N256" s="7" t="s">
        <v>33</v>
      </c>
      <c r="O256" s="9">
        <f>IFERROR(RawSalesTable_[[#This Row],[Profit]]/RawSalesTable_[[#This Row],[Revenue]],0)</f>
        <v>0.41120457708250441</v>
      </c>
    </row>
    <row r="257" spans="1:15">
      <c r="A257" s="7" t="s">
        <v>346</v>
      </c>
      <c r="B257" s="8">
        <v>45830</v>
      </c>
      <c r="C257" s="7" t="s">
        <v>15</v>
      </c>
      <c r="D257" s="7" t="s">
        <v>63</v>
      </c>
      <c r="E257" s="7" t="s">
        <v>44</v>
      </c>
      <c r="F257" s="7" t="s">
        <v>53</v>
      </c>
      <c r="G257" s="7" t="s">
        <v>61</v>
      </c>
      <c r="H257">
        <v>4</v>
      </c>
      <c r="I257">
        <v>8492.81</v>
      </c>
      <c r="J257">
        <v>0.05</v>
      </c>
      <c r="K257">
        <v>32272.68</v>
      </c>
      <c r="L257">
        <v>20148.490000000002</v>
      </c>
      <c r="M257">
        <v>12124.19</v>
      </c>
      <c r="N257" s="7" t="s">
        <v>20</v>
      </c>
      <c r="O257" s="9">
        <f>IFERROR(RawSalesTable_[[#This Row],[Profit]]/RawSalesTable_[[#This Row],[Revenue]],0)</f>
        <v>0.37567967705192135</v>
      </c>
    </row>
    <row r="258" spans="1:15">
      <c r="A258" s="7" t="s">
        <v>347</v>
      </c>
      <c r="B258" s="8">
        <v>45738</v>
      </c>
      <c r="C258" s="7" t="s">
        <v>28</v>
      </c>
      <c r="D258" s="7" t="s">
        <v>29</v>
      </c>
      <c r="E258" s="7" t="s">
        <v>17</v>
      </c>
      <c r="F258" s="7" t="s">
        <v>75</v>
      </c>
      <c r="G258" s="7" t="s">
        <v>70</v>
      </c>
      <c r="H258">
        <v>2</v>
      </c>
      <c r="I258">
        <v>188734.91</v>
      </c>
      <c r="J258">
        <v>0.05</v>
      </c>
      <c r="K258">
        <v>358596.33</v>
      </c>
      <c r="L258">
        <v>275803.67</v>
      </c>
      <c r="M258">
        <v>82792.66</v>
      </c>
      <c r="N258" s="7" t="s">
        <v>20</v>
      </c>
      <c r="O258" s="9">
        <f>IFERROR(RawSalesTable_[[#This Row],[Profit]]/RawSalesTable_[[#This Row],[Revenue]],0)</f>
        <v>0.23087983081143079</v>
      </c>
    </row>
    <row r="259" spans="1:15">
      <c r="A259" s="7" t="s">
        <v>348</v>
      </c>
      <c r="B259" s="8">
        <v>45842</v>
      </c>
      <c r="C259" s="7" t="s">
        <v>22</v>
      </c>
      <c r="D259" s="7" t="s">
        <v>35</v>
      </c>
      <c r="E259" s="7" t="s">
        <v>44</v>
      </c>
      <c r="F259" s="7" t="s">
        <v>45</v>
      </c>
      <c r="G259" s="7" t="s">
        <v>58</v>
      </c>
      <c r="H259">
        <v>5</v>
      </c>
      <c r="I259">
        <v>26944.94</v>
      </c>
      <c r="J259">
        <v>0.05</v>
      </c>
      <c r="K259">
        <v>127988.46</v>
      </c>
      <c r="L259">
        <v>92770.71</v>
      </c>
      <c r="M259">
        <v>35217.75</v>
      </c>
      <c r="N259" s="7" t="s">
        <v>33</v>
      </c>
      <c r="O259" s="9">
        <f>IFERROR(RawSalesTable_[[#This Row],[Profit]]/RawSalesTable_[[#This Row],[Revenue]],0)</f>
        <v>0.27516347958245607</v>
      </c>
    </row>
    <row r="260" spans="1:15">
      <c r="A260" s="7" t="s">
        <v>349</v>
      </c>
      <c r="B260" s="8">
        <v>45777</v>
      </c>
      <c r="C260" s="7" t="s">
        <v>28</v>
      </c>
      <c r="D260" s="7" t="s">
        <v>29</v>
      </c>
      <c r="E260" s="7" t="s">
        <v>44</v>
      </c>
      <c r="F260" s="7" t="s">
        <v>80</v>
      </c>
      <c r="G260" s="7" t="s">
        <v>25</v>
      </c>
      <c r="H260">
        <v>7</v>
      </c>
      <c r="I260">
        <v>43864.160000000003</v>
      </c>
      <c r="J260">
        <v>0.15</v>
      </c>
      <c r="K260">
        <v>260991.75</v>
      </c>
      <c r="L260">
        <v>221114.51</v>
      </c>
      <c r="M260">
        <v>39877.24</v>
      </c>
      <c r="N260" s="7" t="s">
        <v>33</v>
      </c>
      <c r="O260" s="9">
        <f>IFERROR(RawSalesTable_[[#This Row],[Profit]]/RawSalesTable_[[#This Row],[Revenue]],0)</f>
        <v>0.15279118975982955</v>
      </c>
    </row>
    <row r="261" spans="1:15">
      <c r="A261" s="7" t="s">
        <v>350</v>
      </c>
      <c r="B261" s="8">
        <v>46006</v>
      </c>
      <c r="C261" s="7" t="s">
        <v>15</v>
      </c>
      <c r="D261" s="7" t="s">
        <v>16</v>
      </c>
      <c r="E261" s="7" t="s">
        <v>17</v>
      </c>
      <c r="F261" s="7" t="s">
        <v>24</v>
      </c>
      <c r="G261" s="7" t="s">
        <v>70</v>
      </c>
      <c r="H261">
        <v>8</v>
      </c>
      <c r="I261">
        <v>85787.26</v>
      </c>
      <c r="J261">
        <v>0.1</v>
      </c>
      <c r="K261">
        <v>617668.27</v>
      </c>
      <c r="L261">
        <v>536293.35</v>
      </c>
      <c r="M261">
        <v>81374.92</v>
      </c>
      <c r="N261" s="7" t="s">
        <v>33</v>
      </c>
      <c r="O261" s="9">
        <f>IFERROR(RawSalesTable_[[#This Row],[Profit]]/RawSalesTable_[[#This Row],[Revenue]],0)</f>
        <v>0.13174534609006222</v>
      </c>
    </row>
    <row r="262" spans="1:15">
      <c r="A262" s="7" t="s">
        <v>351</v>
      </c>
      <c r="B262" s="8">
        <v>45854</v>
      </c>
      <c r="C262" s="7" t="s">
        <v>22</v>
      </c>
      <c r="D262" s="7" t="s">
        <v>37</v>
      </c>
      <c r="E262" s="7" t="s">
        <v>30</v>
      </c>
      <c r="F262" s="7" t="s">
        <v>31</v>
      </c>
      <c r="G262" s="7" t="s">
        <v>19</v>
      </c>
      <c r="H262">
        <v>7</v>
      </c>
      <c r="I262">
        <v>139191.07</v>
      </c>
      <c r="J262">
        <v>-0.05</v>
      </c>
      <c r="K262">
        <v>925620.62</v>
      </c>
      <c r="L262">
        <v>689295.29</v>
      </c>
      <c r="M262">
        <v>236325.33</v>
      </c>
      <c r="N262" s="7" t="s">
        <v>33</v>
      </c>
      <c r="O262" s="9">
        <f>IFERROR(RawSalesTable_[[#This Row],[Profit]]/RawSalesTable_[[#This Row],[Revenue]],0)</f>
        <v>0.25531554169568954</v>
      </c>
    </row>
    <row r="263" spans="1:15">
      <c r="A263" s="7" t="s">
        <v>352</v>
      </c>
      <c r="B263" s="8">
        <v>46004</v>
      </c>
      <c r="C263" s="7" t="s">
        <v>22</v>
      </c>
      <c r="D263" s="7" t="s">
        <v>35</v>
      </c>
      <c r="E263" s="7" t="s">
        <v>30</v>
      </c>
      <c r="F263" s="7" t="s">
        <v>38</v>
      </c>
      <c r="G263" s="7" t="s">
        <v>61</v>
      </c>
      <c r="H263">
        <v>3</v>
      </c>
      <c r="I263">
        <v>26493.35</v>
      </c>
      <c r="J263">
        <v>0</v>
      </c>
      <c r="K263">
        <v>79480.05</v>
      </c>
      <c r="L263">
        <v>54805.16</v>
      </c>
      <c r="M263">
        <v>24674.89</v>
      </c>
      <c r="N263" s="7" t="s">
        <v>33</v>
      </c>
      <c r="O263" s="9">
        <f>IFERROR(RawSalesTable_[[#This Row],[Profit]]/RawSalesTable_[[#This Row],[Revenue]],0)</f>
        <v>0.31045388119408579</v>
      </c>
    </row>
    <row r="264" spans="1:15">
      <c r="A264" s="7" t="s">
        <v>353</v>
      </c>
      <c r="B264" s="8">
        <v>45735</v>
      </c>
      <c r="C264" s="7" t="s">
        <v>15</v>
      </c>
      <c r="D264" s="7" t="s">
        <v>43</v>
      </c>
      <c r="E264" s="7" t="s">
        <v>17</v>
      </c>
      <c r="F264" s="7" t="s">
        <v>24</v>
      </c>
      <c r="G264" s="7" t="s">
        <v>25</v>
      </c>
      <c r="H264">
        <v>8</v>
      </c>
      <c r="I264">
        <v>89809.48</v>
      </c>
      <c r="J264">
        <v>0</v>
      </c>
      <c r="K264">
        <v>718475.84</v>
      </c>
      <c r="L264">
        <v>551597.29</v>
      </c>
      <c r="M264">
        <v>166878.54999999999</v>
      </c>
      <c r="N264" s="7" t="s">
        <v>20</v>
      </c>
      <c r="O264" s="9">
        <f>IFERROR(RawSalesTable_[[#This Row],[Profit]]/RawSalesTable_[[#This Row],[Revenue]],0)</f>
        <v>0.23226744826938092</v>
      </c>
    </row>
    <row r="265" spans="1:15">
      <c r="A265" s="7" t="s">
        <v>354</v>
      </c>
      <c r="B265" s="8">
        <v>45877</v>
      </c>
      <c r="C265" s="7" t="s">
        <v>22</v>
      </c>
      <c r="D265" s="7" t="s">
        <v>23</v>
      </c>
      <c r="E265" s="7" t="s">
        <v>17</v>
      </c>
      <c r="F265" s="7" t="s">
        <v>24</v>
      </c>
      <c r="G265" s="7" t="s">
        <v>32</v>
      </c>
      <c r="H265">
        <v>2</v>
      </c>
      <c r="I265">
        <v>93318.53</v>
      </c>
      <c r="J265">
        <v>0.05</v>
      </c>
      <c r="K265">
        <v>177305.21</v>
      </c>
      <c r="L265">
        <v>135266.62</v>
      </c>
      <c r="M265">
        <v>42038.59</v>
      </c>
      <c r="N265" s="7" t="s">
        <v>26</v>
      </c>
      <c r="O265" s="9">
        <f>IFERROR(RawSalesTable_[[#This Row],[Profit]]/RawSalesTable_[[#This Row],[Revenue]],0)</f>
        <v>0.23709731936247105</v>
      </c>
    </row>
    <row r="266" spans="1:15">
      <c r="A266" s="7" t="s">
        <v>355</v>
      </c>
      <c r="B266" s="8">
        <v>45995</v>
      </c>
      <c r="C266" s="7" t="s">
        <v>22</v>
      </c>
      <c r="D266" s="7" t="s">
        <v>35</v>
      </c>
      <c r="E266" s="7" t="s">
        <v>17</v>
      </c>
      <c r="F266" s="7" t="s">
        <v>24</v>
      </c>
      <c r="G266" s="7" t="s">
        <v>58</v>
      </c>
      <c r="H266">
        <v>5</v>
      </c>
      <c r="I266">
        <v>96106.43</v>
      </c>
      <c r="J266">
        <v>0.15</v>
      </c>
      <c r="K266">
        <v>408452.33</v>
      </c>
      <c r="L266">
        <v>330438.42</v>
      </c>
      <c r="M266">
        <v>78013.91</v>
      </c>
      <c r="N266" s="7" t="s">
        <v>26</v>
      </c>
      <c r="O266" s="9">
        <f>IFERROR(RawSalesTable_[[#This Row],[Profit]]/RawSalesTable_[[#This Row],[Revenue]],0)</f>
        <v>0.19099881251748521</v>
      </c>
    </row>
    <row r="267" spans="1:15">
      <c r="A267" s="7" t="s">
        <v>356</v>
      </c>
      <c r="B267" s="8">
        <v>45715</v>
      </c>
      <c r="C267" s="7" t="s">
        <v>15</v>
      </c>
      <c r="D267" s="7" t="s">
        <v>43</v>
      </c>
      <c r="E267" s="7" t="s">
        <v>44</v>
      </c>
      <c r="F267" s="7" t="s">
        <v>53</v>
      </c>
      <c r="G267" s="7" t="s">
        <v>47</v>
      </c>
      <c r="H267">
        <v>5</v>
      </c>
      <c r="I267">
        <v>8698.7900000000009</v>
      </c>
      <c r="J267">
        <v>0</v>
      </c>
      <c r="K267">
        <v>43493.95</v>
      </c>
      <c r="L267">
        <v>24613.73</v>
      </c>
      <c r="M267">
        <v>18880.22</v>
      </c>
      <c r="N267" s="7" t="s">
        <v>20</v>
      </c>
      <c r="O267" s="9">
        <f>IFERROR(RawSalesTable_[[#This Row],[Profit]]/RawSalesTable_[[#This Row],[Revenue]],0)</f>
        <v>0.43408841919393393</v>
      </c>
    </row>
    <row r="268" spans="1:15">
      <c r="A268" s="7" t="s">
        <v>357</v>
      </c>
      <c r="B268" s="8">
        <v>45949</v>
      </c>
      <c r="C268" s="7" t="s">
        <v>15</v>
      </c>
      <c r="D268" s="7" t="s">
        <v>43</v>
      </c>
      <c r="E268" s="7" t="s">
        <v>17</v>
      </c>
      <c r="F268" s="7" t="s">
        <v>75</v>
      </c>
      <c r="G268" s="7" t="s">
        <v>25</v>
      </c>
      <c r="H268">
        <v>6</v>
      </c>
      <c r="I268">
        <v>197844.16</v>
      </c>
      <c r="J268">
        <v>0</v>
      </c>
      <c r="K268">
        <v>1187064.96</v>
      </c>
      <c r="L268">
        <v>849511.03</v>
      </c>
      <c r="M268">
        <v>337553.93</v>
      </c>
      <c r="N268" s="7" t="s">
        <v>59</v>
      </c>
      <c r="O268" s="9">
        <f>IFERROR(RawSalesTable_[[#This Row],[Profit]]/RawSalesTable_[[#This Row],[Revenue]],0)</f>
        <v>0.28436011623154978</v>
      </c>
    </row>
    <row r="269" spans="1:15">
      <c r="A269" s="7" t="s">
        <v>358</v>
      </c>
      <c r="B269" s="8">
        <v>45768</v>
      </c>
      <c r="C269" s="7" t="s">
        <v>15</v>
      </c>
      <c r="D269" s="7" t="s">
        <v>43</v>
      </c>
      <c r="E269" s="7" t="s">
        <v>44</v>
      </c>
      <c r="F269" s="7" t="s">
        <v>53</v>
      </c>
      <c r="G269" s="7" t="s">
        <v>64</v>
      </c>
      <c r="H269">
        <v>2</v>
      </c>
      <c r="I269">
        <v>7842.7</v>
      </c>
      <c r="J269">
        <v>0</v>
      </c>
      <c r="K269">
        <v>15685.4</v>
      </c>
      <c r="L269">
        <v>9515.4599999999991</v>
      </c>
      <c r="M269">
        <v>6169.94</v>
      </c>
      <c r="N269" s="7" t="s">
        <v>33</v>
      </c>
      <c r="O269" s="9">
        <f>IFERROR(RawSalesTable_[[#This Row],[Profit]]/RawSalesTable_[[#This Row],[Revenue]],0)</f>
        <v>0.39335560457495505</v>
      </c>
    </row>
    <row r="270" spans="1:15">
      <c r="A270" s="7" t="s">
        <v>359</v>
      </c>
      <c r="B270" s="8">
        <v>45933</v>
      </c>
      <c r="C270" s="7" t="s">
        <v>28</v>
      </c>
      <c r="D270" s="7" t="s">
        <v>29</v>
      </c>
      <c r="E270" s="7" t="s">
        <v>30</v>
      </c>
      <c r="F270" s="7" t="s">
        <v>40</v>
      </c>
      <c r="G270" s="7" t="s">
        <v>61</v>
      </c>
      <c r="H270">
        <v>7</v>
      </c>
      <c r="I270">
        <v>25291.1</v>
      </c>
      <c r="J270">
        <v>0</v>
      </c>
      <c r="K270">
        <v>177037.7</v>
      </c>
      <c r="L270">
        <v>112241.04</v>
      </c>
      <c r="M270">
        <v>64796.66</v>
      </c>
      <c r="N270" s="7" t="s">
        <v>59</v>
      </c>
      <c r="O270" s="9">
        <f>IFERROR(RawSalesTable_[[#This Row],[Profit]]/RawSalesTable_[[#This Row],[Revenue]],0)</f>
        <v>0.36600486788972064</v>
      </c>
    </row>
    <row r="271" spans="1:15">
      <c r="A271" s="7" t="s">
        <v>360</v>
      </c>
      <c r="B271" s="8">
        <v>45990</v>
      </c>
      <c r="C271" s="7" t="s">
        <v>22</v>
      </c>
      <c r="D271" s="7" t="s">
        <v>35</v>
      </c>
      <c r="E271" s="7" t="s">
        <v>17</v>
      </c>
      <c r="F271" s="7" t="s">
        <v>24</v>
      </c>
      <c r="G271" s="7" t="s">
        <v>19</v>
      </c>
      <c r="H271">
        <v>3</v>
      </c>
      <c r="I271">
        <v>92535.66</v>
      </c>
      <c r="J271">
        <v>0.05</v>
      </c>
      <c r="K271">
        <v>263726.63</v>
      </c>
      <c r="L271">
        <v>206254.32</v>
      </c>
      <c r="M271">
        <v>57472.31</v>
      </c>
      <c r="N271" s="7" t="s">
        <v>59</v>
      </c>
      <c r="O271" s="9">
        <f>IFERROR(RawSalesTable_[[#This Row],[Profit]]/RawSalesTable_[[#This Row],[Revenue]],0)</f>
        <v>0.21792380238582656</v>
      </c>
    </row>
    <row r="272" spans="1:15">
      <c r="A272" s="7" t="s">
        <v>362</v>
      </c>
      <c r="B272" s="8">
        <v>45971</v>
      </c>
      <c r="C272" s="7" t="s">
        <v>15</v>
      </c>
      <c r="D272" s="7" t="s">
        <v>63</v>
      </c>
      <c r="E272" s="7" t="s">
        <v>44</v>
      </c>
      <c r="F272" s="7" t="s">
        <v>80</v>
      </c>
      <c r="G272" s="7" t="s">
        <v>64</v>
      </c>
      <c r="H272">
        <v>4</v>
      </c>
      <c r="I272">
        <v>40153.14</v>
      </c>
      <c r="J272">
        <v>0.05</v>
      </c>
      <c r="K272">
        <v>152581.93</v>
      </c>
      <c r="L272">
        <v>121286.76</v>
      </c>
      <c r="M272">
        <v>31295.17</v>
      </c>
      <c r="N272" s="7" t="s">
        <v>59</v>
      </c>
      <c r="O272" s="9">
        <f>IFERROR(RawSalesTable_[[#This Row],[Profit]]/RawSalesTable_[[#This Row],[Revenue]],0)</f>
        <v>0.20510403820426179</v>
      </c>
    </row>
    <row r="273" spans="1:15">
      <c r="A273" s="7" t="s">
        <v>363</v>
      </c>
      <c r="B273" s="8">
        <v>45912</v>
      </c>
      <c r="C273" s="7" t="s">
        <v>15</v>
      </c>
      <c r="D273" s="7" t="s">
        <v>43</v>
      </c>
      <c r="E273" s="7" t="s">
        <v>44</v>
      </c>
      <c r="F273" s="7" t="s">
        <v>80</v>
      </c>
      <c r="G273" s="7" t="s">
        <v>32</v>
      </c>
      <c r="H273">
        <v>1</v>
      </c>
      <c r="I273">
        <v>44430.36</v>
      </c>
      <c r="J273">
        <v>0.15</v>
      </c>
      <c r="K273">
        <v>37765.81</v>
      </c>
      <c r="L273">
        <v>30094.63</v>
      </c>
      <c r="M273">
        <v>7671.18</v>
      </c>
      <c r="N273" s="7" t="s">
        <v>59</v>
      </c>
      <c r="O273" s="9">
        <f>IFERROR(RawSalesTable_[[#This Row],[Profit]]/RawSalesTable_[[#This Row],[Revenue]],0)</f>
        <v>0.20312499586265992</v>
      </c>
    </row>
    <row r="274" spans="1:15">
      <c r="A274" s="7" t="s">
        <v>364</v>
      </c>
      <c r="B274" s="8">
        <v>45877</v>
      </c>
      <c r="C274" s="7" t="s">
        <v>22</v>
      </c>
      <c r="D274" s="7" t="s">
        <v>35</v>
      </c>
      <c r="E274" s="7" t="s">
        <v>44</v>
      </c>
      <c r="F274" s="7" t="s">
        <v>69</v>
      </c>
      <c r="G274" s="7" t="s">
        <v>58</v>
      </c>
      <c r="H274">
        <v>2</v>
      </c>
      <c r="I274">
        <v>39650.300000000003</v>
      </c>
      <c r="J274">
        <v>0</v>
      </c>
      <c r="K274">
        <v>79300.600000000006</v>
      </c>
      <c r="L274">
        <v>51659.44</v>
      </c>
      <c r="M274">
        <v>27641.16</v>
      </c>
      <c r="N274" s="7" t="s">
        <v>33</v>
      </c>
      <c r="O274" s="9">
        <f>IFERROR(RawSalesTable_[[#This Row],[Profit]]/RawSalesTable_[[#This Row],[Revenue]],0)</f>
        <v>0.34856180155005129</v>
      </c>
    </row>
    <row r="275" spans="1:15">
      <c r="A275" s="7" t="s">
        <v>365</v>
      </c>
      <c r="B275" s="8">
        <v>45948</v>
      </c>
      <c r="C275" s="7" t="s">
        <v>28</v>
      </c>
      <c r="D275" s="7" t="s">
        <v>29</v>
      </c>
      <c r="E275" s="7" t="s">
        <v>17</v>
      </c>
      <c r="F275" s="7" t="s">
        <v>114</v>
      </c>
      <c r="G275" s="7" t="s">
        <v>61</v>
      </c>
      <c r="H275">
        <v>8</v>
      </c>
      <c r="I275">
        <v>52089.71</v>
      </c>
      <c r="J275">
        <v>0</v>
      </c>
      <c r="K275">
        <v>416717.68</v>
      </c>
      <c r="L275">
        <v>293452.03000000003</v>
      </c>
      <c r="M275">
        <v>123265.65</v>
      </c>
      <c r="N275" s="7" t="s">
        <v>59</v>
      </c>
      <c r="O275" s="9">
        <f>IFERROR(RawSalesTable_[[#This Row],[Profit]]/RawSalesTable_[[#This Row],[Revenue]],0)</f>
        <v>0.29580134444979633</v>
      </c>
    </row>
    <row r="276" spans="1:15">
      <c r="A276" s="7" t="s">
        <v>366</v>
      </c>
      <c r="B276" s="8">
        <v>45664</v>
      </c>
      <c r="C276" s="7" t="s">
        <v>22</v>
      </c>
      <c r="D276" s="7" t="s">
        <v>35</v>
      </c>
      <c r="E276" s="7" t="s">
        <v>17</v>
      </c>
      <c r="F276" s="7" t="s">
        <v>75</v>
      </c>
      <c r="G276" s="7" t="s">
        <v>47</v>
      </c>
      <c r="H276">
        <v>4</v>
      </c>
      <c r="I276">
        <v>192127.09</v>
      </c>
      <c r="J276">
        <v>0</v>
      </c>
      <c r="K276">
        <v>768508.36</v>
      </c>
      <c r="L276">
        <v>552710.94999999995</v>
      </c>
      <c r="M276">
        <v>215797.41</v>
      </c>
      <c r="N276" s="7" t="s">
        <v>33</v>
      </c>
      <c r="O276" s="9">
        <f>IFERROR(RawSalesTable_[[#This Row],[Profit]]/RawSalesTable_[[#This Row],[Revenue]],0)</f>
        <v>0.28080034158639472</v>
      </c>
    </row>
    <row r="277" spans="1:15">
      <c r="A277" s="7" t="s">
        <v>367</v>
      </c>
      <c r="B277" s="8">
        <v>45993</v>
      </c>
      <c r="C277" s="7" t="s">
        <v>28</v>
      </c>
      <c r="D277" s="7" t="s">
        <v>56</v>
      </c>
      <c r="E277" s="7" t="s">
        <v>49</v>
      </c>
      <c r="F277" s="7" t="s">
        <v>1590</v>
      </c>
      <c r="G277" s="7" t="s">
        <v>25</v>
      </c>
      <c r="H277">
        <v>3</v>
      </c>
      <c r="I277">
        <v>4489.74</v>
      </c>
      <c r="J277">
        <v>0</v>
      </c>
      <c r="K277">
        <v>13469.22</v>
      </c>
      <c r="L277">
        <v>6354.81</v>
      </c>
      <c r="M277">
        <v>7114.41</v>
      </c>
      <c r="N277" s="7" t="s">
        <v>26</v>
      </c>
      <c r="O277" s="9">
        <f>IFERROR(RawSalesTable_[[#This Row],[Profit]]/RawSalesTable_[[#This Row],[Revenue]],0)</f>
        <v>0.52819762391586156</v>
      </c>
    </row>
    <row r="278" spans="1:15">
      <c r="A278" s="7" t="s">
        <v>368</v>
      </c>
      <c r="B278" s="8">
        <v>45915</v>
      </c>
      <c r="C278" s="7" t="s">
        <v>28</v>
      </c>
      <c r="D278" s="7" t="s">
        <v>52</v>
      </c>
      <c r="E278" s="7" t="s">
        <v>49</v>
      </c>
      <c r="F278" s="7" t="s">
        <v>57</v>
      </c>
      <c r="G278" s="7" t="s">
        <v>64</v>
      </c>
      <c r="H278">
        <v>5</v>
      </c>
      <c r="I278">
        <v>12099.83</v>
      </c>
      <c r="J278">
        <v>0.1</v>
      </c>
      <c r="K278">
        <v>54449.24</v>
      </c>
      <c r="L278">
        <v>32373.14</v>
      </c>
      <c r="M278">
        <v>22076.1</v>
      </c>
      <c r="N278" s="7" t="s">
        <v>26</v>
      </c>
      <c r="O278" s="9">
        <f>IFERROR(RawSalesTable_[[#This Row],[Profit]]/RawSalesTable_[[#This Row],[Revenue]],0)</f>
        <v>0.40544367561420508</v>
      </c>
    </row>
    <row r="279" spans="1:15">
      <c r="A279" s="7" t="s">
        <v>369</v>
      </c>
      <c r="B279" s="8">
        <v>45817</v>
      </c>
      <c r="C279" s="7" t="s">
        <v>22</v>
      </c>
      <c r="D279" s="7" t="s">
        <v>37</v>
      </c>
      <c r="E279" s="7" t="s">
        <v>17</v>
      </c>
      <c r="F279" s="7" t="s">
        <v>114</v>
      </c>
      <c r="G279" s="7" t="s">
        <v>32</v>
      </c>
      <c r="H279">
        <v>2</v>
      </c>
      <c r="I279">
        <v>55136.57</v>
      </c>
      <c r="J279">
        <v>0.05</v>
      </c>
      <c r="K279">
        <v>104759.48</v>
      </c>
      <c r="L279">
        <v>74762.73</v>
      </c>
      <c r="M279">
        <v>29996.75</v>
      </c>
      <c r="N279" s="7" t="s">
        <v>33</v>
      </c>
      <c r="O279" s="9">
        <f>IFERROR(RawSalesTable_[[#This Row],[Profit]]/RawSalesTable_[[#This Row],[Revenue]],0)</f>
        <v>0.28633924108825282</v>
      </c>
    </row>
    <row r="280" spans="1:15">
      <c r="A280" s="7" t="s">
        <v>370</v>
      </c>
      <c r="B280" s="8">
        <v>45782</v>
      </c>
      <c r="C280" s="7" t="s">
        <v>15</v>
      </c>
      <c r="D280" s="7" t="s">
        <v>63</v>
      </c>
      <c r="E280" s="7" t="s">
        <v>17</v>
      </c>
      <c r="F280" s="7" t="s">
        <v>18</v>
      </c>
      <c r="G280" s="7" t="s">
        <v>70</v>
      </c>
      <c r="H280">
        <v>4</v>
      </c>
      <c r="I280">
        <v>14016.5</v>
      </c>
      <c r="J280">
        <v>0.05</v>
      </c>
      <c r="K280">
        <v>53262.7</v>
      </c>
      <c r="L280">
        <v>33514.07</v>
      </c>
      <c r="M280">
        <v>19748.63</v>
      </c>
      <c r="N280" s="7" t="s">
        <v>59</v>
      </c>
      <c r="O280" s="9">
        <f>IFERROR(RawSalesTable_[[#This Row],[Profit]]/RawSalesTable_[[#This Row],[Revenue]],0)</f>
        <v>0.37077786143023173</v>
      </c>
    </row>
    <row r="281" spans="1:15">
      <c r="A281" s="7" t="s">
        <v>371</v>
      </c>
      <c r="B281" s="8">
        <v>45935</v>
      </c>
      <c r="C281" s="7" t="s">
        <v>15</v>
      </c>
      <c r="D281" s="7" t="s">
        <v>63</v>
      </c>
      <c r="E281" s="7" t="s">
        <v>44</v>
      </c>
      <c r="F281" s="7" t="s">
        <v>45</v>
      </c>
      <c r="G281" s="7" t="s">
        <v>32</v>
      </c>
      <c r="H281">
        <v>3</v>
      </c>
      <c r="I281">
        <v>26249.08</v>
      </c>
      <c r="J281">
        <v>0.05</v>
      </c>
      <c r="K281">
        <v>74809.88</v>
      </c>
      <c r="L281">
        <v>55385.4</v>
      </c>
      <c r="M281">
        <v>19424.48</v>
      </c>
      <c r="N281" s="7" t="s">
        <v>33</v>
      </c>
      <c r="O281" s="9">
        <f>IFERROR(RawSalesTable_[[#This Row],[Profit]]/RawSalesTable_[[#This Row],[Revenue]],0)</f>
        <v>0.25965126531415367</v>
      </c>
    </row>
    <row r="282" spans="1:15">
      <c r="A282" s="7" t="s">
        <v>372</v>
      </c>
      <c r="B282" s="8">
        <v>45688</v>
      </c>
      <c r="C282" s="7" t="s">
        <v>28</v>
      </c>
      <c r="D282" s="7" t="s">
        <v>52</v>
      </c>
      <c r="E282" s="7" t="s">
        <v>49</v>
      </c>
      <c r="F282" s="7" t="s">
        <v>57</v>
      </c>
      <c r="G282" s="7" t="s">
        <v>61</v>
      </c>
      <c r="H282">
        <v>2</v>
      </c>
      <c r="I282">
        <v>10957.56</v>
      </c>
      <c r="J282">
        <v>0</v>
      </c>
      <c r="K282">
        <v>21915.119999999999</v>
      </c>
      <c r="L282">
        <v>12992.03</v>
      </c>
      <c r="M282">
        <v>8923.09</v>
      </c>
      <c r="N282" s="7" t="s">
        <v>59</v>
      </c>
      <c r="O282" s="9">
        <f>IFERROR(RawSalesTable_[[#This Row],[Profit]]/RawSalesTable_[[#This Row],[Revenue]],0)</f>
        <v>0.40716592015010644</v>
      </c>
    </row>
    <row r="283" spans="1:15">
      <c r="A283" s="7" t="s">
        <v>373</v>
      </c>
      <c r="B283" s="8">
        <v>45706</v>
      </c>
      <c r="C283" s="7" t="s">
        <v>22</v>
      </c>
      <c r="D283" s="7" t="s">
        <v>23</v>
      </c>
      <c r="E283" s="7" t="s">
        <v>44</v>
      </c>
      <c r="F283" s="7" t="s">
        <v>53</v>
      </c>
      <c r="G283" s="7" t="s">
        <v>61</v>
      </c>
      <c r="H283">
        <v>6</v>
      </c>
      <c r="I283">
        <v>8443.5</v>
      </c>
      <c r="J283">
        <v>0.15</v>
      </c>
      <c r="K283">
        <v>43061.85</v>
      </c>
      <c r="L283">
        <v>28692.73</v>
      </c>
      <c r="M283">
        <v>14369.12</v>
      </c>
      <c r="N283" s="7" t="s">
        <v>20</v>
      </c>
      <c r="O283" s="9">
        <f>IFERROR(RawSalesTable_[[#This Row],[Profit]]/RawSalesTable_[[#This Row],[Revenue]],0)</f>
        <v>0.3336856173155589</v>
      </c>
    </row>
    <row r="284" spans="1:15">
      <c r="A284" s="7" t="s">
        <v>374</v>
      </c>
      <c r="B284" s="8">
        <v>45859</v>
      </c>
      <c r="C284" s="7" t="s">
        <v>22</v>
      </c>
      <c r="D284" s="7" t="s">
        <v>37</v>
      </c>
      <c r="E284" s="7" t="s">
        <v>17</v>
      </c>
      <c r="F284" s="7" t="s">
        <v>114</v>
      </c>
      <c r="G284" s="7" t="s">
        <v>32</v>
      </c>
      <c r="H284">
        <v>3</v>
      </c>
      <c r="I284">
        <v>49809.94</v>
      </c>
      <c r="J284">
        <v>0.05</v>
      </c>
      <c r="K284">
        <v>141958.32999999999</v>
      </c>
      <c r="L284">
        <v>112737.25</v>
      </c>
      <c r="M284">
        <v>29221.08</v>
      </c>
      <c r="N284" s="7" t="s">
        <v>59</v>
      </c>
      <c r="O284" s="9">
        <f>IFERROR(RawSalesTable_[[#This Row],[Profit]]/RawSalesTable_[[#This Row],[Revenue]],0)</f>
        <v>0.20584265819413347</v>
      </c>
    </row>
    <row r="285" spans="1:15">
      <c r="A285" s="7" t="s">
        <v>375</v>
      </c>
      <c r="B285" s="8">
        <v>45712</v>
      </c>
      <c r="C285" s="7" t="s">
        <v>28</v>
      </c>
      <c r="D285" s="7" t="s">
        <v>56</v>
      </c>
      <c r="E285" s="7" t="s">
        <v>44</v>
      </c>
      <c r="F285" s="7" t="s">
        <v>80</v>
      </c>
      <c r="G285" s="7" t="s">
        <v>61</v>
      </c>
      <c r="H285">
        <v>4</v>
      </c>
      <c r="I285">
        <v>40496.449999999997</v>
      </c>
      <c r="J285">
        <v>0.1</v>
      </c>
      <c r="K285">
        <v>145787.22</v>
      </c>
      <c r="L285">
        <v>121225.88</v>
      </c>
      <c r="M285">
        <v>24561.34</v>
      </c>
      <c r="N285" s="7" t="s">
        <v>20</v>
      </c>
      <c r="O285" s="9">
        <f>IFERROR(RawSalesTable_[[#This Row],[Profit]]/RawSalesTable_[[#This Row],[Revenue]],0)</f>
        <v>0.16847388954944062</v>
      </c>
    </row>
    <row r="286" spans="1:15">
      <c r="A286" s="7" t="s">
        <v>376</v>
      </c>
      <c r="B286" s="8">
        <v>45895</v>
      </c>
      <c r="C286" s="7" t="s">
        <v>28</v>
      </c>
      <c r="D286" s="7" t="s">
        <v>56</v>
      </c>
      <c r="E286" s="7" t="s">
        <v>49</v>
      </c>
      <c r="F286" s="7" t="s">
        <v>91</v>
      </c>
      <c r="G286" s="7" t="s">
        <v>58</v>
      </c>
      <c r="H286">
        <v>6</v>
      </c>
      <c r="I286">
        <v>6983.22</v>
      </c>
      <c r="J286">
        <v>0</v>
      </c>
      <c r="K286">
        <v>41899.32</v>
      </c>
      <c r="L286">
        <v>21635.3</v>
      </c>
      <c r="M286">
        <v>20264.02</v>
      </c>
      <c r="N286" s="7" t="s">
        <v>33</v>
      </c>
      <c r="O286" s="9">
        <f>IFERROR(RawSalesTable_[[#This Row],[Profit]]/RawSalesTable_[[#This Row],[Revenue]],0)</f>
        <v>0.48363601127655531</v>
      </c>
    </row>
    <row r="287" spans="1:15">
      <c r="A287" s="7" t="s">
        <v>377</v>
      </c>
      <c r="B287" s="8">
        <v>46022</v>
      </c>
      <c r="C287" s="7" t="s">
        <v>22</v>
      </c>
      <c r="D287" s="7" t="s">
        <v>23</v>
      </c>
      <c r="E287" s="7" t="s">
        <v>30</v>
      </c>
      <c r="F287" s="7" t="s">
        <v>31</v>
      </c>
      <c r="G287" s="7" t="s">
        <v>47</v>
      </c>
      <c r="H287">
        <v>4</v>
      </c>
      <c r="I287">
        <v>142255.97</v>
      </c>
      <c r="J287">
        <v>0.05</v>
      </c>
      <c r="K287">
        <v>540572.68999999994</v>
      </c>
      <c r="L287">
        <v>396074.6</v>
      </c>
      <c r="M287">
        <v>144498.09</v>
      </c>
      <c r="N287" s="7" t="s">
        <v>59</v>
      </c>
      <c r="O287" s="9">
        <f>IFERROR(RawSalesTable_[[#This Row],[Profit]]/RawSalesTable_[[#This Row],[Revenue]],0)</f>
        <v>0.26730556810037892</v>
      </c>
    </row>
    <row r="288" spans="1:15">
      <c r="A288" s="7" t="s">
        <v>378</v>
      </c>
      <c r="B288" s="8">
        <v>45865</v>
      </c>
      <c r="C288" s="7" t="s">
        <v>28</v>
      </c>
      <c r="D288" s="7" t="s">
        <v>29</v>
      </c>
      <c r="E288" s="7" t="s">
        <v>17</v>
      </c>
      <c r="F288" s="7" t="s">
        <v>18</v>
      </c>
      <c r="G288" s="7" t="s">
        <v>70</v>
      </c>
      <c r="H288">
        <v>5</v>
      </c>
      <c r="I288">
        <v>15242.61</v>
      </c>
      <c r="J288">
        <v>0</v>
      </c>
      <c r="K288">
        <v>76213.05</v>
      </c>
      <c r="L288">
        <v>39859.21</v>
      </c>
      <c r="M288">
        <v>36353.839999999997</v>
      </c>
      <c r="N288" s="7" t="s">
        <v>26</v>
      </c>
      <c r="O288" s="9">
        <f>IFERROR(RawSalesTable_[[#This Row],[Profit]]/RawSalesTable_[[#This Row],[Revenue]],0)</f>
        <v>0.47700282300734581</v>
      </c>
    </row>
    <row r="289" spans="1:15">
      <c r="A289" s="7" t="s">
        <v>379</v>
      </c>
      <c r="B289" s="8">
        <v>45863</v>
      </c>
      <c r="C289" s="7" t="s">
        <v>22</v>
      </c>
      <c r="D289" s="7" t="s">
        <v>35</v>
      </c>
      <c r="E289" s="7" t="s">
        <v>17</v>
      </c>
      <c r="F289" s="7" t="s">
        <v>24</v>
      </c>
      <c r="G289" s="7" t="s">
        <v>32</v>
      </c>
      <c r="H289">
        <v>2</v>
      </c>
      <c r="I289">
        <v>84816.01</v>
      </c>
      <c r="J289">
        <v>0</v>
      </c>
      <c r="K289">
        <v>169632.02</v>
      </c>
      <c r="L289">
        <v>133164.41</v>
      </c>
      <c r="M289">
        <v>36467.61</v>
      </c>
      <c r="N289" s="7" t="s">
        <v>33</v>
      </c>
      <c r="O289" s="9">
        <f>IFERROR(RawSalesTable_[[#This Row],[Profit]]/RawSalesTable_[[#This Row],[Revenue]],0)</f>
        <v>0.21498069763008187</v>
      </c>
    </row>
    <row r="290" spans="1:15">
      <c r="A290" s="7" t="s">
        <v>380</v>
      </c>
      <c r="B290" s="8">
        <v>45885</v>
      </c>
      <c r="C290" s="7" t="s">
        <v>15</v>
      </c>
      <c r="D290" s="7" t="s">
        <v>43</v>
      </c>
      <c r="E290" s="7" t="s">
        <v>30</v>
      </c>
      <c r="F290" s="7" t="s">
        <v>31</v>
      </c>
      <c r="G290" s="7" t="s">
        <v>61</v>
      </c>
      <c r="H290">
        <v>1</v>
      </c>
      <c r="I290">
        <v>145738.69</v>
      </c>
      <c r="J290">
        <v>0</v>
      </c>
      <c r="K290">
        <v>145738.69</v>
      </c>
      <c r="L290">
        <v>104350.65</v>
      </c>
      <c r="M290">
        <v>41388.04</v>
      </c>
      <c r="N290" s="7" t="s">
        <v>33</v>
      </c>
      <c r="O290" s="9">
        <f>IFERROR(RawSalesTable_[[#This Row],[Profit]]/RawSalesTable_[[#This Row],[Revenue]],0)</f>
        <v>0.28398800620480397</v>
      </c>
    </row>
    <row r="291" spans="1:15">
      <c r="A291" s="7" t="s">
        <v>381</v>
      </c>
      <c r="B291" s="8">
        <v>45860</v>
      </c>
      <c r="C291" s="7" t="s">
        <v>28</v>
      </c>
      <c r="D291" s="7" t="s">
        <v>52</v>
      </c>
      <c r="E291" s="7" t="s">
        <v>17</v>
      </c>
      <c r="F291" s="7" t="s">
        <v>114</v>
      </c>
      <c r="G291" s="7" t="s">
        <v>70</v>
      </c>
      <c r="H291">
        <v>1</v>
      </c>
      <c r="I291">
        <v>49237.67</v>
      </c>
      <c r="J291">
        <v>0.1</v>
      </c>
      <c r="K291">
        <v>44313.9</v>
      </c>
      <c r="L291">
        <v>36511.71</v>
      </c>
      <c r="M291">
        <v>7802.19</v>
      </c>
      <c r="N291" s="7" t="s">
        <v>33</v>
      </c>
      <c r="O291" s="9">
        <f>IFERROR(RawSalesTable_[[#This Row],[Profit]]/RawSalesTable_[[#This Row],[Revenue]],0)</f>
        <v>0.17606642611009185</v>
      </c>
    </row>
    <row r="292" spans="1:15">
      <c r="A292" s="7" t="s">
        <v>382</v>
      </c>
      <c r="B292" s="8">
        <v>45886</v>
      </c>
      <c r="C292" s="7" t="s">
        <v>28</v>
      </c>
      <c r="D292" s="7" t="s">
        <v>29</v>
      </c>
      <c r="E292" s="7" t="s">
        <v>49</v>
      </c>
      <c r="F292" s="7" t="s">
        <v>1590</v>
      </c>
      <c r="G292" s="7" t="s">
        <v>61</v>
      </c>
      <c r="H292">
        <v>6</v>
      </c>
      <c r="I292">
        <v>4008.29</v>
      </c>
      <c r="J292">
        <v>0</v>
      </c>
      <c r="K292">
        <v>24049.74</v>
      </c>
      <c r="L292">
        <v>12464.53</v>
      </c>
      <c r="M292">
        <v>11585.21</v>
      </c>
      <c r="N292" s="7" t="s">
        <v>33</v>
      </c>
      <c r="O292" s="9">
        <f>IFERROR(RawSalesTable_[[#This Row],[Profit]]/RawSalesTable_[[#This Row],[Revenue]],0)</f>
        <v>0.48171872128347326</v>
      </c>
    </row>
    <row r="293" spans="1:15">
      <c r="A293" s="7" t="s">
        <v>383</v>
      </c>
      <c r="B293" s="8">
        <v>45702</v>
      </c>
      <c r="C293" s="7" t="s">
        <v>15</v>
      </c>
      <c r="D293" s="7" t="s">
        <v>43</v>
      </c>
      <c r="E293" s="7" t="s">
        <v>44</v>
      </c>
      <c r="F293" s="7" t="s">
        <v>69</v>
      </c>
      <c r="G293" s="7" t="s">
        <v>58</v>
      </c>
      <c r="H293">
        <v>8</v>
      </c>
      <c r="I293">
        <v>37464.910000000003</v>
      </c>
      <c r="J293">
        <v>0.1</v>
      </c>
      <c r="K293">
        <v>269747.34999999998</v>
      </c>
      <c r="L293">
        <v>208734.69</v>
      </c>
      <c r="M293">
        <v>61012.66</v>
      </c>
      <c r="N293" s="7" t="s">
        <v>20</v>
      </c>
      <c r="O293" s="9">
        <f>IFERROR(RawSalesTable_[[#This Row],[Profit]]/RawSalesTable_[[#This Row],[Revenue]],0)</f>
        <v>0.22618446483348217</v>
      </c>
    </row>
    <row r="294" spans="1:15">
      <c r="A294" s="7" t="s">
        <v>384</v>
      </c>
      <c r="B294" s="8">
        <v>45936</v>
      </c>
      <c r="C294" s="7" t="s">
        <v>22</v>
      </c>
      <c r="D294" s="7" t="s">
        <v>35</v>
      </c>
      <c r="E294" s="7" t="s">
        <v>44</v>
      </c>
      <c r="F294" s="7" t="s">
        <v>45</v>
      </c>
      <c r="G294" s="7" t="s">
        <v>70</v>
      </c>
      <c r="H294">
        <v>1</v>
      </c>
      <c r="I294">
        <v>30731.68</v>
      </c>
      <c r="J294">
        <v>0.15</v>
      </c>
      <c r="K294">
        <v>26121.93</v>
      </c>
      <c r="L294">
        <v>18907.62</v>
      </c>
      <c r="M294">
        <v>7214.31</v>
      </c>
      <c r="N294" s="7" t="s">
        <v>59</v>
      </c>
      <c r="O294" s="9">
        <f>IFERROR(RawSalesTable_[[#This Row],[Profit]]/RawSalesTable_[[#This Row],[Revenue]],0)</f>
        <v>0.27617829157340212</v>
      </c>
    </row>
    <row r="295" spans="1:15">
      <c r="A295" s="7" t="s">
        <v>385</v>
      </c>
      <c r="B295" s="8">
        <v>45673</v>
      </c>
      <c r="C295" s="7" t="s">
        <v>15</v>
      </c>
      <c r="D295" s="7" t="s">
        <v>43</v>
      </c>
      <c r="E295" s="7" t="s">
        <v>30</v>
      </c>
      <c r="F295" s="7" t="s">
        <v>40</v>
      </c>
      <c r="G295" s="7" t="s">
        <v>58</v>
      </c>
      <c r="H295">
        <v>5</v>
      </c>
      <c r="I295">
        <v>23244.880000000001</v>
      </c>
      <c r="J295">
        <v>0.05</v>
      </c>
      <c r="K295">
        <v>110413.18</v>
      </c>
      <c r="L295">
        <v>79932.05</v>
      </c>
      <c r="M295">
        <v>30481.13</v>
      </c>
      <c r="N295" s="7" t="s">
        <v>33</v>
      </c>
      <c r="O295" s="9">
        <f>IFERROR(RawSalesTable_[[#This Row],[Profit]]/RawSalesTable_[[#This Row],[Revenue]],0)</f>
        <v>0.27606423436042693</v>
      </c>
    </row>
    <row r="296" spans="1:15">
      <c r="A296" s="7" t="s">
        <v>386</v>
      </c>
      <c r="B296" s="8">
        <v>45931</v>
      </c>
      <c r="C296" s="7" t="s">
        <v>28</v>
      </c>
      <c r="D296" s="7" t="s">
        <v>29</v>
      </c>
      <c r="E296" s="7" t="s">
        <v>30</v>
      </c>
      <c r="F296" s="7" t="s">
        <v>86</v>
      </c>
      <c r="G296" s="7" t="s">
        <v>64</v>
      </c>
      <c r="H296">
        <v>3</v>
      </c>
      <c r="I296">
        <v>30888.71</v>
      </c>
      <c r="J296">
        <v>0.15</v>
      </c>
      <c r="K296">
        <v>78766.210000000006</v>
      </c>
      <c r="L296">
        <v>66614.45</v>
      </c>
      <c r="M296">
        <v>12151.76</v>
      </c>
      <c r="N296" s="7" t="s">
        <v>26</v>
      </c>
      <c r="O296" s="9">
        <f>IFERROR(RawSalesTable_[[#This Row],[Profit]]/RawSalesTable_[[#This Row],[Revenue]],0)</f>
        <v>0.15427630706111159</v>
      </c>
    </row>
    <row r="297" spans="1:15">
      <c r="A297" s="7" t="s">
        <v>387</v>
      </c>
      <c r="B297" s="8">
        <v>46015</v>
      </c>
      <c r="C297" s="7" t="s">
        <v>15</v>
      </c>
      <c r="D297" s="7" t="s">
        <v>63</v>
      </c>
      <c r="E297" s="7" t="s">
        <v>30</v>
      </c>
      <c r="F297" s="7" t="s">
        <v>86</v>
      </c>
      <c r="G297" s="7" t="s">
        <v>32</v>
      </c>
      <c r="H297">
        <v>3</v>
      </c>
      <c r="I297">
        <v>31608.99</v>
      </c>
      <c r="J297">
        <v>0.05</v>
      </c>
      <c r="K297">
        <v>90085.62</v>
      </c>
      <c r="L297">
        <v>69284.34</v>
      </c>
      <c r="M297">
        <v>20801.28</v>
      </c>
      <c r="N297" s="7" t="s">
        <v>33</v>
      </c>
      <c r="O297" s="9">
        <f>IFERROR(RawSalesTable_[[#This Row],[Profit]]/RawSalesTable_[[#This Row],[Revenue]],0)</f>
        <v>0.2309056650772898</v>
      </c>
    </row>
    <row r="298" spans="1:15">
      <c r="A298" s="7" t="s">
        <v>388</v>
      </c>
      <c r="B298" s="8">
        <v>45747</v>
      </c>
      <c r="C298" s="7" t="s">
        <v>15</v>
      </c>
      <c r="D298" s="7" t="s">
        <v>43</v>
      </c>
      <c r="E298" s="7" t="s">
        <v>30</v>
      </c>
      <c r="F298" s="7" t="s">
        <v>86</v>
      </c>
      <c r="G298" s="7" t="s">
        <v>70</v>
      </c>
      <c r="H298">
        <v>4</v>
      </c>
      <c r="I298">
        <v>34777.760000000002</v>
      </c>
      <c r="J298">
        <v>0.05</v>
      </c>
      <c r="K298">
        <v>132155.49</v>
      </c>
      <c r="L298">
        <v>90715.38</v>
      </c>
      <c r="M298">
        <v>41440.11</v>
      </c>
      <c r="N298" s="7" t="s">
        <v>33</v>
      </c>
      <c r="O298" s="9">
        <f>IFERROR(RawSalesTable_[[#This Row],[Profit]]/RawSalesTable_[[#This Row],[Revenue]],0)</f>
        <v>0.31357085505868887</v>
      </c>
    </row>
    <row r="299" spans="1:15">
      <c r="A299" s="7" t="s">
        <v>389</v>
      </c>
      <c r="B299" s="8">
        <v>45972</v>
      </c>
      <c r="C299" s="7" t="s">
        <v>22</v>
      </c>
      <c r="D299" s="7" t="s">
        <v>23</v>
      </c>
      <c r="E299" s="7" t="s">
        <v>44</v>
      </c>
      <c r="F299" s="7" t="s">
        <v>45</v>
      </c>
      <c r="G299" s="7" t="s">
        <v>47</v>
      </c>
      <c r="H299">
        <v>1</v>
      </c>
      <c r="I299">
        <v>28620.61</v>
      </c>
      <c r="J299">
        <v>0</v>
      </c>
      <c r="K299">
        <v>28620.61</v>
      </c>
      <c r="L299">
        <v>18871.21</v>
      </c>
      <c r="M299">
        <v>9749.4</v>
      </c>
      <c r="N299" s="7" t="s">
        <v>26</v>
      </c>
      <c r="O299" s="9">
        <f>IFERROR(RawSalesTable_[[#This Row],[Profit]]/RawSalesTable_[[#This Row],[Revenue]],0)</f>
        <v>0.34064263480058599</v>
      </c>
    </row>
    <row r="300" spans="1:15">
      <c r="A300" s="7" t="s">
        <v>390</v>
      </c>
      <c r="B300" s="8">
        <v>45730</v>
      </c>
      <c r="C300" s="7" t="s">
        <v>28</v>
      </c>
      <c r="D300" s="7" t="s">
        <v>29</v>
      </c>
      <c r="E300" s="7" t="s">
        <v>44</v>
      </c>
      <c r="F300" s="7" t="s">
        <v>69</v>
      </c>
      <c r="G300" s="7" t="s">
        <v>19</v>
      </c>
      <c r="H300">
        <v>1</v>
      </c>
      <c r="I300">
        <v>35093.230000000003</v>
      </c>
      <c r="J300">
        <v>0.1</v>
      </c>
      <c r="K300">
        <v>31583.91</v>
      </c>
      <c r="L300">
        <v>26502.55</v>
      </c>
      <c r="M300">
        <v>5081.3599999999997</v>
      </c>
      <c r="N300" s="7" t="s">
        <v>59</v>
      </c>
      <c r="O300" s="9">
        <f>IFERROR(RawSalesTable_[[#This Row],[Profit]]/RawSalesTable_[[#This Row],[Revenue]],0)</f>
        <v>0.16088445034196208</v>
      </c>
    </row>
    <row r="301" spans="1:15">
      <c r="A301" s="7" t="s">
        <v>391</v>
      </c>
      <c r="B301" s="8">
        <v>45881</v>
      </c>
      <c r="C301" s="7" t="s">
        <v>22</v>
      </c>
      <c r="D301" s="7" t="s">
        <v>35</v>
      </c>
      <c r="E301" s="7" t="s">
        <v>49</v>
      </c>
      <c r="F301" s="7" t="s">
        <v>91</v>
      </c>
      <c r="G301" s="7" t="s">
        <v>70</v>
      </c>
      <c r="H301">
        <v>6</v>
      </c>
      <c r="I301">
        <v>6293.84</v>
      </c>
      <c r="J301">
        <v>0</v>
      </c>
      <c r="K301">
        <v>37763.040000000001</v>
      </c>
      <c r="L301">
        <v>22427.5</v>
      </c>
      <c r="M301">
        <v>15335.54</v>
      </c>
      <c r="N301" s="7" t="s">
        <v>59</v>
      </c>
      <c r="O301" s="9">
        <f>IFERROR(RawSalesTable_[[#This Row],[Profit]]/RawSalesTable_[[#This Row],[Revenue]],0)</f>
        <v>0.40609919116681287</v>
      </c>
    </row>
    <row r="302" spans="1:15">
      <c r="A302" s="7" t="s">
        <v>392</v>
      </c>
      <c r="B302" s="8">
        <v>45723</v>
      </c>
      <c r="C302" s="7" t="s">
        <v>22</v>
      </c>
      <c r="D302" s="7" t="s">
        <v>37</v>
      </c>
      <c r="E302" s="7" t="s">
        <v>30</v>
      </c>
      <c r="F302" s="7" t="s">
        <v>86</v>
      </c>
      <c r="G302" s="7" t="s">
        <v>61</v>
      </c>
      <c r="H302">
        <v>3</v>
      </c>
      <c r="I302">
        <v>32357.87</v>
      </c>
      <c r="J302">
        <v>0.15</v>
      </c>
      <c r="K302">
        <v>82512.570000000007</v>
      </c>
      <c r="L302">
        <v>68728.160000000003</v>
      </c>
      <c r="M302">
        <v>13784.41</v>
      </c>
      <c r="N302" s="7" t="s">
        <v>33</v>
      </c>
      <c r="O302" s="9">
        <f>IFERROR(RawSalesTable_[[#This Row],[Profit]]/RawSalesTable_[[#This Row],[Revenue]],0)</f>
        <v>0.1670583039650807</v>
      </c>
    </row>
    <row r="303" spans="1:15">
      <c r="A303" s="7" t="s">
        <v>393</v>
      </c>
      <c r="B303" s="8">
        <v>45947</v>
      </c>
      <c r="C303" s="7" t="s">
        <v>15</v>
      </c>
      <c r="D303" s="7" t="s">
        <v>43</v>
      </c>
      <c r="E303" s="7" t="s">
        <v>49</v>
      </c>
      <c r="F303" s="7" t="s">
        <v>91</v>
      </c>
      <c r="G303" s="7" t="s">
        <v>19</v>
      </c>
      <c r="H303">
        <v>3</v>
      </c>
      <c r="I303">
        <v>6606.48</v>
      </c>
      <c r="J303">
        <v>0.1</v>
      </c>
      <c r="K303">
        <v>17837.5</v>
      </c>
      <c r="L303">
        <v>10643</v>
      </c>
      <c r="M303">
        <v>7194.5</v>
      </c>
      <c r="N303" s="7" t="s">
        <v>20</v>
      </c>
      <c r="O303" s="9">
        <f>IFERROR(RawSalesTable_[[#This Row],[Profit]]/RawSalesTable_[[#This Row],[Revenue]],0)</f>
        <v>0.40333566923615977</v>
      </c>
    </row>
    <row r="304" spans="1:15">
      <c r="A304" s="7" t="s">
        <v>395</v>
      </c>
      <c r="B304" s="8">
        <v>45703</v>
      </c>
      <c r="C304" s="7" t="s">
        <v>22</v>
      </c>
      <c r="D304" s="7" t="s">
        <v>35</v>
      </c>
      <c r="E304" s="7" t="s">
        <v>17</v>
      </c>
      <c r="F304" s="7" t="s">
        <v>24</v>
      </c>
      <c r="G304" s="7" t="s">
        <v>32</v>
      </c>
      <c r="H304">
        <v>6</v>
      </c>
      <c r="I304">
        <v>99100.63</v>
      </c>
      <c r="J304">
        <v>0</v>
      </c>
      <c r="K304">
        <v>594603.78</v>
      </c>
      <c r="L304">
        <v>413929.49</v>
      </c>
      <c r="M304">
        <v>180674.29</v>
      </c>
      <c r="N304" s="7" t="s">
        <v>20</v>
      </c>
      <c r="O304" s="9">
        <f>IFERROR(RawSalesTable_[[#This Row],[Profit]]/RawSalesTable_[[#This Row],[Revenue]],0)</f>
        <v>0.30385661187690399</v>
      </c>
    </row>
    <row r="305" spans="1:15">
      <c r="A305" s="7" t="s">
        <v>396</v>
      </c>
      <c r="B305" s="8">
        <v>45682</v>
      </c>
      <c r="C305" s="7" t="s">
        <v>22</v>
      </c>
      <c r="D305" s="7" t="s">
        <v>35</v>
      </c>
      <c r="E305" s="7" t="s">
        <v>44</v>
      </c>
      <c r="F305" s="7" t="s">
        <v>45</v>
      </c>
      <c r="G305" s="7" t="s">
        <v>25</v>
      </c>
      <c r="H305">
        <v>2</v>
      </c>
      <c r="I305">
        <v>27818.19</v>
      </c>
      <c r="J305">
        <v>0</v>
      </c>
      <c r="K305">
        <v>55636.38</v>
      </c>
      <c r="L305">
        <v>38776.300000000003</v>
      </c>
      <c r="M305">
        <v>16860.080000000002</v>
      </c>
      <c r="N305" s="7" t="s">
        <v>20</v>
      </c>
      <c r="O305" s="9">
        <f>IFERROR(RawSalesTable_[[#This Row],[Profit]]/RawSalesTable_[[#This Row],[Revenue]],0)</f>
        <v>0.30304056446519351</v>
      </c>
    </row>
    <row r="306" spans="1:15">
      <c r="A306" s="7" t="s">
        <v>397</v>
      </c>
      <c r="B306" s="8">
        <v>45709</v>
      </c>
      <c r="C306" s="7" t="s">
        <v>15</v>
      </c>
      <c r="D306" s="7" t="s">
        <v>63</v>
      </c>
      <c r="E306" s="7" t="s">
        <v>44</v>
      </c>
      <c r="F306" s="7" t="s">
        <v>53</v>
      </c>
      <c r="G306" s="7" t="s">
        <v>70</v>
      </c>
      <c r="H306">
        <v>8</v>
      </c>
      <c r="I306">
        <v>9019.2099999999991</v>
      </c>
      <c r="J306">
        <v>0.05</v>
      </c>
      <c r="K306">
        <v>68546</v>
      </c>
      <c r="L306">
        <v>39522.29</v>
      </c>
      <c r="M306">
        <v>29023.71</v>
      </c>
      <c r="N306" s="7" t="s">
        <v>26</v>
      </c>
      <c r="O306" s="9">
        <f>IFERROR(RawSalesTable_[[#This Row],[Profit]]/RawSalesTable_[[#This Row],[Revenue]],0)</f>
        <v>0.42341945554809907</v>
      </c>
    </row>
    <row r="307" spans="1:15">
      <c r="A307" s="7" t="s">
        <v>398</v>
      </c>
      <c r="B307" s="8">
        <v>45695</v>
      </c>
      <c r="C307" s="7" t="s">
        <v>22</v>
      </c>
      <c r="D307" s="7" t="s">
        <v>35</v>
      </c>
      <c r="E307" s="7" t="s">
        <v>17</v>
      </c>
      <c r="F307" s="7" t="s">
        <v>75</v>
      </c>
      <c r="G307" s="7" t="s">
        <v>32</v>
      </c>
      <c r="H307">
        <v>5</v>
      </c>
      <c r="I307">
        <v>170794.31</v>
      </c>
      <c r="J307">
        <v>0.05</v>
      </c>
      <c r="K307">
        <v>811272.97</v>
      </c>
      <c r="L307">
        <v>735997.61</v>
      </c>
      <c r="M307">
        <v>75275.360000000001</v>
      </c>
      <c r="N307" s="7" t="s">
        <v>26</v>
      </c>
      <c r="O307" s="9">
        <f>IFERROR(RawSalesTable_[[#This Row],[Profit]]/RawSalesTable_[[#This Row],[Revenue]],0)</f>
        <v>9.2786722575016897E-2</v>
      </c>
    </row>
    <row r="308" spans="1:15">
      <c r="A308" s="7" t="s">
        <v>399</v>
      </c>
      <c r="B308" s="8">
        <v>46018</v>
      </c>
      <c r="C308" s="7" t="s">
        <v>28</v>
      </c>
      <c r="D308" s="7" t="s">
        <v>52</v>
      </c>
      <c r="E308" s="7" t="s">
        <v>17</v>
      </c>
      <c r="F308" s="7" t="s">
        <v>75</v>
      </c>
      <c r="G308" s="7" t="s">
        <v>64</v>
      </c>
      <c r="H308">
        <v>6</v>
      </c>
      <c r="I308">
        <v>187783.3</v>
      </c>
      <c r="J308">
        <v>0.1</v>
      </c>
      <c r="K308">
        <v>1014029.82</v>
      </c>
      <c r="L308">
        <v>879712.01</v>
      </c>
      <c r="M308">
        <v>134317.81</v>
      </c>
      <c r="N308" s="7" t="s">
        <v>20</v>
      </c>
      <c r="O308" s="9">
        <f>IFERROR(RawSalesTable_[[#This Row],[Profit]]/RawSalesTable_[[#This Row],[Revenue]],0)</f>
        <v>0.13245942806691818</v>
      </c>
    </row>
    <row r="309" spans="1:15">
      <c r="A309" s="7" t="s">
        <v>400</v>
      </c>
      <c r="B309" s="8">
        <v>45867</v>
      </c>
      <c r="C309" s="7" t="s">
        <v>15</v>
      </c>
      <c r="D309" s="7" t="s">
        <v>16</v>
      </c>
      <c r="E309" s="7" t="s">
        <v>49</v>
      </c>
      <c r="F309" s="7" t="s">
        <v>1590</v>
      </c>
      <c r="G309" s="7" t="s">
        <v>58</v>
      </c>
      <c r="H309">
        <v>1</v>
      </c>
      <c r="I309">
        <v>3932.05</v>
      </c>
      <c r="J309">
        <v>0</v>
      </c>
      <c r="K309">
        <v>3932.05</v>
      </c>
      <c r="L309">
        <v>2180.2399999999998</v>
      </c>
      <c r="M309">
        <v>1751.81</v>
      </c>
      <c r="N309" s="7" t="s">
        <v>59</v>
      </c>
      <c r="O309" s="9">
        <f>IFERROR(RawSalesTable_[[#This Row],[Profit]]/RawSalesTable_[[#This Row],[Revenue]],0)</f>
        <v>0.44552078432369879</v>
      </c>
    </row>
    <row r="310" spans="1:15">
      <c r="A310" s="7" t="s">
        <v>401</v>
      </c>
      <c r="B310" s="8">
        <v>45842</v>
      </c>
      <c r="C310" s="7" t="s">
        <v>28</v>
      </c>
      <c r="D310" s="7" t="s">
        <v>52</v>
      </c>
      <c r="E310" s="7" t="s">
        <v>17</v>
      </c>
      <c r="F310" s="7" t="s">
        <v>75</v>
      </c>
      <c r="G310" s="7" t="s">
        <v>64</v>
      </c>
      <c r="H310">
        <v>7</v>
      </c>
      <c r="I310">
        <v>187124.39</v>
      </c>
      <c r="J310">
        <v>0.05</v>
      </c>
      <c r="K310">
        <v>1244377.19</v>
      </c>
      <c r="L310">
        <v>974866.79</v>
      </c>
      <c r="M310">
        <v>269510.40000000002</v>
      </c>
      <c r="N310" s="7" t="s">
        <v>20</v>
      </c>
      <c r="O310" s="9">
        <f>IFERROR(RawSalesTable_[[#This Row],[Profit]]/RawSalesTable_[[#This Row],[Revenue]],0)</f>
        <v>0.21658256207669641</v>
      </c>
    </row>
    <row r="311" spans="1:15">
      <c r="A311" s="7" t="s">
        <v>403</v>
      </c>
      <c r="B311" s="8">
        <v>45699</v>
      </c>
      <c r="C311" s="7" t="s">
        <v>22</v>
      </c>
      <c r="D311" s="7" t="s">
        <v>35</v>
      </c>
      <c r="E311" s="7" t="s">
        <v>49</v>
      </c>
      <c r="F311" s="7" t="s">
        <v>1590</v>
      </c>
      <c r="G311" s="7" t="s">
        <v>70</v>
      </c>
      <c r="H311">
        <v>2</v>
      </c>
      <c r="I311">
        <v>3881.29</v>
      </c>
      <c r="J311">
        <v>0</v>
      </c>
      <c r="K311">
        <v>7762.58</v>
      </c>
      <c r="L311">
        <v>4261.63</v>
      </c>
      <c r="M311">
        <v>3500.95</v>
      </c>
      <c r="N311" s="7" t="s">
        <v>33</v>
      </c>
      <c r="O311" s="9">
        <f>IFERROR(RawSalesTable_[[#This Row],[Profit]]/RawSalesTable_[[#This Row],[Revenue]],0)</f>
        <v>0.45100340350759666</v>
      </c>
    </row>
    <row r="312" spans="1:15">
      <c r="A312" s="7" t="s">
        <v>404</v>
      </c>
      <c r="B312" s="8">
        <v>45847</v>
      </c>
      <c r="C312" s="7" t="s">
        <v>28</v>
      </c>
      <c r="D312" s="7" t="s">
        <v>56</v>
      </c>
      <c r="E312" s="7" t="s">
        <v>49</v>
      </c>
      <c r="F312" s="7" t="s">
        <v>107</v>
      </c>
      <c r="G312" s="7" t="s">
        <v>25</v>
      </c>
      <c r="H312">
        <v>5</v>
      </c>
      <c r="I312">
        <v>4859.83</v>
      </c>
      <c r="J312">
        <v>0.1</v>
      </c>
      <c r="K312">
        <v>21869.24</v>
      </c>
      <c r="L312">
        <v>13461.21</v>
      </c>
      <c r="M312">
        <v>8408.0300000000007</v>
      </c>
      <c r="N312" s="7" t="s">
        <v>59</v>
      </c>
      <c r="O312" s="9">
        <f>IFERROR(RawSalesTable_[[#This Row],[Profit]]/RawSalesTable_[[#This Row],[Revenue]],0)</f>
        <v>0.38446832171579809</v>
      </c>
    </row>
    <row r="313" spans="1:15">
      <c r="A313" s="7" t="s">
        <v>405</v>
      </c>
      <c r="B313" s="8">
        <v>45946</v>
      </c>
      <c r="C313" s="7" t="s">
        <v>22</v>
      </c>
      <c r="D313" s="7" t="s">
        <v>35</v>
      </c>
      <c r="E313" s="7" t="s">
        <v>17</v>
      </c>
      <c r="F313" s="7" t="s">
        <v>18</v>
      </c>
      <c r="G313" s="7" t="s">
        <v>64</v>
      </c>
      <c r="H313">
        <v>8</v>
      </c>
      <c r="I313">
        <v>14418.93</v>
      </c>
      <c r="J313">
        <v>0</v>
      </c>
      <c r="K313">
        <v>115351.44</v>
      </c>
      <c r="L313">
        <v>67475.87</v>
      </c>
      <c r="M313">
        <v>47875.57</v>
      </c>
      <c r="N313" s="7" t="s">
        <v>26</v>
      </c>
      <c r="O313" s="9">
        <f>IFERROR(RawSalesTable_[[#This Row],[Profit]]/RawSalesTable_[[#This Row],[Revenue]],0)</f>
        <v>0.41504093923751623</v>
      </c>
    </row>
    <row r="314" spans="1:15">
      <c r="A314" s="7" t="s">
        <v>406</v>
      </c>
      <c r="B314" s="8">
        <v>45959</v>
      </c>
      <c r="C314" s="7" t="s">
        <v>15</v>
      </c>
      <c r="D314" s="7" t="s">
        <v>43</v>
      </c>
      <c r="E314" s="7" t="s">
        <v>17</v>
      </c>
      <c r="F314" s="7" t="s">
        <v>75</v>
      </c>
      <c r="G314" s="7" t="s">
        <v>47</v>
      </c>
      <c r="H314">
        <v>6</v>
      </c>
      <c r="I314">
        <v>194122.13</v>
      </c>
      <c r="J314">
        <v>0.05</v>
      </c>
      <c r="K314">
        <v>1106496.1399999999</v>
      </c>
      <c r="L314">
        <v>884332.88</v>
      </c>
      <c r="M314">
        <v>222163.26</v>
      </c>
      <c r="N314" s="7" t="s">
        <v>33</v>
      </c>
      <c r="O314" s="9">
        <f>IFERROR(RawSalesTable_[[#This Row],[Profit]]/RawSalesTable_[[#This Row],[Revenue]],0)</f>
        <v>0.20078087213209803</v>
      </c>
    </row>
    <row r="315" spans="1:15">
      <c r="A315" s="7" t="s">
        <v>407</v>
      </c>
      <c r="B315" s="8">
        <v>45675</v>
      </c>
      <c r="C315" s="7" t="s">
        <v>28</v>
      </c>
      <c r="D315" s="7" t="s">
        <v>29</v>
      </c>
      <c r="E315" s="7" t="s">
        <v>49</v>
      </c>
      <c r="F315" s="7" t="s">
        <v>107</v>
      </c>
      <c r="G315" s="7" t="s">
        <v>61</v>
      </c>
      <c r="H315">
        <v>4</v>
      </c>
      <c r="I315">
        <v>5180.25</v>
      </c>
      <c r="J315">
        <v>0</v>
      </c>
      <c r="K315">
        <v>20721</v>
      </c>
      <c r="L315">
        <v>10774.47</v>
      </c>
      <c r="M315">
        <v>9946.5300000000007</v>
      </c>
      <c r="N315" s="7" t="s">
        <v>33</v>
      </c>
      <c r="O315" s="9">
        <f>IFERROR(RawSalesTable_[[#This Row],[Profit]]/RawSalesTable_[[#This Row],[Revenue]],0)</f>
        <v>0.48002171709859565</v>
      </c>
    </row>
    <row r="316" spans="1:15">
      <c r="A316" s="7" t="s">
        <v>408</v>
      </c>
      <c r="B316" s="8">
        <v>46007</v>
      </c>
      <c r="C316" s="7" t="s">
        <v>28</v>
      </c>
      <c r="D316" s="7" t="s">
        <v>52</v>
      </c>
      <c r="E316" s="7" t="s">
        <v>44</v>
      </c>
      <c r="F316" s="7" t="s">
        <v>45</v>
      </c>
      <c r="G316" s="7" t="s">
        <v>25</v>
      </c>
      <c r="H316">
        <v>4</v>
      </c>
      <c r="I316">
        <v>26795.41</v>
      </c>
      <c r="J316">
        <v>0.05</v>
      </c>
      <c r="K316">
        <v>101822.56</v>
      </c>
      <c r="L316">
        <v>74136.92</v>
      </c>
      <c r="M316">
        <v>27685.64</v>
      </c>
      <c r="N316" s="7" t="s">
        <v>26</v>
      </c>
      <c r="O316" s="9">
        <f>IFERROR(RawSalesTable_[[#This Row],[Profit]]/RawSalesTable_[[#This Row],[Revenue]],0)</f>
        <v>0.27190084397799469</v>
      </c>
    </row>
    <row r="317" spans="1:15">
      <c r="A317" s="7" t="s">
        <v>409</v>
      </c>
      <c r="B317" s="8">
        <v>45824</v>
      </c>
      <c r="C317" s="7" t="s">
        <v>15</v>
      </c>
      <c r="D317" s="7" t="s">
        <v>16</v>
      </c>
      <c r="E317" s="7" t="s">
        <v>30</v>
      </c>
      <c r="F317" s="7" t="s">
        <v>38</v>
      </c>
      <c r="G317" s="7" t="s">
        <v>58</v>
      </c>
      <c r="H317">
        <v>2</v>
      </c>
      <c r="I317">
        <v>25215.96</v>
      </c>
      <c r="J317">
        <v>0.1</v>
      </c>
      <c r="K317">
        <v>45388.73</v>
      </c>
      <c r="L317">
        <v>35921.33</v>
      </c>
      <c r="M317">
        <v>9467.4</v>
      </c>
      <c r="N317" s="7" t="s">
        <v>20</v>
      </c>
      <c r="O317" s="9">
        <f>IFERROR(RawSalesTable_[[#This Row],[Profit]]/RawSalesTable_[[#This Row],[Revenue]],0)</f>
        <v>0.20858481830181191</v>
      </c>
    </row>
    <row r="318" spans="1:15">
      <c r="A318" s="7" t="s">
        <v>410</v>
      </c>
      <c r="B318" s="8">
        <v>45709</v>
      </c>
      <c r="C318" s="7" t="s">
        <v>22</v>
      </c>
      <c r="D318" s="7" t="s">
        <v>37</v>
      </c>
      <c r="E318" s="7" t="s">
        <v>49</v>
      </c>
      <c r="F318" s="7" t="s">
        <v>91</v>
      </c>
      <c r="G318" s="7" t="s">
        <v>19</v>
      </c>
      <c r="H318">
        <v>7</v>
      </c>
      <c r="I318">
        <v>6135.63</v>
      </c>
      <c r="J318">
        <v>0.1</v>
      </c>
      <c r="K318">
        <v>38654.47</v>
      </c>
      <c r="L318">
        <v>25481.119999999999</v>
      </c>
      <c r="M318">
        <v>13173.35</v>
      </c>
      <c r="N318" s="7" t="s">
        <v>33</v>
      </c>
      <c r="O318" s="9">
        <f>IFERROR(RawSalesTable_[[#This Row],[Profit]]/RawSalesTable_[[#This Row],[Revenue]],0)</f>
        <v>0.34079758434147461</v>
      </c>
    </row>
    <row r="319" spans="1:15">
      <c r="A319" s="7" t="s">
        <v>412</v>
      </c>
      <c r="B319" s="8">
        <v>45683</v>
      </c>
      <c r="C319" s="7" t="s">
        <v>28</v>
      </c>
      <c r="D319" s="7" t="s">
        <v>56</v>
      </c>
      <c r="E319" s="7" t="s">
        <v>44</v>
      </c>
      <c r="F319" s="7" t="s">
        <v>53</v>
      </c>
      <c r="G319" s="7" t="s">
        <v>70</v>
      </c>
      <c r="H319">
        <v>1</v>
      </c>
      <c r="I319">
        <v>8358.2800000000007</v>
      </c>
      <c r="J319">
        <v>0.05</v>
      </c>
      <c r="K319">
        <v>7940.37</v>
      </c>
      <c r="L319">
        <v>4989.8500000000004</v>
      </c>
      <c r="M319">
        <v>2950.52</v>
      </c>
      <c r="N319" s="7" t="s">
        <v>59</v>
      </c>
      <c r="O319" s="9">
        <f>IFERROR(RawSalesTable_[[#This Row],[Profit]]/RawSalesTable_[[#This Row],[Revenue]],0)</f>
        <v>0.37158469945355194</v>
      </c>
    </row>
    <row r="320" spans="1:15">
      <c r="A320" s="7" t="s">
        <v>413</v>
      </c>
      <c r="B320" s="8">
        <v>46008</v>
      </c>
      <c r="C320" s="7" t="s">
        <v>28</v>
      </c>
      <c r="D320" s="7" t="s">
        <v>52</v>
      </c>
      <c r="E320" s="7" t="s">
        <v>30</v>
      </c>
      <c r="F320" s="7" t="s">
        <v>38</v>
      </c>
      <c r="G320" s="7" t="s">
        <v>19</v>
      </c>
      <c r="H320">
        <v>5</v>
      </c>
      <c r="I320">
        <v>26051.1</v>
      </c>
      <c r="J320">
        <v>0.05</v>
      </c>
      <c r="K320">
        <v>123742.72</v>
      </c>
      <c r="L320">
        <v>92706.880000000005</v>
      </c>
      <c r="M320">
        <v>31035.84</v>
      </c>
      <c r="N320" s="7" t="s">
        <v>26</v>
      </c>
      <c r="O320" s="9">
        <f>IFERROR(RawSalesTable_[[#This Row],[Profit]]/RawSalesTable_[[#This Row],[Revenue]],0)</f>
        <v>0.25080942135424211</v>
      </c>
    </row>
    <row r="321" spans="1:15">
      <c r="A321" s="7" t="s">
        <v>414</v>
      </c>
      <c r="B321" s="8">
        <v>45754</v>
      </c>
      <c r="C321" s="7" t="s">
        <v>22</v>
      </c>
      <c r="D321" s="7" t="s">
        <v>35</v>
      </c>
      <c r="E321" s="7" t="s">
        <v>49</v>
      </c>
      <c r="F321" s="7" t="s">
        <v>57</v>
      </c>
      <c r="G321" s="7" t="s">
        <v>70</v>
      </c>
      <c r="H321">
        <v>5</v>
      </c>
      <c r="I321">
        <v>11920.99</v>
      </c>
      <c r="J321">
        <v>0.1</v>
      </c>
      <c r="K321">
        <v>53644.46</v>
      </c>
      <c r="L321">
        <v>32993.64</v>
      </c>
      <c r="M321">
        <v>20650.82</v>
      </c>
      <c r="N321" s="7" t="s">
        <v>26</v>
      </c>
      <c r="O321" s="9">
        <f>IFERROR(RawSalesTable_[[#This Row],[Profit]]/RawSalesTable_[[#This Row],[Revenue]],0)</f>
        <v>0.38495717917563155</v>
      </c>
    </row>
    <row r="322" spans="1:15">
      <c r="A322" s="7" t="s">
        <v>415</v>
      </c>
      <c r="B322" s="8">
        <v>46021</v>
      </c>
      <c r="C322" s="7" t="s">
        <v>28</v>
      </c>
      <c r="D322" s="7" t="s">
        <v>29</v>
      </c>
      <c r="E322" s="7" t="s">
        <v>49</v>
      </c>
      <c r="F322" s="7" t="s">
        <v>57</v>
      </c>
      <c r="G322" s="7" t="s">
        <v>25</v>
      </c>
      <c r="H322">
        <v>1</v>
      </c>
      <c r="I322">
        <v>11528.1</v>
      </c>
      <c r="J322">
        <v>0</v>
      </c>
      <c r="K322">
        <v>11528.1</v>
      </c>
      <c r="L322">
        <v>6334.86</v>
      </c>
      <c r="M322">
        <v>5193.24</v>
      </c>
      <c r="N322" s="7" t="s">
        <v>26</v>
      </c>
      <c r="O322" s="9">
        <f>IFERROR(RawSalesTable_[[#This Row],[Profit]]/RawSalesTable_[[#This Row],[Revenue]],0)</f>
        <v>0.45048533583157674</v>
      </c>
    </row>
    <row r="323" spans="1:15">
      <c r="A323" s="7" t="s">
        <v>416</v>
      </c>
      <c r="B323" s="8">
        <v>45785</v>
      </c>
      <c r="C323" s="7" t="s">
        <v>15</v>
      </c>
      <c r="D323" s="7" t="s">
        <v>43</v>
      </c>
      <c r="E323" s="7" t="s">
        <v>17</v>
      </c>
      <c r="F323" s="7" t="s">
        <v>24</v>
      </c>
      <c r="G323" s="7" t="s">
        <v>64</v>
      </c>
      <c r="H323">
        <v>4</v>
      </c>
      <c r="I323">
        <v>97522.66</v>
      </c>
      <c r="J323">
        <v>0</v>
      </c>
      <c r="K323">
        <v>390090.64</v>
      </c>
      <c r="L323">
        <v>279776.03999999998</v>
      </c>
      <c r="M323">
        <v>110314.6</v>
      </c>
      <c r="N323" s="7" t="s">
        <v>20</v>
      </c>
      <c r="O323" s="9">
        <f>IFERROR(RawSalesTable_[[#This Row],[Profit]]/RawSalesTable_[[#This Row],[Revenue]],0)</f>
        <v>0.28279222490444783</v>
      </c>
    </row>
    <row r="324" spans="1:15">
      <c r="A324" s="7" t="s">
        <v>417</v>
      </c>
      <c r="B324" s="8">
        <v>45721</v>
      </c>
      <c r="C324" s="7" t="s">
        <v>22</v>
      </c>
      <c r="D324" s="7" t="s">
        <v>35</v>
      </c>
      <c r="E324" s="7" t="s">
        <v>44</v>
      </c>
      <c r="F324" s="7" t="s">
        <v>69</v>
      </c>
      <c r="G324" s="7" t="s">
        <v>64</v>
      </c>
      <c r="H324">
        <v>6</v>
      </c>
      <c r="I324">
        <v>39966.92</v>
      </c>
      <c r="J324">
        <v>0.1</v>
      </c>
      <c r="K324">
        <v>215821.37</v>
      </c>
      <c r="L324">
        <v>155654.60999999999</v>
      </c>
      <c r="M324">
        <v>60166.76</v>
      </c>
      <c r="N324" s="7" t="s">
        <v>26</v>
      </c>
      <c r="O324" s="9">
        <f>IFERROR(RawSalesTable_[[#This Row],[Profit]]/RawSalesTable_[[#This Row],[Revenue]],0)</f>
        <v>0.2787803635942076</v>
      </c>
    </row>
    <row r="325" spans="1:15">
      <c r="A325" s="7" t="s">
        <v>418</v>
      </c>
      <c r="B325" s="8">
        <v>45790</v>
      </c>
      <c r="C325" s="7" t="s">
        <v>28</v>
      </c>
      <c r="D325" s="7" t="s">
        <v>56</v>
      </c>
      <c r="E325" s="7" t="s">
        <v>49</v>
      </c>
      <c r="F325" s="7" t="s">
        <v>1590</v>
      </c>
      <c r="G325" s="7" t="s">
        <v>19</v>
      </c>
      <c r="H325">
        <v>8</v>
      </c>
      <c r="I325">
        <v>4258.38</v>
      </c>
      <c r="J325">
        <v>0.05</v>
      </c>
      <c r="K325">
        <v>32363.69</v>
      </c>
      <c r="L325">
        <v>16700.84</v>
      </c>
      <c r="M325">
        <v>15662.85</v>
      </c>
      <c r="N325" s="7" t="s">
        <v>59</v>
      </c>
      <c r="O325" s="9">
        <f>IFERROR(RawSalesTable_[[#This Row],[Profit]]/RawSalesTable_[[#This Row],[Revenue]],0)</f>
        <v>0.48396366421752279</v>
      </c>
    </row>
    <row r="326" spans="1:15">
      <c r="A326" s="7" t="s">
        <v>419</v>
      </c>
      <c r="B326" s="8">
        <v>45763</v>
      </c>
      <c r="C326" s="7" t="s">
        <v>22</v>
      </c>
      <c r="D326" s="7" t="s">
        <v>35</v>
      </c>
      <c r="E326" s="7" t="s">
        <v>17</v>
      </c>
      <c r="F326" s="7" t="s">
        <v>24</v>
      </c>
      <c r="G326" s="7" t="s">
        <v>58</v>
      </c>
      <c r="H326">
        <v>4</v>
      </c>
      <c r="I326">
        <v>97256.68</v>
      </c>
      <c r="J326">
        <v>0.15</v>
      </c>
      <c r="K326">
        <v>330672.71000000002</v>
      </c>
      <c r="L326">
        <v>268126.13</v>
      </c>
      <c r="M326">
        <v>62546.58</v>
      </c>
      <c r="N326" s="7" t="s">
        <v>20</v>
      </c>
      <c r="O326" s="9">
        <f>IFERROR(RawSalesTable_[[#This Row],[Profit]]/RawSalesTable_[[#This Row],[Revenue]],0)</f>
        <v>0.18914950677363124</v>
      </c>
    </row>
    <row r="327" spans="1:15">
      <c r="A327" s="7" t="s">
        <v>420</v>
      </c>
      <c r="B327" s="8">
        <v>45772</v>
      </c>
      <c r="C327" s="7" t="s">
        <v>15</v>
      </c>
      <c r="D327" s="7" t="s">
        <v>16</v>
      </c>
      <c r="E327" s="7" t="s">
        <v>17</v>
      </c>
      <c r="F327" s="7" t="s">
        <v>114</v>
      </c>
      <c r="G327" s="7" t="s">
        <v>58</v>
      </c>
      <c r="H327">
        <v>3</v>
      </c>
      <c r="I327">
        <v>53226.13</v>
      </c>
      <c r="J327">
        <v>0.1</v>
      </c>
      <c r="K327">
        <v>143710.54999999999</v>
      </c>
      <c r="L327">
        <v>112353.63</v>
      </c>
      <c r="M327">
        <v>31356.92</v>
      </c>
      <c r="N327" s="7" t="s">
        <v>59</v>
      </c>
      <c r="O327" s="9">
        <f>IFERROR(RawSalesTable_[[#This Row],[Profit]]/RawSalesTable_[[#This Row],[Revenue]],0)</f>
        <v>0.21819497594296314</v>
      </c>
    </row>
    <row r="328" spans="1:15">
      <c r="A328" s="7" t="s">
        <v>421</v>
      </c>
      <c r="B328" s="8">
        <v>45896</v>
      </c>
      <c r="C328" s="7" t="s">
        <v>15</v>
      </c>
      <c r="D328" s="7" t="s">
        <v>43</v>
      </c>
      <c r="E328" s="7" t="s">
        <v>30</v>
      </c>
      <c r="F328" s="7" t="s">
        <v>40</v>
      </c>
      <c r="G328" s="7" t="s">
        <v>58</v>
      </c>
      <c r="H328">
        <v>7</v>
      </c>
      <c r="I328">
        <v>25878.22</v>
      </c>
      <c r="J328">
        <v>0.05</v>
      </c>
      <c r="K328">
        <v>172090.16</v>
      </c>
      <c r="L328">
        <v>109232.97</v>
      </c>
      <c r="M328">
        <v>62857.19</v>
      </c>
      <c r="N328" s="7" t="s">
        <v>20</v>
      </c>
      <c r="O328" s="9">
        <f>IFERROR(RawSalesTable_[[#This Row],[Profit]]/RawSalesTable_[[#This Row],[Revenue]],0)</f>
        <v>0.36525731628118657</v>
      </c>
    </row>
    <row r="329" spans="1:15">
      <c r="A329" s="7" t="s">
        <v>422</v>
      </c>
      <c r="B329" s="8">
        <v>45830</v>
      </c>
      <c r="C329" s="7" t="s">
        <v>15</v>
      </c>
      <c r="D329" s="7" t="s">
        <v>16</v>
      </c>
      <c r="E329" s="7" t="s">
        <v>17</v>
      </c>
      <c r="F329" s="7" t="s">
        <v>18</v>
      </c>
      <c r="G329" s="7" t="s">
        <v>58</v>
      </c>
      <c r="H329">
        <v>5</v>
      </c>
      <c r="I329">
        <v>14032.46</v>
      </c>
      <c r="J329">
        <v>0</v>
      </c>
      <c r="K329">
        <v>70162.3</v>
      </c>
      <c r="L329">
        <v>41152.589999999997</v>
      </c>
      <c r="M329">
        <v>29009.71</v>
      </c>
      <c r="N329" s="7" t="s">
        <v>59</v>
      </c>
      <c r="O329" s="9">
        <f>IFERROR(RawSalesTable_[[#This Row],[Profit]]/RawSalesTable_[[#This Row],[Revenue]],0)</f>
        <v>0.41346577863040407</v>
      </c>
    </row>
    <row r="330" spans="1:15">
      <c r="A330" s="7" t="s">
        <v>423</v>
      </c>
      <c r="B330" s="8">
        <v>45965</v>
      </c>
      <c r="C330" s="7" t="s">
        <v>28</v>
      </c>
      <c r="D330" s="7" t="s">
        <v>56</v>
      </c>
      <c r="E330" s="7" t="s">
        <v>30</v>
      </c>
      <c r="F330" s="7" t="s">
        <v>86</v>
      </c>
      <c r="G330" s="7" t="s">
        <v>25</v>
      </c>
      <c r="H330">
        <v>3</v>
      </c>
      <c r="I330">
        <v>33091.31</v>
      </c>
      <c r="J330">
        <v>0</v>
      </c>
      <c r="K330">
        <v>99273.93</v>
      </c>
      <c r="L330">
        <v>69726.02</v>
      </c>
      <c r="M330">
        <v>29547.91</v>
      </c>
      <c r="N330" s="7" t="s">
        <v>59</v>
      </c>
      <c r="O330" s="9">
        <f>IFERROR(RawSalesTable_[[#This Row],[Profit]]/RawSalesTable_[[#This Row],[Revenue]],0)</f>
        <v>0.29764017602607251</v>
      </c>
    </row>
    <row r="331" spans="1:15">
      <c r="A331" s="7" t="s">
        <v>424</v>
      </c>
      <c r="B331" s="8">
        <v>45676</v>
      </c>
      <c r="C331" s="7" t="s">
        <v>15</v>
      </c>
      <c r="D331" s="7" t="s">
        <v>16</v>
      </c>
      <c r="E331" s="7" t="s">
        <v>17</v>
      </c>
      <c r="F331" s="7" t="s">
        <v>114</v>
      </c>
      <c r="G331" s="7" t="s">
        <v>47</v>
      </c>
      <c r="H331">
        <v>5</v>
      </c>
      <c r="I331">
        <v>49998.43</v>
      </c>
      <c r="J331">
        <v>0.05</v>
      </c>
      <c r="K331">
        <v>237492.54</v>
      </c>
      <c r="L331">
        <v>182193.75</v>
      </c>
      <c r="M331">
        <v>55298.79</v>
      </c>
      <c r="N331" s="7" t="s">
        <v>59</v>
      </c>
      <c r="O331" s="9">
        <f>IFERROR(RawSalesTable_[[#This Row],[Profit]]/RawSalesTable_[[#This Row],[Revenue]],0)</f>
        <v>0.23284432428909135</v>
      </c>
    </row>
    <row r="332" spans="1:15">
      <c r="A332" s="7" t="s">
        <v>425</v>
      </c>
      <c r="B332" s="8">
        <v>45943</v>
      </c>
      <c r="C332" s="7" t="s">
        <v>15</v>
      </c>
      <c r="D332" s="7" t="s">
        <v>43</v>
      </c>
      <c r="E332" s="7" t="s">
        <v>44</v>
      </c>
      <c r="F332" s="7" t="s">
        <v>53</v>
      </c>
      <c r="G332" s="7" t="s">
        <v>61</v>
      </c>
      <c r="H332">
        <v>6</v>
      </c>
      <c r="I332">
        <v>8509.9500000000007</v>
      </c>
      <c r="J332">
        <v>0</v>
      </c>
      <c r="K332">
        <v>51059.7</v>
      </c>
      <c r="L332">
        <v>30248.03</v>
      </c>
      <c r="M332">
        <v>20811.669999999998</v>
      </c>
      <c r="N332" s="7" t="s">
        <v>59</v>
      </c>
      <c r="O332" s="9">
        <f>IFERROR(RawSalesTable_[[#This Row],[Profit]]/RawSalesTable_[[#This Row],[Revenue]],0)</f>
        <v>0.40759483506561928</v>
      </c>
    </row>
    <row r="333" spans="1:15">
      <c r="A333" s="7" t="s">
        <v>426</v>
      </c>
      <c r="B333" s="8">
        <v>45771</v>
      </c>
      <c r="C333" s="7" t="s">
        <v>22</v>
      </c>
      <c r="D333" s="7" t="s">
        <v>35</v>
      </c>
      <c r="E333" s="7" t="s">
        <v>44</v>
      </c>
      <c r="F333" s="7" t="s">
        <v>69</v>
      </c>
      <c r="G333" s="7" t="s">
        <v>32</v>
      </c>
      <c r="H333">
        <v>3</v>
      </c>
      <c r="I333">
        <v>40717.29</v>
      </c>
      <c r="J333">
        <v>0.05</v>
      </c>
      <c r="K333">
        <v>116044.28</v>
      </c>
      <c r="L333">
        <v>79233.210000000006</v>
      </c>
      <c r="M333">
        <v>36811.07</v>
      </c>
      <c r="N333" s="7" t="s">
        <v>26</v>
      </c>
      <c r="O333" s="9">
        <f>IFERROR(RawSalesTable_[[#This Row],[Profit]]/RawSalesTable_[[#This Row],[Revenue]],0)</f>
        <v>0.31721572144702004</v>
      </c>
    </row>
    <row r="334" spans="1:15">
      <c r="A334" s="7" t="s">
        <v>427</v>
      </c>
      <c r="B334" s="8">
        <v>45718</v>
      </c>
      <c r="C334" s="7" t="s">
        <v>15</v>
      </c>
      <c r="D334" s="7" t="s">
        <v>63</v>
      </c>
      <c r="E334" s="7" t="s">
        <v>49</v>
      </c>
      <c r="F334" s="7" t="s">
        <v>57</v>
      </c>
      <c r="G334" s="7" t="s">
        <v>70</v>
      </c>
      <c r="H334">
        <v>6</v>
      </c>
      <c r="I334">
        <v>11059.43</v>
      </c>
      <c r="J334">
        <v>0.05</v>
      </c>
      <c r="K334">
        <v>63038.75</v>
      </c>
      <c r="L334">
        <v>39096.07</v>
      </c>
      <c r="M334">
        <v>23942.68</v>
      </c>
      <c r="N334" s="7" t="s">
        <v>33</v>
      </c>
      <c r="O334" s="9">
        <f>IFERROR(RawSalesTable_[[#This Row],[Profit]]/RawSalesTable_[[#This Row],[Revenue]],0)</f>
        <v>0.37980892704883901</v>
      </c>
    </row>
    <row r="335" spans="1:15">
      <c r="A335" s="7" t="s">
        <v>429</v>
      </c>
      <c r="B335" s="8">
        <v>45810</v>
      </c>
      <c r="C335" s="7" t="s">
        <v>15</v>
      </c>
      <c r="D335" s="7" t="s">
        <v>43</v>
      </c>
      <c r="E335" s="7" t="s">
        <v>17</v>
      </c>
      <c r="F335" s="7" t="s">
        <v>114</v>
      </c>
      <c r="G335" s="7" t="s">
        <v>25</v>
      </c>
      <c r="H335">
        <v>4</v>
      </c>
      <c r="I335">
        <v>52003.97</v>
      </c>
      <c r="J335">
        <v>0.15</v>
      </c>
      <c r="K335">
        <v>176813.5</v>
      </c>
      <c r="L335">
        <v>145520.66</v>
      </c>
      <c r="M335">
        <v>31292.84</v>
      </c>
      <c r="N335" s="7" t="s">
        <v>33</v>
      </c>
      <c r="O335" s="9">
        <f>IFERROR(RawSalesTable_[[#This Row],[Profit]]/RawSalesTable_[[#This Row],[Revenue]],0)</f>
        <v>0.17698218744609434</v>
      </c>
    </row>
    <row r="336" spans="1:15">
      <c r="A336" s="7" t="s">
        <v>430</v>
      </c>
      <c r="B336" s="8">
        <v>45750</v>
      </c>
      <c r="C336" s="7" t="s">
        <v>22</v>
      </c>
      <c r="D336" s="7" t="s">
        <v>23</v>
      </c>
      <c r="E336" s="7" t="s">
        <v>44</v>
      </c>
      <c r="F336" s="7" t="s">
        <v>69</v>
      </c>
      <c r="G336" s="7" t="s">
        <v>19</v>
      </c>
      <c r="H336">
        <v>7</v>
      </c>
      <c r="I336">
        <v>40962.120000000003</v>
      </c>
      <c r="J336">
        <v>0.05</v>
      </c>
      <c r="K336">
        <v>272398.09999999998</v>
      </c>
      <c r="L336">
        <v>178364.68</v>
      </c>
      <c r="M336">
        <v>94033.42</v>
      </c>
      <c r="N336" s="7" t="s">
        <v>20</v>
      </c>
      <c r="O336" s="9">
        <f>IFERROR(RawSalesTable_[[#This Row],[Profit]]/RawSalesTable_[[#This Row],[Revenue]],0)</f>
        <v>0.34520585863117254</v>
      </c>
    </row>
    <row r="337" spans="1:15">
      <c r="A337" s="7" t="s">
        <v>431</v>
      </c>
      <c r="B337" s="8">
        <v>45744</v>
      </c>
      <c r="C337" s="7" t="s">
        <v>28</v>
      </c>
      <c r="D337" s="7" t="s">
        <v>29</v>
      </c>
      <c r="E337" s="7" t="s">
        <v>44</v>
      </c>
      <c r="F337" s="7" t="s">
        <v>69</v>
      </c>
      <c r="G337" s="7" t="s">
        <v>61</v>
      </c>
      <c r="H337">
        <v>1</v>
      </c>
      <c r="I337">
        <v>34988.660000000003</v>
      </c>
      <c r="J337">
        <v>0.05</v>
      </c>
      <c r="K337">
        <v>33239.230000000003</v>
      </c>
      <c r="L337">
        <v>25601.08</v>
      </c>
      <c r="M337">
        <v>7638.15</v>
      </c>
      <c r="N337" s="7" t="s">
        <v>20</v>
      </c>
      <c r="O337" s="9">
        <f>IFERROR(RawSalesTable_[[#This Row],[Profit]]/RawSalesTable_[[#This Row],[Revenue]],0)</f>
        <v>0.22979322926553952</v>
      </c>
    </row>
    <row r="338" spans="1:15">
      <c r="A338" s="7" t="s">
        <v>432</v>
      </c>
      <c r="B338" s="8">
        <v>45677</v>
      </c>
      <c r="C338" s="7" t="s">
        <v>22</v>
      </c>
      <c r="D338" s="7" t="s">
        <v>23</v>
      </c>
      <c r="E338" s="7" t="s">
        <v>49</v>
      </c>
      <c r="F338" s="7" t="s">
        <v>107</v>
      </c>
      <c r="G338" s="7" t="s">
        <v>47</v>
      </c>
      <c r="H338">
        <v>7</v>
      </c>
      <c r="I338">
        <v>5140.95</v>
      </c>
      <c r="J338">
        <v>0.05</v>
      </c>
      <c r="K338">
        <v>34187.32</v>
      </c>
      <c r="L338">
        <v>18840.13</v>
      </c>
      <c r="M338">
        <v>15347.19</v>
      </c>
      <c r="N338" s="7" t="s">
        <v>59</v>
      </c>
      <c r="O338" s="9">
        <f>IFERROR(RawSalesTable_[[#This Row],[Profit]]/RawSalesTable_[[#This Row],[Revenue]],0)</f>
        <v>0.44891468532777651</v>
      </c>
    </row>
    <row r="339" spans="1:15">
      <c r="A339" s="7" t="s">
        <v>433</v>
      </c>
      <c r="B339" s="8">
        <v>45834</v>
      </c>
      <c r="C339" s="7" t="s">
        <v>22</v>
      </c>
      <c r="D339" s="7" t="s">
        <v>35</v>
      </c>
      <c r="E339" s="7" t="s">
        <v>44</v>
      </c>
      <c r="F339" s="7" t="s">
        <v>80</v>
      </c>
      <c r="G339" s="7" t="s">
        <v>58</v>
      </c>
      <c r="H339">
        <v>1</v>
      </c>
      <c r="I339">
        <v>43871.61</v>
      </c>
      <c r="J339">
        <v>0</v>
      </c>
      <c r="K339">
        <v>43871.61</v>
      </c>
      <c r="L339">
        <v>30561</v>
      </c>
      <c r="M339">
        <v>13310.61</v>
      </c>
      <c r="N339" s="7" t="s">
        <v>26</v>
      </c>
      <c r="O339" s="9">
        <f>IFERROR(RawSalesTable_[[#This Row],[Profit]]/RawSalesTable_[[#This Row],[Revenue]],0)</f>
        <v>0.3033991686195241</v>
      </c>
    </row>
    <row r="340" spans="1:15">
      <c r="A340" s="7" t="s">
        <v>434</v>
      </c>
      <c r="B340" s="8">
        <v>45891</v>
      </c>
      <c r="C340" s="7" t="s">
        <v>22</v>
      </c>
      <c r="D340" s="7" t="s">
        <v>35</v>
      </c>
      <c r="E340" s="7" t="s">
        <v>30</v>
      </c>
      <c r="F340" s="7" t="s">
        <v>86</v>
      </c>
      <c r="G340" s="7" t="s">
        <v>32</v>
      </c>
      <c r="H340">
        <v>2</v>
      </c>
      <c r="I340">
        <v>34709.9</v>
      </c>
      <c r="J340">
        <v>0.05</v>
      </c>
      <c r="K340">
        <v>65948.81</v>
      </c>
      <c r="L340">
        <v>46637.66</v>
      </c>
      <c r="M340">
        <v>19311.150000000001</v>
      </c>
      <c r="N340" s="7" t="s">
        <v>20</v>
      </c>
      <c r="O340" s="9">
        <f>IFERROR(RawSalesTable_[[#This Row],[Profit]]/RawSalesTable_[[#This Row],[Revenue]],0)</f>
        <v>0.29282029501366291</v>
      </c>
    </row>
    <row r="341" spans="1:15">
      <c r="A341" s="7" t="s">
        <v>435</v>
      </c>
      <c r="B341" s="8">
        <v>45864</v>
      </c>
      <c r="C341" s="7" t="s">
        <v>15</v>
      </c>
      <c r="D341" s="7" t="s">
        <v>16</v>
      </c>
      <c r="E341" s="7" t="s">
        <v>30</v>
      </c>
      <c r="F341" s="7" t="s">
        <v>40</v>
      </c>
      <c r="G341" s="7" t="s">
        <v>64</v>
      </c>
      <c r="H341">
        <v>6</v>
      </c>
      <c r="I341">
        <v>25480.45</v>
      </c>
      <c r="J341">
        <v>0</v>
      </c>
      <c r="K341">
        <v>152882.70000000001</v>
      </c>
      <c r="L341">
        <v>98247.49</v>
      </c>
      <c r="M341">
        <v>54635.21</v>
      </c>
      <c r="N341" s="7" t="s">
        <v>26</v>
      </c>
      <c r="O341" s="9">
        <f>IFERROR(RawSalesTable_[[#This Row],[Profit]]/RawSalesTable_[[#This Row],[Revenue]],0)</f>
        <v>0.35736685707408355</v>
      </c>
    </row>
    <row r="342" spans="1:15">
      <c r="A342" s="7" t="s">
        <v>437</v>
      </c>
      <c r="B342" s="8">
        <v>45717</v>
      </c>
      <c r="C342" s="7" t="s">
        <v>15</v>
      </c>
      <c r="D342" s="7" t="s">
        <v>63</v>
      </c>
      <c r="E342" s="7" t="s">
        <v>17</v>
      </c>
      <c r="F342" s="7" t="s">
        <v>75</v>
      </c>
      <c r="G342" s="7" t="s">
        <v>25</v>
      </c>
      <c r="H342">
        <v>2</v>
      </c>
      <c r="I342">
        <v>189545.60000000001</v>
      </c>
      <c r="J342">
        <v>0</v>
      </c>
      <c r="K342">
        <v>379091.20000000001</v>
      </c>
      <c r="L342">
        <v>276438.90999999997</v>
      </c>
      <c r="M342">
        <v>102652.29</v>
      </c>
      <c r="N342" s="7" t="s">
        <v>20</v>
      </c>
      <c r="O342" s="9">
        <f>IFERROR(RawSalesTable_[[#This Row],[Profit]]/RawSalesTable_[[#This Row],[Revenue]],0)</f>
        <v>0.27078520946938361</v>
      </c>
    </row>
    <row r="343" spans="1:15">
      <c r="A343" s="7" t="s">
        <v>438</v>
      </c>
      <c r="B343" s="8">
        <v>45812</v>
      </c>
      <c r="C343" s="7" t="s">
        <v>28</v>
      </c>
      <c r="D343" s="7" t="s">
        <v>52</v>
      </c>
      <c r="E343" s="7" t="s">
        <v>30</v>
      </c>
      <c r="F343" s="7" t="s">
        <v>40</v>
      </c>
      <c r="G343" s="7" t="s">
        <v>25</v>
      </c>
      <c r="H343">
        <v>3</v>
      </c>
      <c r="I343">
        <v>23345.54</v>
      </c>
      <c r="J343">
        <v>0.15</v>
      </c>
      <c r="K343">
        <v>59531.13</v>
      </c>
      <c r="L343">
        <v>48069.37</v>
      </c>
      <c r="M343">
        <v>11461.76</v>
      </c>
      <c r="N343" s="7" t="s">
        <v>33</v>
      </c>
      <c r="O343" s="9">
        <f>IFERROR(RawSalesTable_[[#This Row],[Profit]]/RawSalesTable_[[#This Row],[Revenue]],0)</f>
        <v>0.19253388941214455</v>
      </c>
    </row>
    <row r="344" spans="1:15">
      <c r="A344" s="7" t="s">
        <v>439</v>
      </c>
      <c r="B344" s="8">
        <v>45974</v>
      </c>
      <c r="C344" s="7" t="s">
        <v>15</v>
      </c>
      <c r="D344" s="7" t="s">
        <v>43</v>
      </c>
      <c r="E344" s="7" t="s">
        <v>30</v>
      </c>
      <c r="F344" s="7" t="s">
        <v>86</v>
      </c>
      <c r="G344" s="7" t="s">
        <v>19</v>
      </c>
      <c r="H344">
        <v>7</v>
      </c>
      <c r="I344">
        <v>34745.85</v>
      </c>
      <c r="J344">
        <v>0</v>
      </c>
      <c r="K344">
        <v>243220.95</v>
      </c>
      <c r="L344">
        <v>158415.22</v>
      </c>
      <c r="M344">
        <v>84805.73</v>
      </c>
      <c r="N344" s="7" t="s">
        <v>59</v>
      </c>
      <c r="O344" s="9">
        <f>IFERROR(RawSalesTable_[[#This Row],[Profit]]/RawSalesTable_[[#This Row],[Revenue]],0)</f>
        <v>0.34867773520332024</v>
      </c>
    </row>
    <row r="345" spans="1:15">
      <c r="A345" s="7" t="s">
        <v>440</v>
      </c>
      <c r="B345" s="8">
        <v>45841</v>
      </c>
      <c r="C345" s="7" t="s">
        <v>22</v>
      </c>
      <c r="D345" s="7" t="s">
        <v>23</v>
      </c>
      <c r="E345" s="7" t="s">
        <v>49</v>
      </c>
      <c r="F345" s="7" t="s">
        <v>1590</v>
      </c>
      <c r="G345" s="7" t="s">
        <v>25</v>
      </c>
      <c r="H345">
        <v>4</v>
      </c>
      <c r="I345">
        <v>4386.79</v>
      </c>
      <c r="J345">
        <v>0.1</v>
      </c>
      <c r="K345">
        <v>15792.44</v>
      </c>
      <c r="L345">
        <v>8720.19</v>
      </c>
      <c r="M345">
        <v>7072.25</v>
      </c>
      <c r="N345" s="7" t="s">
        <v>59</v>
      </c>
      <c r="O345" s="9">
        <f>IFERROR(RawSalesTable_[[#This Row],[Profit]]/RawSalesTable_[[#This Row],[Revenue]],0)</f>
        <v>0.44782503527004058</v>
      </c>
    </row>
    <row r="346" spans="1:15">
      <c r="A346" s="7" t="s">
        <v>441</v>
      </c>
      <c r="B346" s="8">
        <v>45703</v>
      </c>
      <c r="C346" s="7" t="s">
        <v>22</v>
      </c>
      <c r="D346" s="7" t="s">
        <v>23</v>
      </c>
      <c r="E346" s="7" t="s">
        <v>49</v>
      </c>
      <c r="F346" s="7" t="s">
        <v>1590</v>
      </c>
      <c r="G346" s="7" t="s">
        <v>19</v>
      </c>
      <c r="H346">
        <v>8</v>
      </c>
      <c r="I346">
        <v>4086.17</v>
      </c>
      <c r="J346">
        <v>0</v>
      </c>
      <c r="K346">
        <v>32689.360000000001</v>
      </c>
      <c r="L346">
        <v>16310.99</v>
      </c>
      <c r="M346">
        <v>16378.37</v>
      </c>
      <c r="N346" s="7" t="s">
        <v>20</v>
      </c>
      <c r="O346" s="9">
        <f>IFERROR(RawSalesTable_[[#This Row],[Profit]]/RawSalesTable_[[#This Row],[Revenue]],0)</f>
        <v>0.50103061057175791</v>
      </c>
    </row>
    <row r="347" spans="1:15">
      <c r="A347" s="7" t="s">
        <v>442</v>
      </c>
      <c r="B347" s="8">
        <v>45809</v>
      </c>
      <c r="C347" s="7" t="s">
        <v>22</v>
      </c>
      <c r="D347" s="7" t="s">
        <v>23</v>
      </c>
      <c r="E347" s="7" t="s">
        <v>17</v>
      </c>
      <c r="F347" s="7" t="s">
        <v>75</v>
      </c>
      <c r="G347" s="7" t="s">
        <v>58</v>
      </c>
      <c r="H347">
        <v>5</v>
      </c>
      <c r="I347">
        <v>189272.37</v>
      </c>
      <c r="J347">
        <v>0.05</v>
      </c>
      <c r="K347">
        <v>899043.76</v>
      </c>
      <c r="L347">
        <v>737836.7</v>
      </c>
      <c r="M347">
        <v>161207.06</v>
      </c>
      <c r="N347" s="7" t="s">
        <v>20</v>
      </c>
      <c r="O347" s="9">
        <f>IFERROR(RawSalesTable_[[#This Row],[Profit]]/RawSalesTable_[[#This Row],[Revenue]],0)</f>
        <v>0.17930946987497026</v>
      </c>
    </row>
    <row r="348" spans="1:15">
      <c r="A348" s="7" t="s">
        <v>443</v>
      </c>
      <c r="B348" s="8">
        <v>45717</v>
      </c>
      <c r="C348" s="7" t="s">
        <v>22</v>
      </c>
      <c r="D348" s="7" t="s">
        <v>23</v>
      </c>
      <c r="E348" s="7" t="s">
        <v>44</v>
      </c>
      <c r="F348" s="7" t="s">
        <v>80</v>
      </c>
      <c r="G348" s="7" t="s">
        <v>19</v>
      </c>
      <c r="H348">
        <v>5</v>
      </c>
      <c r="I348">
        <v>42038.28</v>
      </c>
      <c r="J348">
        <v>0.15</v>
      </c>
      <c r="K348">
        <v>178662.69</v>
      </c>
      <c r="L348">
        <v>153742.87</v>
      </c>
      <c r="M348">
        <v>24919.82</v>
      </c>
      <c r="N348" s="7" t="s">
        <v>33</v>
      </c>
      <c r="O348" s="9">
        <f>IFERROR(RawSalesTable_[[#This Row],[Profit]]/RawSalesTable_[[#This Row],[Revenue]],0)</f>
        <v>0.13947970894202924</v>
      </c>
    </row>
    <row r="349" spans="1:15">
      <c r="A349" s="7" t="s">
        <v>444</v>
      </c>
      <c r="B349" s="8">
        <v>45705</v>
      </c>
      <c r="C349" s="7" t="s">
        <v>22</v>
      </c>
      <c r="D349" s="7" t="s">
        <v>23</v>
      </c>
      <c r="E349" s="7" t="s">
        <v>44</v>
      </c>
      <c r="F349" s="7" t="s">
        <v>69</v>
      </c>
      <c r="G349" s="7" t="s">
        <v>32</v>
      </c>
      <c r="H349">
        <v>6</v>
      </c>
      <c r="I349">
        <v>40398.730000000003</v>
      </c>
      <c r="J349">
        <v>0.1</v>
      </c>
      <c r="K349">
        <v>218153.14</v>
      </c>
      <c r="L349">
        <v>154249.94</v>
      </c>
      <c r="M349">
        <v>63903.199999999997</v>
      </c>
      <c r="N349" s="7" t="s">
        <v>59</v>
      </c>
      <c r="O349" s="9">
        <f>IFERROR(RawSalesTable_[[#This Row],[Profit]]/RawSalesTable_[[#This Row],[Revenue]],0)</f>
        <v>0.29292816963349688</v>
      </c>
    </row>
    <row r="350" spans="1:15">
      <c r="A350" s="7" t="s">
        <v>445</v>
      </c>
      <c r="B350" s="8">
        <v>45902</v>
      </c>
      <c r="C350" s="7" t="s">
        <v>22</v>
      </c>
      <c r="D350" s="7" t="s">
        <v>23</v>
      </c>
      <c r="E350" s="7" t="s">
        <v>49</v>
      </c>
      <c r="F350" s="7" t="s">
        <v>107</v>
      </c>
      <c r="G350" s="7" t="s">
        <v>25</v>
      </c>
      <c r="H350">
        <v>8</v>
      </c>
      <c r="I350">
        <v>5010.17</v>
      </c>
      <c r="J350">
        <v>0.05</v>
      </c>
      <c r="K350">
        <v>38077.29</v>
      </c>
      <c r="L350">
        <v>21995.13</v>
      </c>
      <c r="M350">
        <v>16082.16</v>
      </c>
      <c r="N350" s="7" t="s">
        <v>26</v>
      </c>
      <c r="O350" s="9">
        <f>IFERROR(RawSalesTable_[[#This Row],[Profit]]/RawSalesTable_[[#This Row],[Revenue]],0)</f>
        <v>0.42235568760276793</v>
      </c>
    </row>
    <row r="351" spans="1:15">
      <c r="A351" s="7" t="s">
        <v>446</v>
      </c>
      <c r="B351" s="8">
        <v>45949</v>
      </c>
      <c r="C351" s="7" t="s">
        <v>22</v>
      </c>
      <c r="D351" s="7" t="s">
        <v>23</v>
      </c>
      <c r="E351" s="7" t="s">
        <v>17</v>
      </c>
      <c r="F351" s="7" t="s">
        <v>24</v>
      </c>
      <c r="G351" s="7" t="s">
        <v>70</v>
      </c>
      <c r="H351">
        <v>2</v>
      </c>
      <c r="I351">
        <v>90763.93</v>
      </c>
      <c r="J351">
        <v>0.1</v>
      </c>
      <c r="K351">
        <v>163375.07</v>
      </c>
      <c r="L351">
        <v>136515.06</v>
      </c>
      <c r="M351">
        <v>26860.01</v>
      </c>
      <c r="N351" s="7" t="s">
        <v>26</v>
      </c>
      <c r="O351" s="9">
        <f>IFERROR(RawSalesTable_[[#This Row],[Profit]]/RawSalesTable_[[#This Row],[Revenue]],0)</f>
        <v>0.16440702978734759</v>
      </c>
    </row>
    <row r="352" spans="1:15">
      <c r="A352" s="7" t="s">
        <v>447</v>
      </c>
      <c r="B352" s="8">
        <v>45868</v>
      </c>
      <c r="C352" s="7" t="s">
        <v>15</v>
      </c>
      <c r="D352" s="7" t="s">
        <v>63</v>
      </c>
      <c r="E352" s="7" t="s">
        <v>30</v>
      </c>
      <c r="F352" s="7" t="s">
        <v>31</v>
      </c>
      <c r="G352" s="7" t="s">
        <v>70</v>
      </c>
      <c r="H352">
        <v>3</v>
      </c>
      <c r="I352">
        <v>134634.51999999999</v>
      </c>
      <c r="J352">
        <v>0.05</v>
      </c>
      <c r="K352">
        <v>383708.38</v>
      </c>
      <c r="L352">
        <v>296305.40000000002</v>
      </c>
      <c r="M352">
        <v>87402.98</v>
      </c>
      <c r="N352" s="7" t="s">
        <v>59</v>
      </c>
      <c r="O352" s="9">
        <f>IFERROR(RawSalesTable_[[#This Row],[Profit]]/RawSalesTable_[[#This Row],[Revenue]],0)</f>
        <v>0.22778491311552798</v>
      </c>
    </row>
    <row r="353" spans="1:15">
      <c r="A353" s="7" t="s">
        <v>448</v>
      </c>
      <c r="B353" s="8">
        <v>45923</v>
      </c>
      <c r="C353" s="7" t="s">
        <v>22</v>
      </c>
      <c r="D353" s="7" t="s">
        <v>35</v>
      </c>
      <c r="E353" s="7" t="s">
        <v>30</v>
      </c>
      <c r="F353" s="7" t="s">
        <v>31</v>
      </c>
      <c r="G353" s="7" t="s">
        <v>19</v>
      </c>
      <c r="H353">
        <v>4</v>
      </c>
      <c r="I353">
        <v>145322.54</v>
      </c>
      <c r="J353">
        <v>0.15</v>
      </c>
      <c r="K353">
        <v>494096.64000000001</v>
      </c>
      <c r="L353">
        <v>416572.5</v>
      </c>
      <c r="M353">
        <v>77524.14</v>
      </c>
      <c r="N353" s="7" t="s">
        <v>20</v>
      </c>
      <c r="O353" s="9">
        <f>IFERROR(RawSalesTable_[[#This Row],[Profit]]/RawSalesTable_[[#This Row],[Revenue]],0)</f>
        <v>0.15690076338102601</v>
      </c>
    </row>
    <row r="354" spans="1:15">
      <c r="A354" s="7" t="s">
        <v>449</v>
      </c>
      <c r="B354" s="8">
        <v>45943</v>
      </c>
      <c r="C354" s="7" t="s">
        <v>15</v>
      </c>
      <c r="D354" s="7" t="s">
        <v>43</v>
      </c>
      <c r="E354" s="7" t="s">
        <v>44</v>
      </c>
      <c r="F354" s="7" t="s">
        <v>53</v>
      </c>
      <c r="G354" s="7" t="s">
        <v>64</v>
      </c>
      <c r="H354">
        <v>6</v>
      </c>
      <c r="I354">
        <v>8722.65</v>
      </c>
      <c r="J354">
        <v>0.15</v>
      </c>
      <c r="K354">
        <v>44485.51</v>
      </c>
      <c r="L354">
        <v>29310.080000000002</v>
      </c>
      <c r="M354">
        <v>15175.43</v>
      </c>
      <c r="N354" s="7" t="s">
        <v>33</v>
      </c>
      <c r="O354" s="9">
        <f>IFERROR(RawSalesTable_[[#This Row],[Profit]]/RawSalesTable_[[#This Row],[Revenue]],0)</f>
        <v>0.3411319775810146</v>
      </c>
    </row>
    <row r="355" spans="1:15">
      <c r="A355" s="7" t="s">
        <v>450</v>
      </c>
      <c r="B355" s="8">
        <v>45827</v>
      </c>
      <c r="C355" s="7" t="s">
        <v>15</v>
      </c>
      <c r="D355" s="7" t="s">
        <v>16</v>
      </c>
      <c r="E355" s="7" t="s">
        <v>49</v>
      </c>
      <c r="F355" s="7" t="s">
        <v>107</v>
      </c>
      <c r="G355" s="7" t="s">
        <v>58</v>
      </c>
      <c r="H355">
        <v>3</v>
      </c>
      <c r="I355">
        <v>4846.29</v>
      </c>
      <c r="J355">
        <v>0.05</v>
      </c>
      <c r="K355">
        <v>13811.93</v>
      </c>
      <c r="L355">
        <v>8038.8</v>
      </c>
      <c r="M355">
        <v>5773.13</v>
      </c>
      <c r="N355" s="7" t="s">
        <v>33</v>
      </c>
      <c r="O355" s="9">
        <f>IFERROR(RawSalesTable_[[#This Row],[Profit]]/RawSalesTable_[[#This Row],[Revenue]],0)</f>
        <v>0.41798141172160591</v>
      </c>
    </row>
    <row r="356" spans="1:15">
      <c r="A356" s="7" t="s">
        <v>451</v>
      </c>
      <c r="B356" s="8">
        <v>45887</v>
      </c>
      <c r="C356" s="7" t="s">
        <v>15</v>
      </c>
      <c r="D356" s="7" t="s">
        <v>16</v>
      </c>
      <c r="E356" s="7" t="s">
        <v>49</v>
      </c>
      <c r="F356" s="7" t="s">
        <v>107</v>
      </c>
      <c r="G356" s="7" t="s">
        <v>19</v>
      </c>
      <c r="H356">
        <v>4</v>
      </c>
      <c r="I356">
        <v>4849.59</v>
      </c>
      <c r="J356">
        <v>0.05</v>
      </c>
      <c r="K356">
        <v>18428.439999999999</v>
      </c>
      <c r="L356">
        <v>11081.75</v>
      </c>
      <c r="M356">
        <v>7346.69</v>
      </c>
      <c r="N356" s="7" t="s">
        <v>20</v>
      </c>
      <c r="O356" s="9">
        <f>IFERROR(RawSalesTable_[[#This Row],[Profit]]/RawSalesTable_[[#This Row],[Revenue]],0)</f>
        <v>0.39866044005895235</v>
      </c>
    </row>
    <row r="357" spans="1:15">
      <c r="A357" s="7" t="s">
        <v>453</v>
      </c>
      <c r="B357" s="8">
        <v>45939</v>
      </c>
      <c r="C357" s="7" t="s">
        <v>28</v>
      </c>
      <c r="D357" s="7" t="s">
        <v>56</v>
      </c>
      <c r="E357" s="7" t="s">
        <v>17</v>
      </c>
      <c r="F357" s="7" t="s">
        <v>114</v>
      </c>
      <c r="G357" s="7" t="s">
        <v>64</v>
      </c>
      <c r="H357">
        <v>1</v>
      </c>
      <c r="I357">
        <v>48693.99</v>
      </c>
      <c r="J357">
        <v>0.05</v>
      </c>
      <c r="K357">
        <v>46259.29</v>
      </c>
      <c r="L357">
        <v>35496.550000000003</v>
      </c>
      <c r="M357">
        <v>10762.74</v>
      </c>
      <c r="N357" s="7" t="s">
        <v>33</v>
      </c>
      <c r="O357" s="9">
        <f>IFERROR(RawSalesTable_[[#This Row],[Profit]]/RawSalesTable_[[#This Row],[Revenue]],0)</f>
        <v>0.23266115843974258</v>
      </c>
    </row>
    <row r="358" spans="1:15">
      <c r="A358" s="7" t="s">
        <v>454</v>
      </c>
      <c r="B358" s="8">
        <v>45772</v>
      </c>
      <c r="C358" s="7" t="s">
        <v>15</v>
      </c>
      <c r="D358" s="7" t="s">
        <v>43</v>
      </c>
      <c r="E358" s="7" t="s">
        <v>30</v>
      </c>
      <c r="F358" s="7" t="s">
        <v>86</v>
      </c>
      <c r="G358" s="7" t="s">
        <v>70</v>
      </c>
      <c r="H358">
        <v>8</v>
      </c>
      <c r="I358">
        <v>35377.879999999997</v>
      </c>
      <c r="J358">
        <v>0.05</v>
      </c>
      <c r="K358">
        <v>268871.89</v>
      </c>
      <c r="L358">
        <v>184998.92</v>
      </c>
      <c r="M358">
        <v>83872.97</v>
      </c>
      <c r="N358" s="7" t="s">
        <v>59</v>
      </c>
      <c r="O358" s="9">
        <f>IFERROR(RawSalesTable_[[#This Row],[Profit]]/RawSalesTable_[[#This Row],[Revenue]],0)</f>
        <v>0.31194398938468426</v>
      </c>
    </row>
    <row r="359" spans="1:15">
      <c r="A359" s="7" t="s">
        <v>455</v>
      </c>
      <c r="B359" s="8">
        <v>45832</v>
      </c>
      <c r="C359" s="7" t="s">
        <v>15</v>
      </c>
      <c r="D359" s="7" t="s">
        <v>43</v>
      </c>
      <c r="E359" s="7" t="s">
        <v>49</v>
      </c>
      <c r="F359" s="7" t="s">
        <v>57</v>
      </c>
      <c r="G359" s="7" t="s">
        <v>32</v>
      </c>
      <c r="H359">
        <v>8</v>
      </c>
      <c r="I359">
        <v>10789.8</v>
      </c>
      <c r="J359">
        <v>0.15</v>
      </c>
      <c r="K359">
        <v>73370.64</v>
      </c>
      <c r="L359">
        <v>51247.16</v>
      </c>
      <c r="M359">
        <v>22123.48</v>
      </c>
      <c r="N359" s="7" t="s">
        <v>59</v>
      </c>
      <c r="O359" s="9">
        <f>IFERROR(RawSalesTable_[[#This Row],[Profit]]/RawSalesTable_[[#This Row],[Revenue]],0)</f>
        <v>0.30153042143287834</v>
      </c>
    </row>
    <row r="360" spans="1:15">
      <c r="A360" s="7" t="s">
        <v>456</v>
      </c>
      <c r="B360" s="8">
        <v>45867</v>
      </c>
      <c r="C360" s="7" t="s">
        <v>15</v>
      </c>
      <c r="D360" s="7" t="s">
        <v>43</v>
      </c>
      <c r="E360" s="7" t="s">
        <v>30</v>
      </c>
      <c r="F360" s="7" t="s">
        <v>31</v>
      </c>
      <c r="G360" s="7" t="s">
        <v>19</v>
      </c>
      <c r="H360">
        <v>1</v>
      </c>
      <c r="I360">
        <v>143572.54999999999</v>
      </c>
      <c r="J360">
        <v>0.05</v>
      </c>
      <c r="K360">
        <v>136393.92000000001</v>
      </c>
      <c r="L360">
        <v>98962.98</v>
      </c>
      <c r="M360">
        <v>37430.94</v>
      </c>
      <c r="N360" s="7" t="s">
        <v>59</v>
      </c>
      <c r="O360" s="9">
        <f>IFERROR(RawSalesTable_[[#This Row],[Profit]]/RawSalesTable_[[#This Row],[Revenue]],0)</f>
        <v>0.27443261400508173</v>
      </c>
    </row>
    <row r="361" spans="1:15">
      <c r="A361" s="7" t="s">
        <v>457</v>
      </c>
      <c r="B361" s="8">
        <v>45713</v>
      </c>
      <c r="C361" s="7" t="s">
        <v>15</v>
      </c>
      <c r="D361" s="7" t="s">
        <v>16</v>
      </c>
      <c r="E361" s="7" t="s">
        <v>44</v>
      </c>
      <c r="F361" s="7" t="s">
        <v>80</v>
      </c>
      <c r="G361" s="7" t="s">
        <v>25</v>
      </c>
      <c r="H361">
        <v>7</v>
      </c>
      <c r="I361">
        <v>41043.26</v>
      </c>
      <c r="J361">
        <v>0</v>
      </c>
      <c r="K361">
        <v>287302.82</v>
      </c>
      <c r="L361">
        <v>221378.01</v>
      </c>
      <c r="M361">
        <v>65924.81</v>
      </c>
      <c r="N361" s="7" t="s">
        <v>33</v>
      </c>
      <c r="O361" s="9">
        <f>IFERROR(RawSalesTable_[[#This Row],[Profit]]/RawSalesTable_[[#This Row],[Revenue]],0)</f>
        <v>0.229461061328949</v>
      </c>
    </row>
    <row r="362" spans="1:15">
      <c r="A362" s="7" t="s">
        <v>458</v>
      </c>
      <c r="B362" s="8">
        <v>45913</v>
      </c>
      <c r="C362" s="7" t="s">
        <v>15</v>
      </c>
      <c r="D362" s="7" t="s">
        <v>43</v>
      </c>
      <c r="E362" s="7" t="s">
        <v>17</v>
      </c>
      <c r="F362" s="7" t="s">
        <v>114</v>
      </c>
      <c r="G362" s="7" t="s">
        <v>64</v>
      </c>
      <c r="H362">
        <v>8</v>
      </c>
      <c r="I362">
        <v>53318.36</v>
      </c>
      <c r="J362">
        <v>0.1</v>
      </c>
      <c r="K362">
        <v>383892.19</v>
      </c>
      <c r="L362">
        <v>285991.96000000002</v>
      </c>
      <c r="M362">
        <v>97900.23</v>
      </c>
      <c r="N362" s="7" t="s">
        <v>33</v>
      </c>
      <c r="O362" s="9">
        <f>IFERROR(RawSalesTable_[[#This Row],[Profit]]/RawSalesTable_[[#This Row],[Revenue]],0)</f>
        <v>0.25502011385019319</v>
      </c>
    </row>
    <row r="363" spans="1:15">
      <c r="A363" s="7" t="s">
        <v>459</v>
      </c>
      <c r="B363" s="8">
        <v>45994</v>
      </c>
      <c r="C363" s="7" t="s">
        <v>15</v>
      </c>
      <c r="D363" s="7" t="s">
        <v>63</v>
      </c>
      <c r="E363" s="7" t="s">
        <v>49</v>
      </c>
      <c r="F363" s="7" t="s">
        <v>1590</v>
      </c>
      <c r="G363" s="7" t="s">
        <v>32</v>
      </c>
      <c r="H363">
        <v>3</v>
      </c>
      <c r="I363">
        <v>4354.8900000000003</v>
      </c>
      <c r="J363">
        <v>0</v>
      </c>
      <c r="K363">
        <v>13064.67</v>
      </c>
      <c r="L363">
        <v>6156.67</v>
      </c>
      <c r="M363">
        <v>6908</v>
      </c>
      <c r="N363" s="7" t="s">
        <v>20</v>
      </c>
      <c r="O363" s="9">
        <f>IFERROR(RawSalesTable_[[#This Row],[Profit]]/RawSalesTable_[[#This Row],[Revenue]],0)</f>
        <v>0.52875426627691324</v>
      </c>
    </row>
    <row r="364" spans="1:15">
      <c r="A364" s="7" t="s">
        <v>460</v>
      </c>
      <c r="B364" s="8">
        <v>45726</v>
      </c>
      <c r="C364" s="7" t="s">
        <v>28</v>
      </c>
      <c r="D364" s="7" t="s">
        <v>29</v>
      </c>
      <c r="E364" s="7" t="s">
        <v>44</v>
      </c>
      <c r="F364" s="7" t="s">
        <v>69</v>
      </c>
      <c r="G364" s="7" t="s">
        <v>61</v>
      </c>
      <c r="H364">
        <v>7</v>
      </c>
      <c r="I364">
        <v>40818.65</v>
      </c>
      <c r="J364">
        <v>0.05</v>
      </c>
      <c r="K364">
        <v>271444.02</v>
      </c>
      <c r="L364">
        <v>182309.25</v>
      </c>
      <c r="M364">
        <v>89134.77</v>
      </c>
      <c r="N364" s="7" t="s">
        <v>20</v>
      </c>
      <c r="O364" s="9">
        <f>IFERROR(RawSalesTable_[[#This Row],[Profit]]/RawSalesTable_[[#This Row],[Revenue]],0)</f>
        <v>0.32837256831076994</v>
      </c>
    </row>
    <row r="365" spans="1:15">
      <c r="A365" s="7" t="s">
        <v>461</v>
      </c>
      <c r="B365" s="8">
        <v>46009</v>
      </c>
      <c r="C365" s="7" t="s">
        <v>15</v>
      </c>
      <c r="D365" s="7" t="s">
        <v>43</v>
      </c>
      <c r="E365" s="7" t="s">
        <v>30</v>
      </c>
      <c r="F365" s="7" t="s">
        <v>38</v>
      </c>
      <c r="G365" s="7" t="s">
        <v>32</v>
      </c>
      <c r="H365">
        <v>4</v>
      </c>
      <c r="I365">
        <v>25707.84</v>
      </c>
      <c r="J365">
        <v>0.1</v>
      </c>
      <c r="K365">
        <v>92548.22</v>
      </c>
      <c r="L365">
        <v>73440.5</v>
      </c>
      <c r="M365">
        <v>19107.72</v>
      </c>
      <c r="N365" s="7" t="s">
        <v>26</v>
      </c>
      <c r="O365" s="9">
        <f>IFERROR(RawSalesTable_[[#This Row],[Profit]]/RawSalesTable_[[#This Row],[Revenue]],0)</f>
        <v>0.2064623176977364</v>
      </c>
    </row>
    <row r="366" spans="1:15">
      <c r="A366" s="7" t="s">
        <v>462</v>
      </c>
      <c r="B366" s="8">
        <v>45950</v>
      </c>
      <c r="C366" s="7" t="s">
        <v>15</v>
      </c>
      <c r="D366" s="7" t="s">
        <v>43</v>
      </c>
      <c r="E366" s="7" t="s">
        <v>44</v>
      </c>
      <c r="F366" s="7" t="s">
        <v>69</v>
      </c>
      <c r="G366" s="7" t="s">
        <v>25</v>
      </c>
      <c r="H366">
        <v>2</v>
      </c>
      <c r="I366">
        <v>39585.51</v>
      </c>
      <c r="J366">
        <v>0.1</v>
      </c>
      <c r="K366">
        <v>71253.919999999998</v>
      </c>
      <c r="L366">
        <v>52188.55</v>
      </c>
      <c r="M366">
        <v>19065.37</v>
      </c>
      <c r="N366" s="7" t="s">
        <v>59</v>
      </c>
      <c r="O366" s="9">
        <f>IFERROR(RawSalesTable_[[#This Row],[Profit]]/RawSalesTable_[[#This Row],[Revenue]],0)</f>
        <v>0.26756941933861322</v>
      </c>
    </row>
    <row r="367" spans="1:15">
      <c r="A367" s="7" t="s">
        <v>463</v>
      </c>
      <c r="B367" s="8">
        <v>45794</v>
      </c>
      <c r="C367" s="7" t="s">
        <v>28</v>
      </c>
      <c r="D367" s="7" t="s">
        <v>52</v>
      </c>
      <c r="E367" s="7" t="s">
        <v>17</v>
      </c>
      <c r="F367" s="7" t="s">
        <v>75</v>
      </c>
      <c r="G367" s="7" t="s">
        <v>61</v>
      </c>
      <c r="H367">
        <v>7</v>
      </c>
      <c r="I367">
        <v>174501.67</v>
      </c>
      <c r="J367">
        <v>0.15</v>
      </c>
      <c r="K367">
        <v>1038284.94</v>
      </c>
      <c r="L367">
        <v>968118.56</v>
      </c>
      <c r="M367">
        <v>70166.38</v>
      </c>
      <c r="N367" s="7" t="s">
        <v>59</v>
      </c>
      <c r="O367" s="9">
        <f>IFERROR(RawSalesTable_[[#This Row],[Profit]]/RawSalesTable_[[#This Row],[Revenue]],0)</f>
        <v>6.7579117539738179E-2</v>
      </c>
    </row>
    <row r="368" spans="1:15">
      <c r="A368" s="7" t="s">
        <v>464</v>
      </c>
      <c r="B368" s="8">
        <v>45889</v>
      </c>
      <c r="C368" s="7" t="s">
        <v>15</v>
      </c>
      <c r="D368" s="7" t="s">
        <v>63</v>
      </c>
      <c r="E368" s="7" t="s">
        <v>44</v>
      </c>
      <c r="F368" s="7" t="s">
        <v>80</v>
      </c>
      <c r="G368" s="7" t="s">
        <v>19</v>
      </c>
      <c r="H368">
        <v>5</v>
      </c>
      <c r="I368">
        <v>40963.53</v>
      </c>
      <c r="J368">
        <v>0.1</v>
      </c>
      <c r="K368">
        <v>184335.89</v>
      </c>
      <c r="L368">
        <v>150700.51999999999</v>
      </c>
      <c r="M368">
        <v>33635.370000000003</v>
      </c>
      <c r="N368" s="7" t="s">
        <v>26</v>
      </c>
      <c r="O368" s="9">
        <f>IFERROR(RawSalesTable_[[#This Row],[Profit]]/RawSalesTable_[[#This Row],[Revenue]],0)</f>
        <v>0.18246783087113422</v>
      </c>
    </row>
    <row r="369" spans="1:15">
      <c r="A369" s="7" t="s">
        <v>465</v>
      </c>
      <c r="B369" s="8">
        <v>45856</v>
      </c>
      <c r="C369" s="7" t="s">
        <v>15</v>
      </c>
      <c r="D369" s="7" t="s">
        <v>43</v>
      </c>
      <c r="E369" s="7" t="s">
        <v>49</v>
      </c>
      <c r="F369" s="7" t="s">
        <v>1590</v>
      </c>
      <c r="G369" s="7" t="s">
        <v>25</v>
      </c>
      <c r="H369">
        <v>5</v>
      </c>
      <c r="I369">
        <v>4329.6499999999996</v>
      </c>
      <c r="J369">
        <v>0</v>
      </c>
      <c r="K369">
        <v>21648.25</v>
      </c>
      <c r="L369">
        <v>10865.97</v>
      </c>
      <c r="M369">
        <v>10782.28</v>
      </c>
      <c r="N369" s="7" t="s">
        <v>59</v>
      </c>
      <c r="O369" s="9">
        <f>IFERROR(RawSalesTable_[[#This Row],[Profit]]/RawSalesTable_[[#This Row],[Revenue]],0)</f>
        <v>0.498067049299597</v>
      </c>
    </row>
    <row r="370" spans="1:15">
      <c r="A370" s="7" t="s">
        <v>466</v>
      </c>
      <c r="B370" s="8">
        <v>45982</v>
      </c>
      <c r="C370" s="7" t="s">
        <v>15</v>
      </c>
      <c r="D370" s="7" t="s">
        <v>16</v>
      </c>
      <c r="E370" s="7" t="s">
        <v>17</v>
      </c>
      <c r="F370" s="7" t="s">
        <v>18</v>
      </c>
      <c r="G370" s="7" t="s">
        <v>32</v>
      </c>
      <c r="H370">
        <v>4</v>
      </c>
      <c r="I370">
        <v>14779.7</v>
      </c>
      <c r="J370">
        <v>0.05</v>
      </c>
      <c r="K370">
        <v>56162.86</v>
      </c>
      <c r="L370">
        <v>33721.64</v>
      </c>
      <c r="M370">
        <v>22441.22</v>
      </c>
      <c r="N370" s="7" t="s">
        <v>26</v>
      </c>
      <c r="O370" s="9">
        <f>IFERROR(RawSalesTable_[[#This Row],[Profit]]/RawSalesTable_[[#This Row],[Revenue]],0)</f>
        <v>0.39957402454219748</v>
      </c>
    </row>
    <row r="371" spans="1:15">
      <c r="A371" s="7" t="s">
        <v>468</v>
      </c>
      <c r="B371" s="8">
        <v>45896</v>
      </c>
      <c r="C371" s="7" t="s">
        <v>22</v>
      </c>
      <c r="D371" s="7" t="s">
        <v>35</v>
      </c>
      <c r="E371" s="7" t="s">
        <v>30</v>
      </c>
      <c r="F371" s="7" t="s">
        <v>38</v>
      </c>
      <c r="G371" s="7" t="s">
        <v>61</v>
      </c>
      <c r="H371">
        <v>3</v>
      </c>
      <c r="I371">
        <v>25535.21</v>
      </c>
      <c r="J371">
        <v>0.05</v>
      </c>
      <c r="K371">
        <v>72775.350000000006</v>
      </c>
      <c r="L371">
        <v>52401.34</v>
      </c>
      <c r="M371">
        <v>20374.009999999998</v>
      </c>
      <c r="N371" s="7" t="s">
        <v>33</v>
      </c>
      <c r="O371" s="9">
        <f>IFERROR(RawSalesTable_[[#This Row],[Profit]]/RawSalesTable_[[#This Row],[Revenue]],0)</f>
        <v>0.2799575680501708</v>
      </c>
    </row>
    <row r="372" spans="1:15">
      <c r="A372" s="7" t="s">
        <v>469</v>
      </c>
      <c r="B372" s="8">
        <v>46020</v>
      </c>
      <c r="C372" s="7" t="s">
        <v>22</v>
      </c>
      <c r="D372" s="7" t="s">
        <v>35</v>
      </c>
      <c r="E372" s="7" t="s">
        <v>17</v>
      </c>
      <c r="F372" s="7" t="s">
        <v>18</v>
      </c>
      <c r="G372" s="7" t="s">
        <v>32</v>
      </c>
      <c r="H372">
        <v>8</v>
      </c>
      <c r="I372">
        <v>15172.59</v>
      </c>
      <c r="J372">
        <v>0.1</v>
      </c>
      <c r="K372">
        <v>109242.65</v>
      </c>
      <c r="L372">
        <v>65276.33</v>
      </c>
      <c r="M372">
        <v>43966.32</v>
      </c>
      <c r="N372" s="7" t="s">
        <v>26</v>
      </c>
      <c r="O372" s="9">
        <f>IFERROR(RawSalesTable_[[#This Row],[Profit]]/RawSalesTable_[[#This Row],[Revenue]],0)</f>
        <v>0.40246478824891196</v>
      </c>
    </row>
    <row r="373" spans="1:15">
      <c r="A373" s="7" t="s">
        <v>470</v>
      </c>
      <c r="B373" s="8">
        <v>45771</v>
      </c>
      <c r="C373" s="7" t="s">
        <v>22</v>
      </c>
      <c r="D373" s="7" t="s">
        <v>37</v>
      </c>
      <c r="E373" s="7" t="s">
        <v>17</v>
      </c>
      <c r="F373" s="7" t="s">
        <v>24</v>
      </c>
      <c r="G373" s="7" t="s">
        <v>47</v>
      </c>
      <c r="H373">
        <v>7</v>
      </c>
      <c r="I373">
        <v>92634.14</v>
      </c>
      <c r="J373">
        <v>0.05</v>
      </c>
      <c r="K373">
        <v>616017.03</v>
      </c>
      <c r="L373">
        <v>464783.63</v>
      </c>
      <c r="M373">
        <v>151233.4</v>
      </c>
      <c r="N373" s="7" t="s">
        <v>59</v>
      </c>
      <c r="O373" s="9">
        <f>IFERROR(RawSalesTable_[[#This Row],[Profit]]/RawSalesTable_[[#This Row],[Revenue]],0)</f>
        <v>0.24550197906054641</v>
      </c>
    </row>
    <row r="374" spans="1:15">
      <c r="A374" s="7" t="s">
        <v>471</v>
      </c>
      <c r="B374" s="8">
        <v>46000</v>
      </c>
      <c r="C374" s="7" t="s">
        <v>28</v>
      </c>
      <c r="D374" s="7" t="s">
        <v>56</v>
      </c>
      <c r="E374" s="7" t="s">
        <v>30</v>
      </c>
      <c r="F374" s="7" t="s">
        <v>86</v>
      </c>
      <c r="G374" s="7" t="s">
        <v>32</v>
      </c>
      <c r="H374">
        <v>8</v>
      </c>
      <c r="I374">
        <v>35622.21</v>
      </c>
      <c r="J374">
        <v>0.15</v>
      </c>
      <c r="K374">
        <v>242231.03</v>
      </c>
      <c r="L374">
        <v>174710.93</v>
      </c>
      <c r="M374">
        <v>67520.100000000006</v>
      </c>
      <c r="N374" s="7" t="s">
        <v>20</v>
      </c>
      <c r="O374" s="9">
        <f>IFERROR(RawSalesTable_[[#This Row],[Profit]]/RawSalesTable_[[#This Row],[Revenue]],0)</f>
        <v>0.27874257067725799</v>
      </c>
    </row>
    <row r="375" spans="1:15">
      <c r="A375" s="7" t="s">
        <v>472</v>
      </c>
      <c r="B375" s="8">
        <v>45934</v>
      </c>
      <c r="C375" s="7" t="s">
        <v>22</v>
      </c>
      <c r="D375" s="7" t="s">
        <v>37</v>
      </c>
      <c r="E375" s="7" t="s">
        <v>44</v>
      </c>
      <c r="F375" s="7" t="s">
        <v>80</v>
      </c>
      <c r="G375" s="7" t="s">
        <v>58</v>
      </c>
      <c r="H375">
        <v>6</v>
      </c>
      <c r="I375">
        <v>42183.839999999997</v>
      </c>
      <c r="J375">
        <v>0</v>
      </c>
      <c r="K375">
        <v>253103.04</v>
      </c>
      <c r="L375">
        <v>185444.1</v>
      </c>
      <c r="M375">
        <v>67658.94</v>
      </c>
      <c r="N375" s="7" t="s">
        <v>33</v>
      </c>
      <c r="O375" s="9">
        <f>IFERROR(RawSalesTable_[[#This Row],[Profit]]/RawSalesTable_[[#This Row],[Revenue]],0)</f>
        <v>0.26731776907934413</v>
      </c>
    </row>
    <row r="376" spans="1:15">
      <c r="A376" s="7" t="s">
        <v>473</v>
      </c>
      <c r="B376" s="8">
        <v>45921</v>
      </c>
      <c r="C376" s="7" t="s">
        <v>15</v>
      </c>
      <c r="D376" s="7" t="s">
        <v>63</v>
      </c>
      <c r="E376" s="7" t="s">
        <v>49</v>
      </c>
      <c r="F376" s="7" t="s">
        <v>107</v>
      </c>
      <c r="G376" s="7" t="s">
        <v>19</v>
      </c>
      <c r="H376">
        <v>1</v>
      </c>
      <c r="I376">
        <v>5030.63</v>
      </c>
      <c r="J376">
        <v>0.15</v>
      </c>
      <c r="K376">
        <v>4276.04</v>
      </c>
      <c r="L376">
        <v>2655.38</v>
      </c>
      <c r="M376">
        <v>1620.66</v>
      </c>
      <c r="N376" s="7" t="s">
        <v>33</v>
      </c>
      <c r="O376" s="9">
        <f>IFERROR(RawSalesTable_[[#This Row],[Profit]]/RawSalesTable_[[#This Row],[Revenue]],0)</f>
        <v>0.37900955089288224</v>
      </c>
    </row>
    <row r="377" spans="1:15">
      <c r="A377" s="7" t="s">
        <v>474</v>
      </c>
      <c r="B377" s="8">
        <v>45875</v>
      </c>
      <c r="C377" s="7" t="s">
        <v>22</v>
      </c>
      <c r="D377" s="7" t="s">
        <v>37</v>
      </c>
      <c r="E377" s="7" t="s">
        <v>17</v>
      </c>
      <c r="F377" s="7" t="s">
        <v>75</v>
      </c>
      <c r="G377" s="7" t="s">
        <v>19</v>
      </c>
      <c r="H377">
        <v>4</v>
      </c>
      <c r="I377">
        <v>190041.92</v>
      </c>
      <c r="J377">
        <v>0</v>
      </c>
      <c r="K377">
        <v>760167.68</v>
      </c>
      <c r="L377">
        <v>585350.44999999995</v>
      </c>
      <c r="M377">
        <v>174817.23</v>
      </c>
      <c r="N377" s="7" t="s">
        <v>26</v>
      </c>
      <c r="O377" s="9">
        <f>IFERROR(RawSalesTable_[[#This Row],[Profit]]/RawSalesTable_[[#This Row],[Revenue]],0)</f>
        <v>0.22997193198216478</v>
      </c>
    </row>
    <row r="378" spans="1:15">
      <c r="A378" s="7" t="s">
        <v>475</v>
      </c>
      <c r="B378" s="8">
        <v>45702</v>
      </c>
      <c r="C378" s="7" t="s">
        <v>15</v>
      </c>
      <c r="D378" s="7" t="s">
        <v>43</v>
      </c>
      <c r="E378" s="7" t="s">
        <v>49</v>
      </c>
      <c r="F378" s="7" t="s">
        <v>91</v>
      </c>
      <c r="G378" s="7" t="s">
        <v>19</v>
      </c>
      <c r="H378">
        <v>3</v>
      </c>
      <c r="I378">
        <v>6004.7</v>
      </c>
      <c r="J378">
        <v>0.15</v>
      </c>
      <c r="K378">
        <v>15311.98</v>
      </c>
      <c r="L378">
        <v>10726.78</v>
      </c>
      <c r="M378">
        <v>4585.2</v>
      </c>
      <c r="N378" s="7" t="s">
        <v>33</v>
      </c>
      <c r="O378" s="9">
        <f>IFERROR(RawSalesTable_[[#This Row],[Profit]]/RawSalesTable_[[#This Row],[Revenue]],0)</f>
        <v>0.29945180179179964</v>
      </c>
    </row>
    <row r="379" spans="1:15">
      <c r="A379" s="7" t="s">
        <v>476</v>
      </c>
      <c r="B379" s="8">
        <v>45879</v>
      </c>
      <c r="C379" s="7" t="s">
        <v>22</v>
      </c>
      <c r="D379" s="7" t="s">
        <v>35</v>
      </c>
      <c r="E379" s="7" t="s">
        <v>17</v>
      </c>
      <c r="F379" s="7" t="s">
        <v>24</v>
      </c>
      <c r="G379" s="7" t="s">
        <v>32</v>
      </c>
      <c r="H379">
        <v>5</v>
      </c>
      <c r="I379">
        <v>90640.35</v>
      </c>
      <c r="J379">
        <v>0.05</v>
      </c>
      <c r="K379">
        <v>430541.66</v>
      </c>
      <c r="L379">
        <v>344799.17</v>
      </c>
      <c r="M379">
        <v>85742.49</v>
      </c>
      <c r="N379" s="7" t="s">
        <v>33</v>
      </c>
      <c r="O379" s="9">
        <f>IFERROR(RawSalesTable_[[#This Row],[Profit]]/RawSalesTable_[[#This Row],[Revenue]],0)</f>
        <v>0.19915027502797292</v>
      </c>
    </row>
    <row r="380" spans="1:15">
      <c r="A380" s="7" t="s">
        <v>477</v>
      </c>
      <c r="B380" s="8">
        <v>45695</v>
      </c>
      <c r="C380" s="7" t="s">
        <v>28</v>
      </c>
      <c r="D380" s="7" t="s">
        <v>29</v>
      </c>
      <c r="E380" s="7" t="s">
        <v>17</v>
      </c>
      <c r="F380" s="7" t="s">
        <v>75</v>
      </c>
      <c r="G380" s="7" t="s">
        <v>32</v>
      </c>
      <c r="H380">
        <v>2</v>
      </c>
      <c r="I380">
        <v>192576.43</v>
      </c>
      <c r="J380">
        <v>0.1</v>
      </c>
      <c r="K380">
        <v>346637.57</v>
      </c>
      <c r="L380">
        <v>276384.88</v>
      </c>
      <c r="M380">
        <v>70252.69</v>
      </c>
      <c r="N380" s="7" t="s">
        <v>33</v>
      </c>
      <c r="O380" s="9">
        <f>IFERROR(RawSalesTable_[[#This Row],[Profit]]/RawSalesTable_[[#This Row],[Revenue]],0)</f>
        <v>0.20266900093951154</v>
      </c>
    </row>
    <row r="381" spans="1:15">
      <c r="A381" s="7" t="s">
        <v>478</v>
      </c>
      <c r="B381" s="8">
        <v>45996</v>
      </c>
      <c r="C381" s="7" t="s">
        <v>28</v>
      </c>
      <c r="D381" s="7" t="s">
        <v>29</v>
      </c>
      <c r="E381" s="7" t="s">
        <v>30</v>
      </c>
      <c r="F381" s="7" t="s">
        <v>31</v>
      </c>
      <c r="G381" s="7" t="s">
        <v>64</v>
      </c>
      <c r="H381">
        <v>5</v>
      </c>
      <c r="I381">
        <v>140729.92000000001</v>
      </c>
      <c r="J381">
        <v>0.05</v>
      </c>
      <c r="K381">
        <v>668467.12</v>
      </c>
      <c r="L381">
        <v>503332.97</v>
      </c>
      <c r="M381">
        <v>165134.15</v>
      </c>
      <c r="N381" s="7" t="s">
        <v>20</v>
      </c>
      <c r="O381" s="9">
        <f>IFERROR(RawSalesTable_[[#This Row],[Profit]]/RawSalesTable_[[#This Row],[Revenue]],0)</f>
        <v>0.24703406504122447</v>
      </c>
    </row>
    <row r="382" spans="1:15">
      <c r="A382" s="7" t="s">
        <v>479</v>
      </c>
      <c r="B382" s="8">
        <v>45982</v>
      </c>
      <c r="C382" s="7" t="s">
        <v>22</v>
      </c>
      <c r="D382" s="7" t="s">
        <v>37</v>
      </c>
      <c r="E382" s="7" t="s">
        <v>44</v>
      </c>
      <c r="F382" s="7" t="s">
        <v>45</v>
      </c>
      <c r="G382" s="7" t="s">
        <v>61</v>
      </c>
      <c r="H382">
        <v>7</v>
      </c>
      <c r="I382">
        <v>29853.27</v>
      </c>
      <c r="J382">
        <v>0.1</v>
      </c>
      <c r="K382">
        <v>188075.6</v>
      </c>
      <c r="L382">
        <v>131756.25</v>
      </c>
      <c r="M382">
        <v>56319.35</v>
      </c>
      <c r="N382" s="7" t="s">
        <v>59</v>
      </c>
      <c r="O382" s="9">
        <f>IFERROR(RawSalesTable_[[#This Row],[Profit]]/RawSalesTable_[[#This Row],[Revenue]],0)</f>
        <v>0.29945059327206719</v>
      </c>
    </row>
    <row r="383" spans="1:15">
      <c r="A383" s="7" t="s">
        <v>480</v>
      </c>
      <c r="B383" s="8">
        <v>45859</v>
      </c>
      <c r="C383" s="7" t="s">
        <v>15</v>
      </c>
      <c r="D383" s="7" t="s">
        <v>43</v>
      </c>
      <c r="E383" s="7" t="s">
        <v>30</v>
      </c>
      <c r="F383" s="7" t="s">
        <v>31</v>
      </c>
      <c r="G383" s="7" t="s">
        <v>19</v>
      </c>
      <c r="H383">
        <v>3</v>
      </c>
      <c r="I383">
        <v>126861.88</v>
      </c>
      <c r="J383">
        <v>0</v>
      </c>
      <c r="K383">
        <v>380585.64</v>
      </c>
      <c r="L383">
        <v>306057.36</v>
      </c>
      <c r="M383">
        <v>74528.28</v>
      </c>
      <c r="N383" s="7" t="s">
        <v>59</v>
      </c>
      <c r="O383" s="9">
        <f>IFERROR(RawSalesTable_[[#This Row],[Profit]]/RawSalesTable_[[#This Row],[Revenue]],0)</f>
        <v>0.19582525499385631</v>
      </c>
    </row>
    <row r="384" spans="1:15">
      <c r="A384" s="7" t="s">
        <v>481</v>
      </c>
      <c r="B384" s="8">
        <v>45752</v>
      </c>
      <c r="C384" s="7" t="s">
        <v>22</v>
      </c>
      <c r="D384" s="7" t="s">
        <v>37</v>
      </c>
      <c r="E384" s="7" t="s">
        <v>30</v>
      </c>
      <c r="F384" s="7" t="s">
        <v>86</v>
      </c>
      <c r="G384" s="7" t="s">
        <v>47</v>
      </c>
      <c r="H384">
        <v>7</v>
      </c>
      <c r="I384">
        <v>35141.72</v>
      </c>
      <c r="J384">
        <v>0.1</v>
      </c>
      <c r="K384">
        <v>221392.84</v>
      </c>
      <c r="L384">
        <v>154345.57</v>
      </c>
      <c r="M384">
        <v>67047.27</v>
      </c>
      <c r="N384" s="7" t="s">
        <v>59</v>
      </c>
      <c r="O384" s="9">
        <f>IFERROR(RawSalesTable_[[#This Row],[Profit]]/RawSalesTable_[[#This Row],[Revenue]],0)</f>
        <v>0.30284299167037204</v>
      </c>
    </row>
    <row r="385" spans="1:15">
      <c r="A385" s="7" t="s">
        <v>482</v>
      </c>
      <c r="B385" s="8">
        <v>45692</v>
      </c>
      <c r="C385" s="7" t="s">
        <v>22</v>
      </c>
      <c r="D385" s="7" t="s">
        <v>23</v>
      </c>
      <c r="E385" s="7" t="s">
        <v>44</v>
      </c>
      <c r="F385" s="7" t="s">
        <v>80</v>
      </c>
      <c r="G385" s="7" t="s">
        <v>58</v>
      </c>
      <c r="H385">
        <v>8</v>
      </c>
      <c r="I385">
        <v>43995.360000000001</v>
      </c>
      <c r="J385">
        <v>0</v>
      </c>
      <c r="K385">
        <v>351962.88</v>
      </c>
      <c r="L385">
        <v>245605.73</v>
      </c>
      <c r="M385">
        <v>106357.15</v>
      </c>
      <c r="N385" s="7" t="s">
        <v>33</v>
      </c>
      <c r="O385" s="9">
        <f>IFERROR(RawSalesTable_[[#This Row],[Profit]]/RawSalesTable_[[#This Row],[Revenue]],0)</f>
        <v>0.30218286087441948</v>
      </c>
    </row>
    <row r="386" spans="1:15">
      <c r="A386" s="7" t="s">
        <v>483</v>
      </c>
      <c r="B386" s="8">
        <v>45803</v>
      </c>
      <c r="C386" s="7" t="s">
        <v>22</v>
      </c>
      <c r="D386" s="7" t="s">
        <v>37</v>
      </c>
      <c r="E386" s="7" t="s">
        <v>49</v>
      </c>
      <c r="F386" s="7" t="s">
        <v>57</v>
      </c>
      <c r="G386" s="7" t="s">
        <v>19</v>
      </c>
      <c r="H386">
        <v>6</v>
      </c>
      <c r="I386">
        <v>10815.92</v>
      </c>
      <c r="J386">
        <v>0.15</v>
      </c>
      <c r="K386">
        <v>55161.19</v>
      </c>
      <c r="L386">
        <v>38470.269999999997</v>
      </c>
      <c r="M386">
        <v>16690.919999999998</v>
      </c>
      <c r="N386" s="7" t="s">
        <v>26</v>
      </c>
      <c r="O386" s="9">
        <f>IFERROR(RawSalesTable_[[#This Row],[Profit]]/RawSalesTable_[[#This Row],[Revenue]],0)</f>
        <v>0.30258448013902522</v>
      </c>
    </row>
    <row r="387" spans="1:15">
      <c r="A387" s="7" t="s">
        <v>484</v>
      </c>
      <c r="B387" s="8">
        <v>45844</v>
      </c>
      <c r="C387" s="7" t="s">
        <v>28</v>
      </c>
      <c r="D387" s="7" t="s">
        <v>56</v>
      </c>
      <c r="E387" s="7" t="s">
        <v>49</v>
      </c>
      <c r="F387" s="7" t="s">
        <v>57</v>
      </c>
      <c r="G387" s="7" t="s">
        <v>32</v>
      </c>
      <c r="H387">
        <v>5</v>
      </c>
      <c r="I387">
        <v>11855.96</v>
      </c>
      <c r="J387">
        <v>0</v>
      </c>
      <c r="K387">
        <v>59279.8</v>
      </c>
      <c r="L387">
        <v>32811.629999999997</v>
      </c>
      <c r="M387">
        <v>26468.17</v>
      </c>
      <c r="N387" s="7" t="s">
        <v>20</v>
      </c>
      <c r="O387" s="9">
        <f>IFERROR(RawSalesTable_[[#This Row],[Profit]]/RawSalesTable_[[#This Row],[Revenue]],0)</f>
        <v>0.44649560221188328</v>
      </c>
    </row>
    <row r="388" spans="1:15">
      <c r="A388" s="7" t="s">
        <v>485</v>
      </c>
      <c r="B388" s="8">
        <v>45842</v>
      </c>
      <c r="C388" s="7" t="s">
        <v>22</v>
      </c>
      <c r="D388" s="7" t="s">
        <v>23</v>
      </c>
      <c r="E388" s="7" t="s">
        <v>30</v>
      </c>
      <c r="F388" s="7" t="s">
        <v>86</v>
      </c>
      <c r="G388" s="7" t="s">
        <v>61</v>
      </c>
      <c r="H388">
        <v>4</v>
      </c>
      <c r="I388">
        <v>34120.410000000003</v>
      </c>
      <c r="J388">
        <v>0.15</v>
      </c>
      <c r="K388">
        <v>116009.39</v>
      </c>
      <c r="L388">
        <v>90047.58</v>
      </c>
      <c r="M388">
        <v>25961.81</v>
      </c>
      <c r="N388" s="7" t="s">
        <v>59</v>
      </c>
      <c r="O388" s="9">
        <f>IFERROR(RawSalesTable_[[#This Row],[Profit]]/RawSalesTable_[[#This Row],[Revenue]],0)</f>
        <v>0.223790591434021</v>
      </c>
    </row>
    <row r="389" spans="1:15">
      <c r="A389" s="7" t="s">
        <v>486</v>
      </c>
      <c r="B389" s="8">
        <v>45968</v>
      </c>
      <c r="C389" s="7" t="s">
        <v>28</v>
      </c>
      <c r="D389" s="7" t="s">
        <v>56</v>
      </c>
      <c r="E389" s="7" t="s">
        <v>49</v>
      </c>
      <c r="F389" s="7" t="s">
        <v>57</v>
      </c>
      <c r="G389" s="7" t="s">
        <v>19</v>
      </c>
      <c r="H389">
        <v>5</v>
      </c>
      <c r="I389">
        <v>11476.03</v>
      </c>
      <c r="J389">
        <v>0</v>
      </c>
      <c r="K389">
        <v>57380.15</v>
      </c>
      <c r="L389">
        <v>31924.880000000001</v>
      </c>
      <c r="M389">
        <v>25455.27</v>
      </c>
      <c r="N389" s="7" t="s">
        <v>59</v>
      </c>
      <c r="O389" s="9">
        <f>IFERROR(RawSalesTable_[[#This Row],[Profit]]/RawSalesTable_[[#This Row],[Revenue]],0)</f>
        <v>0.44362501666517079</v>
      </c>
    </row>
    <row r="390" spans="1:15">
      <c r="A390" s="7" t="s">
        <v>488</v>
      </c>
      <c r="B390" s="8">
        <v>45981</v>
      </c>
      <c r="C390" s="7" t="s">
        <v>22</v>
      </c>
      <c r="D390" s="7" t="s">
        <v>37</v>
      </c>
      <c r="E390" s="7" t="s">
        <v>44</v>
      </c>
      <c r="F390" s="7" t="s">
        <v>69</v>
      </c>
      <c r="G390" s="7" t="s">
        <v>64</v>
      </c>
      <c r="H390">
        <v>2</v>
      </c>
      <c r="I390">
        <v>39382.75</v>
      </c>
      <c r="J390">
        <v>0</v>
      </c>
      <c r="K390">
        <v>78765.5</v>
      </c>
      <c r="L390">
        <v>53532.5</v>
      </c>
      <c r="M390">
        <v>25233</v>
      </c>
      <c r="N390" s="7" t="s">
        <v>20</v>
      </c>
      <c r="O390" s="9">
        <f>IFERROR(RawSalesTable_[[#This Row],[Profit]]/RawSalesTable_[[#This Row],[Revenue]],0)</f>
        <v>0.32035599342351662</v>
      </c>
    </row>
    <row r="391" spans="1:15">
      <c r="A391" s="7" t="s">
        <v>489</v>
      </c>
      <c r="B391" s="8">
        <v>45772</v>
      </c>
      <c r="C391" s="7" t="s">
        <v>15</v>
      </c>
      <c r="D391" s="7" t="s">
        <v>16</v>
      </c>
      <c r="E391" s="7" t="s">
        <v>17</v>
      </c>
      <c r="F391" s="7" t="s">
        <v>18</v>
      </c>
      <c r="G391" s="7" t="s">
        <v>58</v>
      </c>
      <c r="H391">
        <v>8</v>
      </c>
      <c r="I391">
        <v>14857.07</v>
      </c>
      <c r="J391">
        <v>0</v>
      </c>
      <c r="K391">
        <v>118856.56</v>
      </c>
      <c r="L391">
        <v>65311.839999999997</v>
      </c>
      <c r="M391">
        <v>53544.72</v>
      </c>
      <c r="N391" s="7" t="s">
        <v>26</v>
      </c>
      <c r="O391" s="9">
        <f>IFERROR(RawSalesTable_[[#This Row],[Profit]]/RawSalesTable_[[#This Row],[Revenue]],0)</f>
        <v>0.45049865148377172</v>
      </c>
    </row>
    <row r="392" spans="1:15">
      <c r="A392" s="7" t="s">
        <v>490</v>
      </c>
      <c r="B392" s="8">
        <v>45972</v>
      </c>
      <c r="C392" s="7" t="s">
        <v>28</v>
      </c>
      <c r="D392" s="7" t="s">
        <v>29</v>
      </c>
      <c r="E392" s="7" t="s">
        <v>17</v>
      </c>
      <c r="F392" s="7" t="s">
        <v>114</v>
      </c>
      <c r="G392" s="7" t="s">
        <v>61</v>
      </c>
      <c r="H392">
        <v>6</v>
      </c>
      <c r="I392">
        <v>52018.03</v>
      </c>
      <c r="J392">
        <v>0.15</v>
      </c>
      <c r="K392">
        <v>265291.95</v>
      </c>
      <c r="L392">
        <v>216092.04</v>
      </c>
      <c r="M392">
        <v>49199.91</v>
      </c>
      <c r="N392" s="7" t="s">
        <v>26</v>
      </c>
      <c r="O392" s="9">
        <f>IFERROR(RawSalesTable_[[#This Row],[Profit]]/RawSalesTable_[[#This Row],[Revenue]],0)</f>
        <v>0.18545572151736983</v>
      </c>
    </row>
    <row r="393" spans="1:15">
      <c r="A393" s="7" t="s">
        <v>491</v>
      </c>
      <c r="B393" s="8">
        <v>45907</v>
      </c>
      <c r="C393" s="7" t="s">
        <v>28</v>
      </c>
      <c r="D393" s="7" t="s">
        <v>52</v>
      </c>
      <c r="E393" s="7" t="s">
        <v>44</v>
      </c>
      <c r="F393" s="7" t="s">
        <v>45</v>
      </c>
      <c r="G393" s="7" t="s">
        <v>47</v>
      </c>
      <c r="H393">
        <v>8</v>
      </c>
      <c r="I393">
        <v>30502.639999999999</v>
      </c>
      <c r="J393">
        <v>0</v>
      </c>
      <c r="K393">
        <v>244021.12</v>
      </c>
      <c r="L393">
        <v>149768.24</v>
      </c>
      <c r="M393">
        <v>94252.88</v>
      </c>
      <c r="N393" s="7" t="s">
        <v>33</v>
      </c>
      <c r="O393" s="9">
        <f>IFERROR(RawSalesTable_[[#This Row],[Profit]]/RawSalesTable_[[#This Row],[Revenue]],0)</f>
        <v>0.38624886239355022</v>
      </c>
    </row>
    <row r="394" spans="1:15">
      <c r="A394" s="7" t="s">
        <v>492</v>
      </c>
      <c r="B394" s="8">
        <v>45890</v>
      </c>
      <c r="C394" s="7" t="s">
        <v>28</v>
      </c>
      <c r="D394" s="7" t="s">
        <v>56</v>
      </c>
      <c r="E394" s="7" t="s">
        <v>44</v>
      </c>
      <c r="F394" s="7" t="s">
        <v>80</v>
      </c>
      <c r="G394" s="7" t="s">
        <v>64</v>
      </c>
      <c r="H394">
        <v>4</v>
      </c>
      <c r="I394">
        <v>43123.05</v>
      </c>
      <c r="J394">
        <v>0.05</v>
      </c>
      <c r="K394">
        <v>163867.59</v>
      </c>
      <c r="L394">
        <v>123648.65</v>
      </c>
      <c r="M394">
        <v>40218.94</v>
      </c>
      <c r="N394" s="7" t="s">
        <v>33</v>
      </c>
      <c r="O394" s="9">
        <f>IFERROR(RawSalesTable_[[#This Row],[Profit]]/RawSalesTable_[[#This Row],[Revenue]],0)</f>
        <v>0.24543559833887837</v>
      </c>
    </row>
    <row r="395" spans="1:15">
      <c r="A395" s="7" t="s">
        <v>493</v>
      </c>
      <c r="B395" s="8">
        <v>45992</v>
      </c>
      <c r="C395" s="7" t="s">
        <v>15</v>
      </c>
      <c r="D395" s="7" t="s">
        <v>63</v>
      </c>
      <c r="E395" s="7" t="s">
        <v>17</v>
      </c>
      <c r="F395" s="7" t="s">
        <v>18</v>
      </c>
      <c r="G395" s="7" t="s">
        <v>25</v>
      </c>
      <c r="H395">
        <v>5</v>
      </c>
      <c r="I395">
        <v>14682.42</v>
      </c>
      <c r="J395">
        <v>0.1</v>
      </c>
      <c r="K395">
        <v>66070.89</v>
      </c>
      <c r="L395">
        <v>40268.949999999997</v>
      </c>
      <c r="M395">
        <v>25801.94</v>
      </c>
      <c r="N395" s="7" t="s">
        <v>59</v>
      </c>
      <c r="O395" s="9">
        <f>IFERROR(RawSalesTable_[[#This Row],[Profit]]/RawSalesTable_[[#This Row],[Revenue]],0)</f>
        <v>0.39051903190648707</v>
      </c>
    </row>
    <row r="396" spans="1:15">
      <c r="A396" s="7" t="s">
        <v>494</v>
      </c>
      <c r="B396" s="8">
        <v>45838</v>
      </c>
      <c r="C396" s="7" t="s">
        <v>15</v>
      </c>
      <c r="D396" s="7" t="s">
        <v>43</v>
      </c>
      <c r="E396" s="7" t="s">
        <v>17</v>
      </c>
      <c r="F396" s="7" t="s">
        <v>18</v>
      </c>
      <c r="G396" s="7" t="s">
        <v>32</v>
      </c>
      <c r="H396">
        <v>7</v>
      </c>
      <c r="I396">
        <v>15596.6</v>
      </c>
      <c r="J396">
        <v>0</v>
      </c>
      <c r="K396">
        <v>109176.2</v>
      </c>
      <c r="L396">
        <v>57752.78</v>
      </c>
      <c r="M396">
        <v>51423.42</v>
      </c>
      <c r="N396" s="7" t="s">
        <v>20</v>
      </c>
      <c r="O396" s="9">
        <f>IFERROR(RawSalesTable_[[#This Row],[Profit]]/RawSalesTable_[[#This Row],[Revenue]],0)</f>
        <v>0.47101309626090671</v>
      </c>
    </row>
    <row r="397" spans="1:15">
      <c r="A397" s="7" t="s">
        <v>495</v>
      </c>
      <c r="B397" s="8">
        <v>45801</v>
      </c>
      <c r="C397" s="7" t="s">
        <v>28</v>
      </c>
      <c r="D397" s="7" t="s">
        <v>29</v>
      </c>
      <c r="E397" s="7" t="s">
        <v>17</v>
      </c>
      <c r="F397" s="7" t="s">
        <v>24</v>
      </c>
      <c r="G397" s="7" t="s">
        <v>47</v>
      </c>
      <c r="H397">
        <v>8</v>
      </c>
      <c r="I397">
        <v>87077.72</v>
      </c>
      <c r="J397">
        <v>0</v>
      </c>
      <c r="K397">
        <v>696621.76</v>
      </c>
      <c r="L397">
        <v>547273.73</v>
      </c>
      <c r="M397">
        <v>149348.03</v>
      </c>
      <c r="N397" s="7" t="s">
        <v>26</v>
      </c>
      <c r="O397" s="9">
        <f>IFERROR(RawSalesTable_[[#This Row],[Profit]]/RawSalesTable_[[#This Row],[Revenue]],0)</f>
        <v>0.21438898204959891</v>
      </c>
    </row>
    <row r="398" spans="1:15">
      <c r="A398" s="7" t="s">
        <v>496</v>
      </c>
      <c r="B398" s="8">
        <v>45904</v>
      </c>
      <c r="C398" s="7" t="s">
        <v>22</v>
      </c>
      <c r="D398" s="7" t="s">
        <v>23</v>
      </c>
      <c r="E398" s="7" t="s">
        <v>30</v>
      </c>
      <c r="F398" s="7" t="s">
        <v>31</v>
      </c>
      <c r="G398" s="7" t="s">
        <v>70</v>
      </c>
      <c r="H398">
        <v>4</v>
      </c>
      <c r="I398">
        <v>133155.66</v>
      </c>
      <c r="J398">
        <v>0.05</v>
      </c>
      <c r="K398">
        <v>505991.51</v>
      </c>
      <c r="L398">
        <v>412248.83</v>
      </c>
      <c r="M398">
        <v>93742.68</v>
      </c>
      <c r="N398" s="7" t="s">
        <v>20</v>
      </c>
      <c r="O398" s="9">
        <f>IFERROR(RawSalesTable_[[#This Row],[Profit]]/RawSalesTable_[[#This Row],[Revenue]],0)</f>
        <v>0.18526532194186418</v>
      </c>
    </row>
    <row r="399" spans="1:15">
      <c r="A399" s="7" t="s">
        <v>497</v>
      </c>
      <c r="B399" s="8">
        <v>45740</v>
      </c>
      <c r="C399" s="7" t="s">
        <v>22</v>
      </c>
      <c r="D399" s="7" t="s">
        <v>37</v>
      </c>
      <c r="E399" s="7" t="s">
        <v>44</v>
      </c>
      <c r="F399" s="7" t="s">
        <v>53</v>
      </c>
      <c r="G399" s="7" t="s">
        <v>61</v>
      </c>
      <c r="H399">
        <v>1</v>
      </c>
      <c r="I399">
        <v>8151.39</v>
      </c>
      <c r="J399">
        <v>0</v>
      </c>
      <c r="K399">
        <v>8151.39</v>
      </c>
      <c r="L399">
        <v>4949.71</v>
      </c>
      <c r="M399">
        <v>3201.68</v>
      </c>
      <c r="N399" s="7" t="s">
        <v>33</v>
      </c>
      <c r="O399" s="9">
        <f>IFERROR(RawSalesTable_[[#This Row],[Profit]]/RawSalesTable_[[#This Row],[Revenue]],0)</f>
        <v>0.39277718278723012</v>
      </c>
    </row>
    <row r="400" spans="1:15">
      <c r="A400" s="7" t="s">
        <v>498</v>
      </c>
      <c r="B400" s="8">
        <v>45964</v>
      </c>
      <c r="C400" s="7" t="s">
        <v>15</v>
      </c>
      <c r="D400" s="7" t="s">
        <v>16</v>
      </c>
      <c r="E400" s="7" t="s">
        <v>17</v>
      </c>
      <c r="F400" s="7" t="s">
        <v>24</v>
      </c>
      <c r="G400" s="7" t="s">
        <v>64</v>
      </c>
      <c r="H400">
        <v>5</v>
      </c>
      <c r="I400">
        <v>98218.42</v>
      </c>
      <c r="J400">
        <v>0.1</v>
      </c>
      <c r="K400">
        <v>441982.89</v>
      </c>
      <c r="L400">
        <v>352606.07</v>
      </c>
      <c r="M400">
        <v>89376.82</v>
      </c>
      <c r="N400" s="7" t="s">
        <v>59</v>
      </c>
      <c r="O400" s="9">
        <f>IFERROR(RawSalesTable_[[#This Row],[Profit]]/RawSalesTable_[[#This Row],[Revenue]],0)</f>
        <v>0.20221782793447052</v>
      </c>
    </row>
    <row r="401" spans="1:15">
      <c r="A401" s="7" t="s">
        <v>499</v>
      </c>
      <c r="B401" s="8">
        <v>45956</v>
      </c>
      <c r="C401" s="7" t="s">
        <v>22</v>
      </c>
      <c r="D401" s="7" t="s">
        <v>23</v>
      </c>
      <c r="E401" s="7" t="s">
        <v>49</v>
      </c>
      <c r="F401" s="7" t="s">
        <v>107</v>
      </c>
      <c r="G401" s="7" t="s">
        <v>61</v>
      </c>
      <c r="H401">
        <v>8</v>
      </c>
      <c r="I401">
        <v>4925.91</v>
      </c>
      <c r="J401">
        <v>0.05</v>
      </c>
      <c r="K401">
        <v>37436.92</v>
      </c>
      <c r="L401">
        <v>21860.47</v>
      </c>
      <c r="M401">
        <v>15576.45</v>
      </c>
      <c r="N401" s="7" t="s">
        <v>59</v>
      </c>
      <c r="O401" s="9">
        <f>IFERROR(RawSalesTable_[[#This Row],[Profit]]/RawSalesTable_[[#This Row],[Revenue]],0)</f>
        <v>0.41607188839252807</v>
      </c>
    </row>
    <row r="402" spans="1:15">
      <c r="A402" s="7" t="s">
        <v>500</v>
      </c>
      <c r="B402" s="8">
        <v>45666</v>
      </c>
      <c r="C402" s="7" t="s">
        <v>22</v>
      </c>
      <c r="D402" s="7" t="s">
        <v>37</v>
      </c>
      <c r="E402" s="7" t="s">
        <v>30</v>
      </c>
      <c r="F402" s="7" t="s">
        <v>40</v>
      </c>
      <c r="G402" s="7" t="s">
        <v>47</v>
      </c>
      <c r="H402">
        <v>2</v>
      </c>
      <c r="I402">
        <v>23440.87</v>
      </c>
      <c r="J402">
        <v>0.05</v>
      </c>
      <c r="K402">
        <v>44537.65</v>
      </c>
      <c r="L402">
        <v>30944.46</v>
      </c>
      <c r="M402">
        <v>13593.19</v>
      </c>
      <c r="N402" s="7" t="s">
        <v>20</v>
      </c>
      <c r="O402" s="9">
        <f>IFERROR(RawSalesTable_[[#This Row],[Profit]]/RawSalesTable_[[#This Row],[Revenue]],0)</f>
        <v>0.30520671836075769</v>
      </c>
    </row>
    <row r="403" spans="1:15">
      <c r="A403" s="7" t="s">
        <v>501</v>
      </c>
      <c r="B403" s="8">
        <v>45930</v>
      </c>
      <c r="C403" s="7" t="s">
        <v>22</v>
      </c>
      <c r="D403" s="7" t="s">
        <v>37</v>
      </c>
      <c r="E403" s="7" t="s">
        <v>17</v>
      </c>
      <c r="F403" s="7" t="s">
        <v>24</v>
      </c>
      <c r="G403" s="7" t="s">
        <v>19</v>
      </c>
      <c r="H403">
        <v>8</v>
      </c>
      <c r="I403">
        <v>97911.67</v>
      </c>
      <c r="J403">
        <v>0.1</v>
      </c>
      <c r="K403">
        <v>704964.02</v>
      </c>
      <c r="L403">
        <v>529166.51</v>
      </c>
      <c r="M403">
        <v>175797.51</v>
      </c>
      <c r="N403" s="7" t="s">
        <v>33</v>
      </c>
      <c r="O403" s="9">
        <f>IFERROR(RawSalesTable_[[#This Row],[Profit]]/RawSalesTable_[[#This Row],[Revenue]],0)</f>
        <v>0.24937089697145112</v>
      </c>
    </row>
    <row r="404" spans="1:15">
      <c r="A404" s="7" t="s">
        <v>502</v>
      </c>
      <c r="B404" s="8">
        <v>46015</v>
      </c>
      <c r="C404" s="7" t="s">
        <v>28</v>
      </c>
      <c r="D404" s="7" t="s">
        <v>29</v>
      </c>
      <c r="E404" s="7" t="s">
        <v>44</v>
      </c>
      <c r="F404" s="7" t="s">
        <v>80</v>
      </c>
      <c r="G404" s="7" t="s">
        <v>25</v>
      </c>
      <c r="H404">
        <v>7</v>
      </c>
      <c r="I404">
        <v>43151.66</v>
      </c>
      <c r="J404">
        <v>0.05</v>
      </c>
      <c r="K404">
        <v>286958.53999999998</v>
      </c>
      <c r="L404">
        <v>223778.58</v>
      </c>
      <c r="M404">
        <v>63179.96</v>
      </c>
      <c r="N404" s="7" t="s">
        <v>26</v>
      </c>
      <c r="O404" s="9">
        <f>IFERROR(RawSalesTable_[[#This Row],[Profit]]/RawSalesTable_[[#This Row],[Revenue]],0)</f>
        <v>0.22017103934247784</v>
      </c>
    </row>
    <row r="405" spans="1:15">
      <c r="A405" s="7" t="s">
        <v>503</v>
      </c>
      <c r="B405" s="8">
        <v>45700</v>
      </c>
      <c r="C405" s="7" t="s">
        <v>28</v>
      </c>
      <c r="D405" s="7" t="s">
        <v>56</v>
      </c>
      <c r="E405" s="7" t="s">
        <v>30</v>
      </c>
      <c r="F405" s="7" t="s">
        <v>31</v>
      </c>
      <c r="G405" s="7" t="s">
        <v>58</v>
      </c>
      <c r="H405">
        <v>7</v>
      </c>
      <c r="I405">
        <v>127091.88</v>
      </c>
      <c r="J405">
        <v>0.05</v>
      </c>
      <c r="K405">
        <v>845161</v>
      </c>
      <c r="L405">
        <v>723692.36</v>
      </c>
      <c r="M405">
        <v>121468.64</v>
      </c>
      <c r="N405" s="7" t="s">
        <v>20</v>
      </c>
      <c r="O405" s="9">
        <f>IFERROR(RawSalesTable_[[#This Row],[Profit]]/RawSalesTable_[[#This Row],[Revenue]],0)</f>
        <v>0.143722486011541</v>
      </c>
    </row>
    <row r="406" spans="1:15">
      <c r="A406" s="7" t="s">
        <v>504</v>
      </c>
      <c r="B406" s="8">
        <v>46010</v>
      </c>
      <c r="C406" s="7" t="s">
        <v>28</v>
      </c>
      <c r="D406" s="7" t="s">
        <v>52</v>
      </c>
      <c r="E406" s="7" t="s">
        <v>17</v>
      </c>
      <c r="F406" s="7" t="s">
        <v>75</v>
      </c>
      <c r="G406" s="7" t="s">
        <v>32</v>
      </c>
      <c r="H406">
        <v>2</v>
      </c>
      <c r="I406">
        <v>185584.95</v>
      </c>
      <c r="J406">
        <v>0.05</v>
      </c>
      <c r="K406">
        <v>352611.41</v>
      </c>
      <c r="L406">
        <v>288492.38</v>
      </c>
      <c r="M406">
        <v>64119.03</v>
      </c>
      <c r="N406" s="7" t="s">
        <v>20</v>
      </c>
      <c r="O406" s="9">
        <f>IFERROR(RawSalesTable_[[#This Row],[Profit]]/RawSalesTable_[[#This Row],[Revenue]],0)</f>
        <v>0.18184048553618842</v>
      </c>
    </row>
    <row r="407" spans="1:15">
      <c r="A407" s="7" t="s">
        <v>505</v>
      </c>
      <c r="B407" s="8">
        <v>45845</v>
      </c>
      <c r="C407" s="7" t="s">
        <v>28</v>
      </c>
      <c r="D407" s="7" t="s">
        <v>52</v>
      </c>
      <c r="E407" s="7" t="s">
        <v>44</v>
      </c>
      <c r="F407" s="7" t="s">
        <v>53</v>
      </c>
      <c r="G407" s="7" t="s">
        <v>58</v>
      </c>
      <c r="H407">
        <v>5</v>
      </c>
      <c r="I407">
        <v>8175.37</v>
      </c>
      <c r="J407">
        <v>0.1</v>
      </c>
      <c r="K407">
        <v>36789.17</v>
      </c>
      <c r="L407">
        <v>24491.41</v>
      </c>
      <c r="M407">
        <v>12297.76</v>
      </c>
      <c r="N407" s="7" t="s">
        <v>20</v>
      </c>
      <c r="O407" s="9">
        <f>IFERROR(RawSalesTable_[[#This Row],[Profit]]/RawSalesTable_[[#This Row],[Revenue]],0)</f>
        <v>0.33427663630356436</v>
      </c>
    </row>
    <row r="408" spans="1:15">
      <c r="A408" s="7" t="s">
        <v>506</v>
      </c>
      <c r="B408" s="8">
        <v>45815</v>
      </c>
      <c r="C408" s="7" t="s">
        <v>22</v>
      </c>
      <c r="D408" s="7" t="s">
        <v>35</v>
      </c>
      <c r="E408" s="7" t="s">
        <v>49</v>
      </c>
      <c r="F408" s="7" t="s">
        <v>1590</v>
      </c>
      <c r="G408" s="7" t="s">
        <v>32</v>
      </c>
      <c r="H408">
        <v>6</v>
      </c>
      <c r="I408">
        <v>4239.71</v>
      </c>
      <c r="J408">
        <v>0.05</v>
      </c>
      <c r="K408">
        <v>24166.35</v>
      </c>
      <c r="L408">
        <v>12445.83</v>
      </c>
      <c r="M408">
        <v>11720.52</v>
      </c>
      <c r="N408" s="7" t="s">
        <v>20</v>
      </c>
      <c r="O408" s="9">
        <f>IFERROR(RawSalesTable_[[#This Row],[Profit]]/RawSalesTable_[[#This Row],[Revenue]],0)</f>
        <v>0.48499338956855303</v>
      </c>
    </row>
    <row r="409" spans="1:15">
      <c r="A409" s="7" t="s">
        <v>507</v>
      </c>
      <c r="B409" s="8">
        <v>45918</v>
      </c>
      <c r="C409" s="7" t="s">
        <v>15</v>
      </c>
      <c r="D409" s="7" t="s">
        <v>16</v>
      </c>
      <c r="E409" s="7" t="s">
        <v>17</v>
      </c>
      <c r="F409" s="7" t="s">
        <v>24</v>
      </c>
      <c r="G409" s="7" t="s">
        <v>25</v>
      </c>
      <c r="H409">
        <v>8</v>
      </c>
      <c r="I409">
        <v>96167.37</v>
      </c>
      <c r="J409">
        <v>0</v>
      </c>
      <c r="K409">
        <v>769338.96</v>
      </c>
      <c r="L409">
        <v>531498.61</v>
      </c>
      <c r="M409">
        <v>237840.35</v>
      </c>
      <c r="N409" s="7" t="s">
        <v>59</v>
      </c>
      <c r="O409" s="9">
        <f>IFERROR(RawSalesTable_[[#This Row],[Profit]]/RawSalesTable_[[#This Row],[Revenue]],0)</f>
        <v>0.30914897381513085</v>
      </c>
    </row>
    <row r="410" spans="1:15">
      <c r="A410" s="7" t="s">
        <v>508</v>
      </c>
      <c r="B410" s="8">
        <v>45732</v>
      </c>
      <c r="C410" s="7" t="s">
        <v>15</v>
      </c>
      <c r="D410" s="7" t="s">
        <v>43</v>
      </c>
      <c r="E410" s="7" t="s">
        <v>17</v>
      </c>
      <c r="F410" s="7" t="s">
        <v>24</v>
      </c>
      <c r="G410" s="7" t="s">
        <v>70</v>
      </c>
      <c r="H410">
        <v>7</v>
      </c>
      <c r="I410">
        <v>98838.47</v>
      </c>
      <c r="J410">
        <v>0</v>
      </c>
      <c r="K410">
        <v>691869.29</v>
      </c>
      <c r="L410">
        <v>488521.59</v>
      </c>
      <c r="M410">
        <v>203347.7</v>
      </c>
      <c r="N410" s="7" t="s">
        <v>20</v>
      </c>
      <c r="O410" s="9">
        <f>IFERROR(RawSalesTable_[[#This Row],[Profit]]/RawSalesTable_[[#This Row],[Revenue]],0)</f>
        <v>0.29391057377326285</v>
      </c>
    </row>
    <row r="411" spans="1:15">
      <c r="A411" s="7" t="s">
        <v>509</v>
      </c>
      <c r="B411" s="8">
        <v>45863</v>
      </c>
      <c r="C411" s="7" t="s">
        <v>22</v>
      </c>
      <c r="D411" s="7" t="s">
        <v>23</v>
      </c>
      <c r="E411" s="7" t="s">
        <v>30</v>
      </c>
      <c r="F411" s="7" t="s">
        <v>86</v>
      </c>
      <c r="G411" s="7" t="s">
        <v>58</v>
      </c>
      <c r="H411">
        <v>6</v>
      </c>
      <c r="I411">
        <v>30782.61</v>
      </c>
      <c r="J411">
        <v>0</v>
      </c>
      <c r="K411">
        <v>184695.66</v>
      </c>
      <c r="L411">
        <v>137796.48000000001</v>
      </c>
      <c r="M411">
        <v>46899.18</v>
      </c>
      <c r="N411" s="7" t="s">
        <v>33</v>
      </c>
      <c r="O411" s="9">
        <f>IFERROR(RawSalesTable_[[#This Row],[Profit]]/RawSalesTable_[[#This Row],[Revenue]],0)</f>
        <v>0.25392681127428768</v>
      </c>
    </row>
    <row r="412" spans="1:15">
      <c r="A412" s="7" t="s">
        <v>510</v>
      </c>
      <c r="B412" s="8">
        <v>45923</v>
      </c>
      <c r="C412" s="7" t="s">
        <v>22</v>
      </c>
      <c r="D412" s="7" t="s">
        <v>37</v>
      </c>
      <c r="E412" s="7" t="s">
        <v>49</v>
      </c>
      <c r="F412" s="7" t="s">
        <v>107</v>
      </c>
      <c r="G412" s="7" t="s">
        <v>58</v>
      </c>
      <c r="H412">
        <v>1</v>
      </c>
      <c r="I412">
        <v>4951.82</v>
      </c>
      <c r="J412">
        <v>0.15</v>
      </c>
      <c r="K412">
        <v>4209.05</v>
      </c>
      <c r="L412">
        <v>2794.91</v>
      </c>
      <c r="M412">
        <v>1414.14</v>
      </c>
      <c r="N412" s="7" t="s">
        <v>26</v>
      </c>
      <c r="O412" s="9">
        <f>IFERROR(RawSalesTable_[[#This Row],[Profit]]/RawSalesTable_[[#This Row],[Revenue]],0)</f>
        <v>0.33597605160309335</v>
      </c>
    </row>
    <row r="413" spans="1:15">
      <c r="A413" s="7" t="s">
        <v>511</v>
      </c>
      <c r="B413" s="8">
        <v>45738</v>
      </c>
      <c r="C413" s="7" t="s">
        <v>22</v>
      </c>
      <c r="D413" s="7" t="s">
        <v>37</v>
      </c>
      <c r="E413" s="7" t="s">
        <v>44</v>
      </c>
      <c r="F413" s="7" t="s">
        <v>45</v>
      </c>
      <c r="G413" s="7" t="s">
        <v>19</v>
      </c>
      <c r="H413">
        <v>1</v>
      </c>
      <c r="I413">
        <v>27860.41</v>
      </c>
      <c r="J413">
        <v>0.15</v>
      </c>
      <c r="K413">
        <v>23681.35</v>
      </c>
      <c r="L413">
        <v>18430.38</v>
      </c>
      <c r="M413">
        <v>5250.97</v>
      </c>
      <c r="N413" s="7" t="s">
        <v>59</v>
      </c>
      <c r="O413" s="9">
        <f>IFERROR(RawSalesTable_[[#This Row],[Profit]]/RawSalesTable_[[#This Row],[Revenue]],0)</f>
        <v>0.2217344028106506</v>
      </c>
    </row>
    <row r="414" spans="1:15">
      <c r="A414" s="7" t="s">
        <v>512</v>
      </c>
      <c r="B414" s="8">
        <v>45704</v>
      </c>
      <c r="C414" s="7" t="s">
        <v>28</v>
      </c>
      <c r="D414" s="7" t="s">
        <v>56</v>
      </c>
      <c r="E414" s="7" t="s">
        <v>49</v>
      </c>
      <c r="F414" s="7" t="s">
        <v>107</v>
      </c>
      <c r="G414" s="7" t="s">
        <v>58</v>
      </c>
      <c r="H414">
        <v>4</v>
      </c>
      <c r="I414">
        <v>5214.76</v>
      </c>
      <c r="J414">
        <v>0.15</v>
      </c>
      <c r="K414">
        <v>17730.18</v>
      </c>
      <c r="L414">
        <v>11007.94</v>
      </c>
      <c r="M414">
        <v>6722.24</v>
      </c>
      <c r="N414" s="7" t="s">
        <v>59</v>
      </c>
      <c r="O414" s="9">
        <f>IFERROR(RawSalesTable_[[#This Row],[Profit]]/RawSalesTable_[[#This Row],[Revenue]],0)</f>
        <v>0.3791411029104047</v>
      </c>
    </row>
    <row r="415" spans="1:15">
      <c r="A415" s="7" t="s">
        <v>513</v>
      </c>
      <c r="B415" s="8">
        <v>45747</v>
      </c>
      <c r="C415" s="7" t="s">
        <v>28</v>
      </c>
      <c r="D415" s="7" t="s">
        <v>56</v>
      </c>
      <c r="E415" s="7" t="s">
        <v>44</v>
      </c>
      <c r="F415" s="7" t="s">
        <v>45</v>
      </c>
      <c r="G415" s="7" t="s">
        <v>25</v>
      </c>
      <c r="H415">
        <v>8</v>
      </c>
      <c r="I415">
        <v>30459.5</v>
      </c>
      <c r="J415">
        <v>0.1</v>
      </c>
      <c r="K415">
        <v>219308.4</v>
      </c>
      <c r="L415">
        <v>147489.49</v>
      </c>
      <c r="M415">
        <v>71818.91</v>
      </c>
      <c r="N415" s="7" t="s">
        <v>33</v>
      </c>
      <c r="O415" s="9">
        <f>IFERROR(RawSalesTable_[[#This Row],[Profit]]/RawSalesTable_[[#This Row],[Revenue]],0)</f>
        <v>0.32747906600932752</v>
      </c>
    </row>
    <row r="416" spans="1:15">
      <c r="A416" s="7" t="s">
        <v>514</v>
      </c>
      <c r="B416" s="8">
        <v>45952</v>
      </c>
      <c r="C416" s="7" t="s">
        <v>15</v>
      </c>
      <c r="D416" s="7" t="s">
        <v>16</v>
      </c>
      <c r="E416" s="7" t="s">
        <v>30</v>
      </c>
      <c r="F416" s="7" t="s">
        <v>38</v>
      </c>
      <c r="G416" s="7" t="s">
        <v>58</v>
      </c>
      <c r="H416">
        <v>2</v>
      </c>
      <c r="I416">
        <v>28308.71</v>
      </c>
      <c r="J416">
        <v>0.05</v>
      </c>
      <c r="K416">
        <v>53786.55</v>
      </c>
      <c r="L416">
        <v>37127.800000000003</v>
      </c>
      <c r="M416">
        <v>16658.75</v>
      </c>
      <c r="N416" s="7" t="s">
        <v>20</v>
      </c>
      <c r="O416" s="9">
        <f>IFERROR(RawSalesTable_[[#This Row],[Profit]]/RawSalesTable_[[#This Row],[Revenue]],0)</f>
        <v>0.30971962321435376</v>
      </c>
    </row>
    <row r="417" spans="1:15">
      <c r="A417" s="7" t="s">
        <v>516</v>
      </c>
      <c r="B417" s="8">
        <v>45869</v>
      </c>
      <c r="C417" s="7" t="s">
        <v>22</v>
      </c>
      <c r="D417" s="7" t="s">
        <v>35</v>
      </c>
      <c r="E417" s="7" t="s">
        <v>17</v>
      </c>
      <c r="F417" s="7" t="s">
        <v>114</v>
      </c>
      <c r="G417" s="7" t="s">
        <v>32</v>
      </c>
      <c r="H417">
        <v>4</v>
      </c>
      <c r="I417">
        <v>53471.92</v>
      </c>
      <c r="J417">
        <v>0</v>
      </c>
      <c r="K417">
        <v>213887.68</v>
      </c>
      <c r="L417">
        <v>149797.65</v>
      </c>
      <c r="M417">
        <v>64090.03</v>
      </c>
      <c r="N417" s="7" t="s">
        <v>33</v>
      </c>
      <c r="O417" s="9">
        <f>IFERROR(RawSalesTable_[[#This Row],[Profit]]/RawSalesTable_[[#This Row],[Revenue]],0)</f>
        <v>0.29964339227018594</v>
      </c>
    </row>
    <row r="418" spans="1:15">
      <c r="A418" s="7" t="s">
        <v>517</v>
      </c>
      <c r="B418" s="8">
        <v>45696</v>
      </c>
      <c r="C418" s="7" t="s">
        <v>15</v>
      </c>
      <c r="D418" s="7" t="s">
        <v>63</v>
      </c>
      <c r="E418" s="7" t="s">
        <v>44</v>
      </c>
      <c r="F418" s="7" t="s">
        <v>69</v>
      </c>
      <c r="G418" s="7" t="s">
        <v>61</v>
      </c>
      <c r="H418">
        <v>2</v>
      </c>
      <c r="I418">
        <v>37385.5</v>
      </c>
      <c r="J418">
        <v>0.15</v>
      </c>
      <c r="K418">
        <v>63555.35</v>
      </c>
      <c r="L418">
        <v>53428.71</v>
      </c>
      <c r="M418">
        <v>10126.64</v>
      </c>
      <c r="N418" s="7" t="s">
        <v>20</v>
      </c>
      <c r="O418" s="9">
        <f>IFERROR(RawSalesTable_[[#This Row],[Profit]]/RawSalesTable_[[#This Row],[Revenue]],0)</f>
        <v>0.15933576008943384</v>
      </c>
    </row>
    <row r="419" spans="1:15">
      <c r="A419" s="7" t="s">
        <v>518</v>
      </c>
      <c r="B419" s="8">
        <v>45755</v>
      </c>
      <c r="C419" s="7" t="s">
        <v>28</v>
      </c>
      <c r="D419" s="7" t="s">
        <v>56</v>
      </c>
      <c r="E419" s="7" t="s">
        <v>44</v>
      </c>
      <c r="F419" s="7" t="s">
        <v>69</v>
      </c>
      <c r="G419" s="7" t="s">
        <v>70</v>
      </c>
      <c r="H419">
        <v>3</v>
      </c>
      <c r="I419">
        <v>40718.480000000003</v>
      </c>
      <c r="J419">
        <v>0.15</v>
      </c>
      <c r="K419">
        <v>103832.12</v>
      </c>
      <c r="L419">
        <v>80739.19</v>
      </c>
      <c r="M419">
        <v>23092.93</v>
      </c>
      <c r="N419" s="7" t="s">
        <v>26</v>
      </c>
      <c r="O419" s="9">
        <f>IFERROR(RawSalesTable_[[#This Row],[Profit]]/RawSalesTable_[[#This Row],[Revenue]],0)</f>
        <v>0.22240641913118986</v>
      </c>
    </row>
    <row r="420" spans="1:15">
      <c r="A420" s="7" t="s">
        <v>519</v>
      </c>
      <c r="B420" s="8">
        <v>45840</v>
      </c>
      <c r="C420" s="7" t="s">
        <v>22</v>
      </c>
      <c r="D420" s="7" t="s">
        <v>37</v>
      </c>
      <c r="E420" s="7" t="s">
        <v>44</v>
      </c>
      <c r="F420" s="7" t="s">
        <v>69</v>
      </c>
      <c r="G420" s="7" t="s">
        <v>61</v>
      </c>
      <c r="H420">
        <v>4</v>
      </c>
      <c r="I420">
        <v>36353.58</v>
      </c>
      <c r="J420">
        <v>0</v>
      </c>
      <c r="K420">
        <v>145414.32</v>
      </c>
      <c r="L420">
        <v>106968.52</v>
      </c>
      <c r="M420">
        <v>38445.800000000003</v>
      </c>
      <c r="N420" s="7" t="s">
        <v>33</v>
      </c>
      <c r="O420" s="9">
        <f>IFERROR(RawSalesTable_[[#This Row],[Profit]]/RawSalesTable_[[#This Row],[Revenue]],0)</f>
        <v>0.26438799149904907</v>
      </c>
    </row>
    <row r="421" spans="1:15">
      <c r="A421" s="7" t="s">
        <v>520</v>
      </c>
      <c r="B421" s="8">
        <v>45910</v>
      </c>
      <c r="C421" s="7" t="s">
        <v>22</v>
      </c>
      <c r="D421" s="7" t="s">
        <v>23</v>
      </c>
      <c r="E421" s="7" t="s">
        <v>49</v>
      </c>
      <c r="F421" s="7" t="s">
        <v>91</v>
      </c>
      <c r="G421" s="7" t="s">
        <v>58</v>
      </c>
      <c r="H421">
        <v>1</v>
      </c>
      <c r="I421">
        <v>6861.93</v>
      </c>
      <c r="J421">
        <v>0.05</v>
      </c>
      <c r="K421">
        <v>6518.83</v>
      </c>
      <c r="L421">
        <v>3648.41</v>
      </c>
      <c r="M421">
        <v>2870.42</v>
      </c>
      <c r="N421" s="7" t="s">
        <v>20</v>
      </c>
      <c r="O421" s="9">
        <f>IFERROR(RawSalesTable_[[#This Row],[Profit]]/RawSalesTable_[[#This Row],[Revenue]],0)</f>
        <v>0.44032748207883932</v>
      </c>
    </row>
    <row r="422" spans="1:15">
      <c r="A422" s="7" t="s">
        <v>521</v>
      </c>
      <c r="B422" s="8">
        <v>45874</v>
      </c>
      <c r="C422" s="7" t="s">
        <v>22</v>
      </c>
      <c r="D422" s="7" t="s">
        <v>37</v>
      </c>
      <c r="E422" s="7" t="s">
        <v>30</v>
      </c>
      <c r="F422" s="7" t="s">
        <v>40</v>
      </c>
      <c r="G422" s="7" t="s">
        <v>70</v>
      </c>
      <c r="H422">
        <v>4</v>
      </c>
      <c r="I422">
        <v>25480.66</v>
      </c>
      <c r="J422">
        <v>0</v>
      </c>
      <c r="K422">
        <v>101922.64</v>
      </c>
      <c r="L422">
        <v>61543.55</v>
      </c>
      <c r="M422">
        <v>40379.089999999997</v>
      </c>
      <c r="N422" s="7" t="s">
        <v>33</v>
      </c>
      <c r="O422" s="9">
        <f>IFERROR(RawSalesTable_[[#This Row],[Profit]]/RawSalesTable_[[#This Row],[Revenue]],0)</f>
        <v>0.39617390208887837</v>
      </c>
    </row>
    <row r="423" spans="1:15">
      <c r="A423" s="7" t="s">
        <v>522</v>
      </c>
      <c r="B423" s="8">
        <v>45819</v>
      </c>
      <c r="C423" s="7" t="s">
        <v>15</v>
      </c>
      <c r="D423" s="7" t="s">
        <v>63</v>
      </c>
      <c r="E423" s="7" t="s">
        <v>49</v>
      </c>
      <c r="F423" s="7" t="s">
        <v>1590</v>
      </c>
      <c r="G423" s="7" t="s">
        <v>64</v>
      </c>
      <c r="H423">
        <v>8</v>
      </c>
      <c r="I423">
        <v>4520.21</v>
      </c>
      <c r="J423">
        <v>0.15</v>
      </c>
      <c r="K423">
        <v>30737.43</v>
      </c>
      <c r="L423">
        <v>16905.41</v>
      </c>
      <c r="M423">
        <v>13832.02</v>
      </c>
      <c r="N423" s="7" t="s">
        <v>33</v>
      </c>
      <c r="O423" s="9">
        <f>IFERROR(RawSalesTable_[[#This Row],[Profit]]/RawSalesTable_[[#This Row],[Revenue]],0)</f>
        <v>0.45000574218469147</v>
      </c>
    </row>
    <row r="424" spans="1:15">
      <c r="A424" s="7" t="s">
        <v>523</v>
      </c>
      <c r="B424" s="8">
        <v>45792</v>
      </c>
      <c r="C424" s="7" t="s">
        <v>15</v>
      </c>
      <c r="D424" s="7" t="s">
        <v>16</v>
      </c>
      <c r="E424" s="7" t="s">
        <v>49</v>
      </c>
      <c r="F424" s="7" t="s">
        <v>91</v>
      </c>
      <c r="G424" s="7" t="s">
        <v>47</v>
      </c>
      <c r="H424">
        <v>6</v>
      </c>
      <c r="I424">
        <v>6356.07</v>
      </c>
      <c r="J424">
        <v>0.05</v>
      </c>
      <c r="K424">
        <v>36229.599999999999</v>
      </c>
      <c r="L424">
        <v>21234.97</v>
      </c>
      <c r="M424">
        <v>14994.63</v>
      </c>
      <c r="N424" s="7" t="s">
        <v>59</v>
      </c>
      <c r="O424" s="9">
        <f>IFERROR(RawSalesTable_[[#This Row],[Profit]]/RawSalesTable_[[#This Row],[Revenue]],0)</f>
        <v>0.41387787886148342</v>
      </c>
    </row>
    <row r="425" spans="1:15">
      <c r="A425" s="7" t="s">
        <v>524</v>
      </c>
      <c r="B425" s="8">
        <v>45848</v>
      </c>
      <c r="C425" s="7" t="s">
        <v>28</v>
      </c>
      <c r="D425" s="7" t="s">
        <v>29</v>
      </c>
      <c r="E425" s="7" t="s">
        <v>30</v>
      </c>
      <c r="F425" s="7" t="s">
        <v>38</v>
      </c>
      <c r="G425" s="7" t="s">
        <v>32</v>
      </c>
      <c r="H425">
        <v>3</v>
      </c>
      <c r="I425">
        <v>26994.69</v>
      </c>
      <c r="J425">
        <v>0</v>
      </c>
      <c r="K425">
        <v>80984.070000000007</v>
      </c>
      <c r="L425">
        <v>53964.17</v>
      </c>
      <c r="M425">
        <v>27019.9</v>
      </c>
      <c r="N425" s="7" t="s">
        <v>20</v>
      </c>
      <c r="O425" s="9">
        <f>IFERROR(RawSalesTable_[[#This Row],[Profit]]/RawSalesTable_[[#This Row],[Revenue]],0)</f>
        <v>0.33364462912273979</v>
      </c>
    </row>
    <row r="426" spans="1:15">
      <c r="A426" s="7" t="s">
        <v>525</v>
      </c>
      <c r="B426" s="8">
        <v>45778</v>
      </c>
      <c r="C426" s="7" t="s">
        <v>28</v>
      </c>
      <c r="D426" s="7" t="s">
        <v>56</v>
      </c>
      <c r="E426" s="7" t="s">
        <v>44</v>
      </c>
      <c r="F426" s="7" t="s">
        <v>45</v>
      </c>
      <c r="G426" s="7" t="s">
        <v>25</v>
      </c>
      <c r="H426">
        <v>4</v>
      </c>
      <c r="I426">
        <v>29932.71</v>
      </c>
      <c r="J426">
        <v>0.15</v>
      </c>
      <c r="K426">
        <v>101771.21</v>
      </c>
      <c r="L426">
        <v>75156.13</v>
      </c>
      <c r="M426">
        <v>26615.08</v>
      </c>
      <c r="N426" s="7" t="s">
        <v>20</v>
      </c>
      <c r="O426" s="9">
        <f>IFERROR(RawSalesTable_[[#This Row],[Profit]]/RawSalesTable_[[#This Row],[Revenue]],0)</f>
        <v>0.26151875368289323</v>
      </c>
    </row>
    <row r="427" spans="1:15">
      <c r="A427" s="7" t="s">
        <v>526</v>
      </c>
      <c r="B427" s="8">
        <v>45980</v>
      </c>
      <c r="C427" s="7" t="s">
        <v>22</v>
      </c>
      <c r="D427" s="7" t="s">
        <v>23</v>
      </c>
      <c r="E427" s="7" t="s">
        <v>44</v>
      </c>
      <c r="F427" s="7" t="s">
        <v>53</v>
      </c>
      <c r="G427" s="7" t="s">
        <v>32</v>
      </c>
      <c r="H427">
        <v>1</v>
      </c>
      <c r="I427">
        <v>8060.19</v>
      </c>
      <c r="J427">
        <v>0.05</v>
      </c>
      <c r="K427">
        <v>7657.18</v>
      </c>
      <c r="L427">
        <v>4799.12</v>
      </c>
      <c r="M427">
        <v>2858.06</v>
      </c>
      <c r="N427" s="7" t="s">
        <v>20</v>
      </c>
      <c r="O427" s="9">
        <f>IFERROR(RawSalesTable_[[#This Row],[Profit]]/RawSalesTable_[[#This Row],[Revenue]],0)</f>
        <v>0.3732522939254399</v>
      </c>
    </row>
    <row r="428" spans="1:15">
      <c r="A428" s="7" t="s">
        <v>527</v>
      </c>
      <c r="B428" s="8">
        <v>45788</v>
      </c>
      <c r="C428" s="7" t="s">
        <v>28</v>
      </c>
      <c r="D428" s="7" t="s">
        <v>56</v>
      </c>
      <c r="E428" s="7" t="s">
        <v>17</v>
      </c>
      <c r="F428" s="7" t="s">
        <v>114</v>
      </c>
      <c r="G428" s="7" t="s">
        <v>70</v>
      </c>
      <c r="H428">
        <v>2</v>
      </c>
      <c r="I428">
        <v>53585.32</v>
      </c>
      <c r="J428">
        <v>0</v>
      </c>
      <c r="K428">
        <v>107170.64</v>
      </c>
      <c r="L428">
        <v>71911.039999999994</v>
      </c>
      <c r="M428">
        <v>35259.599999999999</v>
      </c>
      <c r="N428" s="7" t="s">
        <v>33</v>
      </c>
      <c r="O428" s="9">
        <f>IFERROR(RawSalesTable_[[#This Row],[Profit]]/RawSalesTable_[[#This Row],[Revenue]],0)</f>
        <v>0.32900428699502027</v>
      </c>
    </row>
    <row r="429" spans="1:15">
      <c r="A429" s="7" t="s">
        <v>528</v>
      </c>
      <c r="B429" s="8">
        <v>45789</v>
      </c>
      <c r="C429" s="7" t="s">
        <v>28</v>
      </c>
      <c r="D429" s="7" t="s">
        <v>29</v>
      </c>
      <c r="E429" s="7" t="s">
        <v>30</v>
      </c>
      <c r="F429" s="7" t="s">
        <v>38</v>
      </c>
      <c r="G429" s="7" t="s">
        <v>32</v>
      </c>
      <c r="H429">
        <v>6</v>
      </c>
      <c r="I429">
        <v>26396.52</v>
      </c>
      <c r="J429">
        <v>-0.05</v>
      </c>
      <c r="K429">
        <v>142541.21</v>
      </c>
      <c r="L429">
        <v>111804.74</v>
      </c>
      <c r="M429">
        <v>30736.47</v>
      </c>
      <c r="N429" s="7" t="s">
        <v>33</v>
      </c>
      <c r="O429" s="9">
        <f>IFERROR(RawSalesTable_[[#This Row],[Profit]]/RawSalesTable_[[#This Row],[Revenue]],0)</f>
        <v>0.21563216700629947</v>
      </c>
    </row>
    <row r="430" spans="1:15">
      <c r="A430" s="7" t="s">
        <v>529</v>
      </c>
      <c r="B430" s="8">
        <v>46002</v>
      </c>
      <c r="C430" s="7" t="s">
        <v>28</v>
      </c>
      <c r="D430" s="7" t="s">
        <v>52</v>
      </c>
      <c r="E430" s="7" t="s">
        <v>30</v>
      </c>
      <c r="F430" s="7" t="s">
        <v>86</v>
      </c>
      <c r="G430" s="7" t="s">
        <v>70</v>
      </c>
      <c r="H430">
        <v>3</v>
      </c>
      <c r="I430">
        <v>35531.089999999997</v>
      </c>
      <c r="J430">
        <v>0.05</v>
      </c>
      <c r="K430">
        <v>101263.61</v>
      </c>
      <c r="L430">
        <v>67152.89</v>
      </c>
      <c r="M430">
        <v>34110.720000000001</v>
      </c>
      <c r="N430" s="7" t="s">
        <v>20</v>
      </c>
      <c r="O430" s="9">
        <f>IFERROR(RawSalesTable_[[#This Row],[Profit]]/RawSalesTable_[[#This Row],[Revenue]],0)</f>
        <v>0.33685072060930871</v>
      </c>
    </row>
    <row r="431" spans="1:15">
      <c r="A431" s="7" t="s">
        <v>530</v>
      </c>
      <c r="B431" s="8">
        <v>45830</v>
      </c>
      <c r="C431" s="7" t="s">
        <v>22</v>
      </c>
      <c r="D431" s="7" t="s">
        <v>35</v>
      </c>
      <c r="E431" s="7" t="s">
        <v>30</v>
      </c>
      <c r="F431" s="7" t="s">
        <v>40</v>
      </c>
      <c r="G431" s="7" t="s">
        <v>25</v>
      </c>
      <c r="H431">
        <v>3</v>
      </c>
      <c r="I431">
        <v>25943.57</v>
      </c>
      <c r="J431">
        <v>0.15</v>
      </c>
      <c r="K431">
        <v>66156.100000000006</v>
      </c>
      <c r="L431">
        <v>48658.01</v>
      </c>
      <c r="M431">
        <v>17498.09</v>
      </c>
      <c r="N431" s="7" t="s">
        <v>20</v>
      </c>
      <c r="O431" s="9">
        <f>IFERROR(RawSalesTable_[[#This Row],[Profit]]/RawSalesTable_[[#This Row],[Revenue]],0)</f>
        <v>0.26449700027661849</v>
      </c>
    </row>
    <row r="432" spans="1:15">
      <c r="A432" s="7" t="s">
        <v>531</v>
      </c>
      <c r="B432" s="8">
        <v>45794</v>
      </c>
      <c r="C432" s="7" t="s">
        <v>22</v>
      </c>
      <c r="D432" s="7" t="s">
        <v>23</v>
      </c>
      <c r="E432" s="7" t="s">
        <v>44</v>
      </c>
      <c r="F432" s="7" t="s">
        <v>69</v>
      </c>
      <c r="G432" s="7" t="s">
        <v>25</v>
      </c>
      <c r="H432">
        <v>4</v>
      </c>
      <c r="I432">
        <v>36865.97</v>
      </c>
      <c r="J432">
        <v>0.15</v>
      </c>
      <c r="K432">
        <v>125344.3</v>
      </c>
      <c r="L432">
        <v>103001.07</v>
      </c>
      <c r="M432">
        <v>22343.23</v>
      </c>
      <c r="N432" s="7" t="s">
        <v>59</v>
      </c>
      <c r="O432" s="9">
        <f>IFERROR(RawSalesTable_[[#This Row],[Profit]]/RawSalesTable_[[#This Row],[Revenue]],0)</f>
        <v>0.17825485482786213</v>
      </c>
    </row>
    <row r="433" spans="1:15">
      <c r="A433" s="7" t="s">
        <v>532</v>
      </c>
      <c r="B433" s="8">
        <v>45778</v>
      </c>
      <c r="C433" s="7" t="s">
        <v>28</v>
      </c>
      <c r="D433" s="7" t="s">
        <v>56</v>
      </c>
      <c r="E433" s="7" t="s">
        <v>49</v>
      </c>
      <c r="F433" s="7" t="s">
        <v>107</v>
      </c>
      <c r="G433" s="7" t="s">
        <v>58</v>
      </c>
      <c r="H433">
        <v>3</v>
      </c>
      <c r="I433">
        <v>4936.99</v>
      </c>
      <c r="J433">
        <v>0</v>
      </c>
      <c r="K433">
        <v>14810.97</v>
      </c>
      <c r="L433">
        <v>7927.9</v>
      </c>
      <c r="M433">
        <v>6883.07</v>
      </c>
      <c r="N433" s="7" t="s">
        <v>33</v>
      </c>
      <c r="O433" s="9">
        <f>IFERROR(RawSalesTable_[[#This Row],[Profit]]/RawSalesTable_[[#This Row],[Revenue]],0)</f>
        <v>0.46472783349098673</v>
      </c>
    </row>
    <row r="434" spans="1:15">
      <c r="A434" s="7" t="s">
        <v>533</v>
      </c>
      <c r="B434" s="8">
        <v>45671</v>
      </c>
      <c r="C434" s="7" t="s">
        <v>22</v>
      </c>
      <c r="D434" s="7" t="s">
        <v>23</v>
      </c>
      <c r="E434" s="7" t="s">
        <v>49</v>
      </c>
      <c r="F434" s="7" t="s">
        <v>91</v>
      </c>
      <c r="G434" s="7" t="s">
        <v>25</v>
      </c>
      <c r="H434">
        <v>2</v>
      </c>
      <c r="I434">
        <v>6046.34</v>
      </c>
      <c r="J434">
        <v>0.05</v>
      </c>
      <c r="K434">
        <v>11488.05</v>
      </c>
      <c r="L434">
        <v>7260.41</v>
      </c>
      <c r="M434">
        <v>4227.6400000000003</v>
      </c>
      <c r="N434" s="7" t="s">
        <v>33</v>
      </c>
      <c r="O434" s="9">
        <f>IFERROR(RawSalesTable_[[#This Row],[Profit]]/RawSalesTable_[[#This Row],[Revenue]],0)</f>
        <v>0.36800327296625629</v>
      </c>
    </row>
    <row r="435" spans="1:15">
      <c r="A435" s="7" t="s">
        <v>534</v>
      </c>
      <c r="B435" s="8">
        <v>45884</v>
      </c>
      <c r="C435" s="7" t="s">
        <v>22</v>
      </c>
      <c r="D435" s="7" t="s">
        <v>35</v>
      </c>
      <c r="E435" s="7" t="s">
        <v>44</v>
      </c>
      <c r="F435" s="7" t="s">
        <v>80</v>
      </c>
      <c r="G435" s="7" t="s">
        <v>61</v>
      </c>
      <c r="H435">
        <v>7</v>
      </c>
      <c r="I435">
        <v>41688.47</v>
      </c>
      <c r="J435">
        <v>0</v>
      </c>
      <c r="K435">
        <v>291819.28999999998</v>
      </c>
      <c r="L435">
        <v>221694.04</v>
      </c>
      <c r="M435">
        <v>70125.25</v>
      </c>
      <c r="N435" s="7" t="s">
        <v>26</v>
      </c>
      <c r="O435" s="9">
        <f>IFERROR(RawSalesTable_[[#This Row],[Profit]]/RawSalesTable_[[#This Row],[Revenue]],0)</f>
        <v>0.24030368246047068</v>
      </c>
    </row>
    <row r="436" spans="1:15">
      <c r="A436" s="7" t="s">
        <v>535</v>
      </c>
      <c r="B436" s="8">
        <v>45897</v>
      </c>
      <c r="C436" s="7" t="s">
        <v>15</v>
      </c>
      <c r="D436" s="7" t="s">
        <v>16</v>
      </c>
      <c r="E436" s="7" t="s">
        <v>17</v>
      </c>
      <c r="F436" s="7" t="s">
        <v>75</v>
      </c>
      <c r="G436" s="7" t="s">
        <v>58</v>
      </c>
      <c r="H436">
        <v>6</v>
      </c>
      <c r="I436">
        <v>195666.92</v>
      </c>
      <c r="J436">
        <v>0.05</v>
      </c>
      <c r="K436">
        <v>1115301.44</v>
      </c>
      <c r="L436">
        <v>877983.34</v>
      </c>
      <c r="M436">
        <v>237318.1</v>
      </c>
      <c r="N436" s="7" t="s">
        <v>20</v>
      </c>
      <c r="O436" s="9">
        <f>IFERROR(RawSalesTable_[[#This Row],[Profit]]/RawSalesTable_[[#This Row],[Revenue]],0)</f>
        <v>0.21278381923365938</v>
      </c>
    </row>
    <row r="437" spans="1:15">
      <c r="A437" s="7" t="s">
        <v>536</v>
      </c>
      <c r="B437" s="8">
        <v>45835</v>
      </c>
      <c r="C437" s="7" t="s">
        <v>22</v>
      </c>
      <c r="D437" s="7" t="s">
        <v>37</v>
      </c>
      <c r="E437" s="7" t="s">
        <v>44</v>
      </c>
      <c r="F437" s="7" t="s">
        <v>53</v>
      </c>
      <c r="G437" s="7" t="s">
        <v>70</v>
      </c>
      <c r="H437">
        <v>7</v>
      </c>
      <c r="I437">
        <v>8531.91</v>
      </c>
      <c r="J437">
        <v>0.15</v>
      </c>
      <c r="K437">
        <v>50764.86</v>
      </c>
      <c r="L437">
        <v>34552.620000000003</v>
      </c>
      <c r="M437">
        <v>16212.24</v>
      </c>
      <c r="N437" s="7" t="s">
        <v>26</v>
      </c>
      <c r="O437" s="9">
        <f>IFERROR(RawSalesTable_[[#This Row],[Profit]]/RawSalesTable_[[#This Row],[Revenue]],0)</f>
        <v>0.31935949394916091</v>
      </c>
    </row>
    <row r="438" spans="1:15">
      <c r="A438" s="7" t="s">
        <v>537</v>
      </c>
      <c r="B438" s="8">
        <v>45925</v>
      </c>
      <c r="C438" s="7" t="s">
        <v>22</v>
      </c>
      <c r="D438" s="7" t="s">
        <v>35</v>
      </c>
      <c r="E438" s="7" t="s">
        <v>30</v>
      </c>
      <c r="F438" s="7" t="s">
        <v>38</v>
      </c>
      <c r="G438" s="7" t="s">
        <v>61</v>
      </c>
      <c r="H438">
        <v>7</v>
      </c>
      <c r="I438">
        <v>25962.37</v>
      </c>
      <c r="J438">
        <v>0.05</v>
      </c>
      <c r="K438">
        <v>172649.76</v>
      </c>
      <c r="L438">
        <v>122313.1</v>
      </c>
      <c r="M438">
        <v>50336.66</v>
      </c>
      <c r="N438" s="7" t="s">
        <v>59</v>
      </c>
      <c r="O438" s="9">
        <f>IFERROR(RawSalesTable_[[#This Row],[Profit]]/RawSalesTable_[[#This Row],[Revenue]],0)</f>
        <v>0.29155360540321634</v>
      </c>
    </row>
    <row r="439" spans="1:15">
      <c r="A439" s="7" t="s">
        <v>538</v>
      </c>
      <c r="B439" s="8">
        <v>45963</v>
      </c>
      <c r="C439" s="7" t="s">
        <v>28</v>
      </c>
      <c r="D439" s="7" t="s">
        <v>56</v>
      </c>
      <c r="E439" s="7" t="s">
        <v>17</v>
      </c>
      <c r="F439" s="7" t="s">
        <v>114</v>
      </c>
      <c r="G439" s="7" t="s">
        <v>47</v>
      </c>
      <c r="H439">
        <v>8</v>
      </c>
      <c r="I439">
        <v>50332.76</v>
      </c>
      <c r="J439">
        <v>0.05</v>
      </c>
      <c r="K439">
        <v>382528.98</v>
      </c>
      <c r="L439">
        <v>299550.40000000002</v>
      </c>
      <c r="M439">
        <v>82978.58</v>
      </c>
      <c r="N439" s="7" t="s">
        <v>33</v>
      </c>
      <c r="O439" s="9">
        <f>IFERROR(RawSalesTable_[[#This Row],[Profit]]/RawSalesTable_[[#This Row],[Revenue]],0)</f>
        <v>0.21692102909431857</v>
      </c>
    </row>
    <row r="440" spans="1:15">
      <c r="A440" s="7" t="s">
        <v>539</v>
      </c>
      <c r="B440" s="8">
        <v>45988</v>
      </c>
      <c r="C440" s="7" t="s">
        <v>15</v>
      </c>
      <c r="D440" s="7" t="s">
        <v>63</v>
      </c>
      <c r="E440" s="7" t="s">
        <v>44</v>
      </c>
      <c r="F440" s="7" t="s">
        <v>53</v>
      </c>
      <c r="G440" s="7" t="s">
        <v>25</v>
      </c>
      <c r="H440">
        <v>7</v>
      </c>
      <c r="I440">
        <v>8356.86</v>
      </c>
      <c r="J440">
        <v>0</v>
      </c>
      <c r="K440">
        <v>58498.02</v>
      </c>
      <c r="L440">
        <v>34987.57</v>
      </c>
      <c r="M440">
        <v>23510.45</v>
      </c>
      <c r="N440" s="7" t="s">
        <v>20</v>
      </c>
      <c r="O440" s="9">
        <f>IFERROR(RawSalesTable_[[#This Row],[Profit]]/RawSalesTable_[[#This Row],[Revenue]],0)</f>
        <v>0.40190163701267156</v>
      </c>
    </row>
    <row r="441" spans="1:15">
      <c r="A441" s="7" t="s">
        <v>540</v>
      </c>
      <c r="B441" s="8">
        <v>46008</v>
      </c>
      <c r="C441" s="7" t="s">
        <v>22</v>
      </c>
      <c r="D441" s="7" t="s">
        <v>35</v>
      </c>
      <c r="E441" s="7" t="s">
        <v>17</v>
      </c>
      <c r="F441" s="7" t="s">
        <v>114</v>
      </c>
      <c r="G441" s="7" t="s">
        <v>58</v>
      </c>
      <c r="H441">
        <v>4</v>
      </c>
      <c r="I441">
        <v>52138.2</v>
      </c>
      <c r="J441">
        <v>0.1</v>
      </c>
      <c r="K441">
        <v>187697.52</v>
      </c>
      <c r="L441">
        <v>149873.42000000001</v>
      </c>
      <c r="M441">
        <v>37824.1</v>
      </c>
      <c r="N441" s="7" t="s">
        <v>59</v>
      </c>
      <c r="O441" s="9">
        <f>IFERROR(RawSalesTable_[[#This Row],[Profit]]/RawSalesTable_[[#This Row],[Revenue]],0)</f>
        <v>0.20151624805698018</v>
      </c>
    </row>
    <row r="442" spans="1:15">
      <c r="A442" s="7" t="s">
        <v>541</v>
      </c>
      <c r="B442" s="8">
        <v>45714</v>
      </c>
      <c r="C442" s="7" t="s">
        <v>15</v>
      </c>
      <c r="D442" s="7" t="s">
        <v>43</v>
      </c>
      <c r="E442" s="7" t="s">
        <v>30</v>
      </c>
      <c r="F442" s="7" t="s">
        <v>40</v>
      </c>
      <c r="G442" s="7" t="s">
        <v>70</v>
      </c>
      <c r="H442">
        <v>4</v>
      </c>
      <c r="I442">
        <v>25885.65</v>
      </c>
      <c r="J442">
        <v>0</v>
      </c>
      <c r="K442">
        <v>103542.6</v>
      </c>
      <c r="L442">
        <v>61908.42</v>
      </c>
      <c r="M442">
        <v>41634.18</v>
      </c>
      <c r="N442" s="7" t="s">
        <v>20</v>
      </c>
      <c r="O442" s="9">
        <f>IFERROR(RawSalesTable_[[#This Row],[Profit]]/RawSalesTable_[[#This Row],[Revenue]],0)</f>
        <v>0.40209710785705594</v>
      </c>
    </row>
    <row r="443" spans="1:15">
      <c r="A443" s="7" t="s">
        <v>542</v>
      </c>
      <c r="B443" s="8">
        <v>45669</v>
      </c>
      <c r="C443" s="7" t="s">
        <v>28</v>
      </c>
      <c r="D443" s="7" t="s">
        <v>29</v>
      </c>
      <c r="E443" s="7" t="s">
        <v>49</v>
      </c>
      <c r="F443" s="7" t="s">
        <v>1590</v>
      </c>
      <c r="G443" s="7" t="s">
        <v>61</v>
      </c>
      <c r="H443">
        <v>6</v>
      </c>
      <c r="I443">
        <v>3877.03</v>
      </c>
      <c r="J443">
        <v>0</v>
      </c>
      <c r="K443">
        <v>23262.18</v>
      </c>
      <c r="L443">
        <v>13077.29</v>
      </c>
      <c r="M443">
        <v>10184.89</v>
      </c>
      <c r="N443" s="7" t="s">
        <v>33</v>
      </c>
      <c r="O443" s="9">
        <f>IFERROR(RawSalesTable_[[#This Row],[Profit]]/RawSalesTable_[[#This Row],[Revenue]],0)</f>
        <v>0.43783041830129416</v>
      </c>
    </row>
    <row r="444" spans="1:15">
      <c r="A444" s="7" t="s">
        <v>543</v>
      </c>
      <c r="B444" s="8">
        <v>45769</v>
      </c>
      <c r="C444" s="7" t="s">
        <v>28</v>
      </c>
      <c r="D444" s="7" t="s">
        <v>56</v>
      </c>
      <c r="E444" s="7" t="s">
        <v>44</v>
      </c>
      <c r="F444" s="7" t="s">
        <v>53</v>
      </c>
      <c r="G444" s="7" t="s">
        <v>32</v>
      </c>
      <c r="H444">
        <v>1</v>
      </c>
      <c r="I444">
        <v>8136.62</v>
      </c>
      <c r="J444">
        <v>0</v>
      </c>
      <c r="K444">
        <v>8136.62</v>
      </c>
      <c r="L444">
        <v>4758.05</v>
      </c>
      <c r="M444">
        <v>3378.57</v>
      </c>
      <c r="N444" s="7" t="s">
        <v>20</v>
      </c>
      <c r="O444" s="9">
        <f>IFERROR(RawSalesTable_[[#This Row],[Profit]]/RawSalesTable_[[#This Row],[Revenue]],0)</f>
        <v>0.41523015699393606</v>
      </c>
    </row>
    <row r="445" spans="1:15">
      <c r="A445" s="7" t="s">
        <v>544</v>
      </c>
      <c r="B445" s="8">
        <v>45858</v>
      </c>
      <c r="C445" s="7" t="s">
        <v>28</v>
      </c>
      <c r="D445" s="7" t="s">
        <v>56</v>
      </c>
      <c r="E445" s="7" t="s">
        <v>30</v>
      </c>
      <c r="F445" s="7" t="s">
        <v>40</v>
      </c>
      <c r="G445" s="7" t="s">
        <v>19</v>
      </c>
      <c r="H445">
        <v>1</v>
      </c>
      <c r="I445">
        <v>23834.57</v>
      </c>
      <c r="J445">
        <v>0</v>
      </c>
      <c r="K445">
        <v>23834.57</v>
      </c>
      <c r="L445">
        <v>15387.98</v>
      </c>
      <c r="M445">
        <v>8446.59</v>
      </c>
      <c r="N445" s="7" t="s">
        <v>20</v>
      </c>
      <c r="O445" s="9">
        <f>IFERROR(RawSalesTable_[[#This Row],[Profit]]/RawSalesTable_[[#This Row],[Revenue]],0)</f>
        <v>0.35438398930628917</v>
      </c>
    </row>
    <row r="446" spans="1:15">
      <c r="A446" s="7" t="s">
        <v>545</v>
      </c>
      <c r="B446" s="8">
        <v>45884</v>
      </c>
      <c r="C446" s="7" t="s">
        <v>22</v>
      </c>
      <c r="D446" s="7" t="s">
        <v>23</v>
      </c>
      <c r="E446" s="7" t="s">
        <v>30</v>
      </c>
      <c r="F446" s="7" t="s">
        <v>40</v>
      </c>
      <c r="G446" s="7" t="s">
        <v>47</v>
      </c>
      <c r="H446">
        <v>1</v>
      </c>
      <c r="I446">
        <v>23018.09</v>
      </c>
      <c r="J446">
        <v>0.15</v>
      </c>
      <c r="K446">
        <v>19565.38</v>
      </c>
      <c r="L446">
        <v>15601.35</v>
      </c>
      <c r="M446">
        <v>3964.03</v>
      </c>
      <c r="N446" s="7" t="s">
        <v>33</v>
      </c>
      <c r="O446" s="9">
        <f>IFERROR(RawSalesTable_[[#This Row],[Profit]]/RawSalesTable_[[#This Row],[Revenue]],0)</f>
        <v>0.2026042939109795</v>
      </c>
    </row>
    <row r="447" spans="1:15">
      <c r="A447" s="7" t="s">
        <v>546</v>
      </c>
      <c r="B447" s="8">
        <v>45739</v>
      </c>
      <c r="C447" s="7" t="s">
        <v>22</v>
      </c>
      <c r="D447" s="7" t="s">
        <v>35</v>
      </c>
      <c r="E447" s="7" t="s">
        <v>17</v>
      </c>
      <c r="F447" s="7" t="s">
        <v>24</v>
      </c>
      <c r="G447" s="7" t="s">
        <v>64</v>
      </c>
      <c r="H447">
        <v>8</v>
      </c>
      <c r="I447">
        <v>90367.89</v>
      </c>
      <c r="J447">
        <v>0.05</v>
      </c>
      <c r="K447">
        <v>686795.96</v>
      </c>
      <c r="L447">
        <v>563331.07999999996</v>
      </c>
      <c r="M447">
        <v>123464.88</v>
      </c>
      <c r="N447" s="7" t="s">
        <v>33</v>
      </c>
      <c r="O447" s="9">
        <f>IFERROR(RawSalesTable_[[#This Row],[Profit]]/RawSalesTable_[[#This Row],[Revenue]],0)</f>
        <v>0.17976937429859083</v>
      </c>
    </row>
    <row r="448" spans="1:15">
      <c r="A448" s="7" t="s">
        <v>547</v>
      </c>
      <c r="B448" s="8">
        <v>45715</v>
      </c>
      <c r="C448" s="7" t="s">
        <v>28</v>
      </c>
      <c r="D448" s="7" t="s">
        <v>56</v>
      </c>
      <c r="E448" s="7" t="s">
        <v>30</v>
      </c>
      <c r="F448" s="7" t="s">
        <v>86</v>
      </c>
      <c r="G448" s="7" t="s">
        <v>47</v>
      </c>
      <c r="H448">
        <v>6</v>
      </c>
      <c r="I448">
        <v>35046.1</v>
      </c>
      <c r="J448">
        <v>0.15</v>
      </c>
      <c r="K448">
        <v>178735.11</v>
      </c>
      <c r="L448">
        <v>133008.1</v>
      </c>
      <c r="M448">
        <v>45727.01</v>
      </c>
      <c r="N448" s="7" t="s">
        <v>20</v>
      </c>
      <c r="O448" s="9">
        <f>IFERROR(RawSalesTable_[[#This Row],[Profit]]/RawSalesTable_[[#This Row],[Revenue]],0)</f>
        <v>0.255836751939784</v>
      </c>
    </row>
    <row r="449" spans="1:15">
      <c r="A449" s="7" t="s">
        <v>548</v>
      </c>
      <c r="B449" s="8">
        <v>45679</v>
      </c>
      <c r="C449" s="7" t="s">
        <v>28</v>
      </c>
      <c r="D449" s="7" t="s">
        <v>52</v>
      </c>
      <c r="E449" s="7" t="s">
        <v>44</v>
      </c>
      <c r="F449" s="7" t="s">
        <v>69</v>
      </c>
      <c r="G449" s="7" t="s">
        <v>70</v>
      </c>
      <c r="H449">
        <v>2</v>
      </c>
      <c r="I449">
        <v>37366.51</v>
      </c>
      <c r="J449">
        <v>0</v>
      </c>
      <c r="K449">
        <v>74733.02</v>
      </c>
      <c r="L449">
        <v>50472.5</v>
      </c>
      <c r="M449">
        <v>24260.52</v>
      </c>
      <c r="N449" s="7" t="s">
        <v>26</v>
      </c>
      <c r="O449" s="9">
        <f>IFERROR(RawSalesTable_[[#This Row],[Profit]]/RawSalesTable_[[#This Row],[Revenue]],0)</f>
        <v>0.32462919336057877</v>
      </c>
    </row>
    <row r="450" spans="1:15">
      <c r="A450" s="7" t="s">
        <v>549</v>
      </c>
      <c r="B450" s="8">
        <v>45978</v>
      </c>
      <c r="C450" s="7" t="s">
        <v>28</v>
      </c>
      <c r="D450" s="7" t="s">
        <v>52</v>
      </c>
      <c r="E450" s="7" t="s">
        <v>44</v>
      </c>
      <c r="F450" s="7" t="s">
        <v>45</v>
      </c>
      <c r="G450" s="7" t="s">
        <v>64</v>
      </c>
      <c r="H450">
        <v>8</v>
      </c>
      <c r="I450">
        <v>26636.79</v>
      </c>
      <c r="J450">
        <v>0.1</v>
      </c>
      <c r="K450">
        <v>191784.89</v>
      </c>
      <c r="L450">
        <v>151040.81</v>
      </c>
      <c r="M450">
        <v>40744.080000000002</v>
      </c>
      <c r="N450" s="7" t="s">
        <v>33</v>
      </c>
      <c r="O450" s="9">
        <f>IFERROR(RawSalesTable_[[#This Row],[Profit]]/RawSalesTable_[[#This Row],[Revenue]],0)</f>
        <v>0.21244676783452543</v>
      </c>
    </row>
    <row r="451" spans="1:15">
      <c r="A451" s="7" t="s">
        <v>550</v>
      </c>
      <c r="B451" s="8">
        <v>45988</v>
      </c>
      <c r="C451" s="7" t="s">
        <v>28</v>
      </c>
      <c r="D451" s="7" t="s">
        <v>29</v>
      </c>
      <c r="E451" s="7" t="s">
        <v>44</v>
      </c>
      <c r="F451" s="7" t="s">
        <v>80</v>
      </c>
      <c r="G451" s="7" t="s">
        <v>32</v>
      </c>
      <c r="H451">
        <v>3</v>
      </c>
      <c r="I451">
        <v>42916.36</v>
      </c>
      <c r="J451">
        <v>0.05</v>
      </c>
      <c r="K451">
        <v>122311.63</v>
      </c>
      <c r="L451">
        <v>96600.71</v>
      </c>
      <c r="M451">
        <v>25710.92</v>
      </c>
      <c r="N451" s="7" t="s">
        <v>20</v>
      </c>
      <c r="O451" s="9">
        <f>IFERROR(RawSalesTable_[[#This Row],[Profit]]/RawSalesTable_[[#This Row],[Revenue]],0)</f>
        <v>0.2102083015327324</v>
      </c>
    </row>
    <row r="452" spans="1:15">
      <c r="A452" s="7" t="s">
        <v>551</v>
      </c>
      <c r="B452" s="8">
        <v>45906</v>
      </c>
      <c r="C452" s="7" t="s">
        <v>15</v>
      </c>
      <c r="D452" s="7" t="s">
        <v>16</v>
      </c>
      <c r="E452" s="7" t="s">
        <v>17</v>
      </c>
      <c r="F452" s="7" t="s">
        <v>114</v>
      </c>
      <c r="G452" s="7" t="s">
        <v>70</v>
      </c>
      <c r="H452">
        <v>6</v>
      </c>
      <c r="I452">
        <v>53867</v>
      </c>
      <c r="J452">
        <v>0.05</v>
      </c>
      <c r="K452">
        <v>307041.90000000002</v>
      </c>
      <c r="L452">
        <v>226206.5</v>
      </c>
      <c r="M452">
        <v>80835.399999999994</v>
      </c>
      <c r="N452" s="7" t="s">
        <v>59</v>
      </c>
      <c r="O452" s="9">
        <f>IFERROR(RawSalesTable_[[#This Row],[Profit]]/RawSalesTable_[[#This Row],[Revenue]],0)</f>
        <v>0.2632715600053282</v>
      </c>
    </row>
    <row r="453" spans="1:15">
      <c r="A453" s="7" t="s">
        <v>552</v>
      </c>
      <c r="B453" s="8">
        <v>45798</v>
      </c>
      <c r="C453" s="7" t="s">
        <v>15</v>
      </c>
      <c r="D453" s="7" t="s">
        <v>43</v>
      </c>
      <c r="E453" s="7" t="s">
        <v>49</v>
      </c>
      <c r="F453" s="7" t="s">
        <v>1590</v>
      </c>
      <c r="G453" s="7" t="s">
        <v>61</v>
      </c>
      <c r="H453">
        <v>3</v>
      </c>
      <c r="I453">
        <v>4229.3100000000004</v>
      </c>
      <c r="J453">
        <v>0.05</v>
      </c>
      <c r="K453">
        <v>12053.53</v>
      </c>
      <c r="L453">
        <v>6433.99</v>
      </c>
      <c r="M453">
        <v>5619.54</v>
      </c>
      <c r="N453" s="7" t="s">
        <v>33</v>
      </c>
      <c r="O453" s="9">
        <f>IFERROR(RawSalesTable_[[#This Row],[Profit]]/RawSalesTable_[[#This Row],[Revenue]],0)</f>
        <v>0.46621529128811223</v>
      </c>
    </row>
    <row r="454" spans="1:15">
      <c r="A454" s="7" t="s">
        <v>553</v>
      </c>
      <c r="B454" s="8">
        <v>45984</v>
      </c>
      <c r="C454" s="7" t="s">
        <v>15</v>
      </c>
      <c r="D454" s="7" t="s">
        <v>16</v>
      </c>
      <c r="E454" s="7" t="s">
        <v>49</v>
      </c>
      <c r="F454" s="7" t="s">
        <v>57</v>
      </c>
      <c r="G454" s="7" t="s">
        <v>25</v>
      </c>
      <c r="H454">
        <v>5</v>
      </c>
      <c r="I454">
        <v>11576.55</v>
      </c>
      <c r="J454">
        <v>0.05</v>
      </c>
      <c r="K454">
        <v>54988.61</v>
      </c>
      <c r="L454">
        <v>31526.639999999999</v>
      </c>
      <c r="M454">
        <v>23461.97</v>
      </c>
      <c r="N454" s="7" t="s">
        <v>26</v>
      </c>
      <c r="O454" s="9">
        <f>IFERROR(RawSalesTable_[[#This Row],[Profit]]/RawSalesTable_[[#This Row],[Revenue]],0)</f>
        <v>0.42666963212927189</v>
      </c>
    </row>
    <row r="455" spans="1:15">
      <c r="A455" s="7" t="s">
        <v>554</v>
      </c>
      <c r="B455" s="8">
        <v>45856</v>
      </c>
      <c r="C455" s="7" t="s">
        <v>22</v>
      </c>
      <c r="D455" s="7" t="s">
        <v>37</v>
      </c>
      <c r="E455" s="7" t="s">
        <v>30</v>
      </c>
      <c r="F455" s="7" t="s">
        <v>86</v>
      </c>
      <c r="G455" s="7" t="s">
        <v>47</v>
      </c>
      <c r="H455">
        <v>6</v>
      </c>
      <c r="I455">
        <v>34166.9</v>
      </c>
      <c r="J455">
        <v>0.15</v>
      </c>
      <c r="K455">
        <v>174251.19</v>
      </c>
      <c r="L455">
        <v>140089.69</v>
      </c>
      <c r="M455">
        <v>34161.5</v>
      </c>
      <c r="N455" s="7" t="s">
        <v>20</v>
      </c>
      <c r="O455" s="9">
        <f>IFERROR(RawSalesTable_[[#This Row],[Profit]]/RawSalesTable_[[#This Row],[Revenue]],0)</f>
        <v>0.1960474416272279</v>
      </c>
    </row>
    <row r="456" spans="1:15">
      <c r="A456" s="7" t="s">
        <v>555</v>
      </c>
      <c r="B456" s="8">
        <v>45995</v>
      </c>
      <c r="C456" s="7" t="s">
        <v>15</v>
      </c>
      <c r="D456" s="7" t="s">
        <v>16</v>
      </c>
      <c r="E456" s="7" t="s">
        <v>30</v>
      </c>
      <c r="F456" s="7" t="s">
        <v>38</v>
      </c>
      <c r="G456" s="7" t="s">
        <v>19</v>
      </c>
      <c r="H456">
        <v>7</v>
      </c>
      <c r="I456">
        <v>27608.7</v>
      </c>
      <c r="J456">
        <v>0</v>
      </c>
      <c r="K456">
        <v>193260.9</v>
      </c>
      <c r="L456">
        <v>123068.98</v>
      </c>
      <c r="M456">
        <v>70191.92</v>
      </c>
      <c r="N456" s="7" t="s">
        <v>33</v>
      </c>
      <c r="O456" s="9">
        <f>IFERROR(RawSalesTable_[[#This Row],[Profit]]/RawSalesTable_[[#This Row],[Revenue]],0)</f>
        <v>0.36319772908022263</v>
      </c>
    </row>
    <row r="457" spans="1:15">
      <c r="A457" s="7" t="s">
        <v>557</v>
      </c>
      <c r="B457" s="8">
        <v>45764</v>
      </c>
      <c r="C457" s="7" t="s">
        <v>15</v>
      </c>
      <c r="D457" s="7" t="s">
        <v>43</v>
      </c>
      <c r="E457" s="7" t="s">
        <v>30</v>
      </c>
      <c r="F457" s="7" t="s">
        <v>31</v>
      </c>
      <c r="G457" s="7" t="s">
        <v>70</v>
      </c>
      <c r="H457">
        <v>6</v>
      </c>
      <c r="I457">
        <v>128967.61</v>
      </c>
      <c r="J457">
        <v>0.15</v>
      </c>
      <c r="K457">
        <v>657734.81000000006</v>
      </c>
      <c r="L457">
        <v>590826.47</v>
      </c>
      <c r="M457">
        <v>66908.34</v>
      </c>
      <c r="N457" s="7" t="s">
        <v>33</v>
      </c>
      <c r="O457" s="9">
        <f>IFERROR(RawSalesTable_[[#This Row],[Profit]]/RawSalesTable_[[#This Row],[Revenue]],0)</f>
        <v>0.10172540510665688</v>
      </c>
    </row>
    <row r="458" spans="1:15">
      <c r="A458" s="7" t="s">
        <v>558</v>
      </c>
      <c r="B458" s="8">
        <v>45973</v>
      </c>
      <c r="C458" s="7" t="s">
        <v>28</v>
      </c>
      <c r="D458" s="7" t="s">
        <v>29</v>
      </c>
      <c r="E458" s="7" t="s">
        <v>17</v>
      </c>
      <c r="F458" s="7" t="s">
        <v>18</v>
      </c>
      <c r="G458" s="7" t="s">
        <v>58</v>
      </c>
      <c r="H458">
        <v>7</v>
      </c>
      <c r="I458">
        <v>15247.1</v>
      </c>
      <c r="J458">
        <v>0.15</v>
      </c>
      <c r="K458">
        <v>90720.24</v>
      </c>
      <c r="L458">
        <v>55912.25</v>
      </c>
      <c r="M458">
        <v>34807.99</v>
      </c>
      <c r="N458" s="7" t="s">
        <v>33</v>
      </c>
      <c r="O458" s="9">
        <f>IFERROR(RawSalesTable_[[#This Row],[Profit]]/RawSalesTable_[[#This Row],[Revenue]],0)</f>
        <v>0.38368494175059498</v>
      </c>
    </row>
    <row r="459" spans="1:15">
      <c r="A459" s="7" t="s">
        <v>559</v>
      </c>
      <c r="B459" s="8">
        <v>45776</v>
      </c>
      <c r="C459" s="7" t="s">
        <v>15</v>
      </c>
      <c r="D459" s="7" t="s">
        <v>16</v>
      </c>
      <c r="E459" s="7" t="s">
        <v>30</v>
      </c>
      <c r="F459" s="7" t="s">
        <v>31</v>
      </c>
      <c r="G459" s="7" t="s">
        <v>25</v>
      </c>
      <c r="H459">
        <v>4</v>
      </c>
      <c r="I459">
        <v>144948.67000000001</v>
      </c>
      <c r="J459">
        <v>0</v>
      </c>
      <c r="K459">
        <v>579794.68000000005</v>
      </c>
      <c r="L459">
        <v>394742.65</v>
      </c>
      <c r="M459">
        <v>185052.03</v>
      </c>
      <c r="N459" s="7" t="s">
        <v>26</v>
      </c>
      <c r="O459" s="9">
        <f>IFERROR(RawSalesTable_[[#This Row],[Profit]]/RawSalesTable_[[#This Row],[Revenue]],0)</f>
        <v>0.31916820968415921</v>
      </c>
    </row>
    <row r="460" spans="1:15">
      <c r="A460" s="7" t="s">
        <v>560</v>
      </c>
      <c r="B460" s="8">
        <v>46003</v>
      </c>
      <c r="C460" s="7" t="s">
        <v>22</v>
      </c>
      <c r="D460" s="7" t="s">
        <v>37</v>
      </c>
      <c r="E460" s="7" t="s">
        <v>44</v>
      </c>
      <c r="F460" s="7" t="s">
        <v>45</v>
      </c>
      <c r="G460" s="7" t="s">
        <v>70</v>
      </c>
      <c r="H460">
        <v>7</v>
      </c>
      <c r="I460">
        <v>29622.25</v>
      </c>
      <c r="J460">
        <v>0.15</v>
      </c>
      <c r="K460">
        <v>176252.39</v>
      </c>
      <c r="L460">
        <v>134377.81</v>
      </c>
      <c r="M460">
        <v>41874.58</v>
      </c>
      <c r="N460" s="7" t="s">
        <v>20</v>
      </c>
      <c r="O460" s="9">
        <f>IFERROR(RawSalesTable_[[#This Row],[Profit]]/RawSalesTable_[[#This Row],[Revenue]],0)</f>
        <v>0.23758304781001835</v>
      </c>
    </row>
    <row r="461" spans="1:15">
      <c r="A461" s="7" t="s">
        <v>561</v>
      </c>
      <c r="B461" s="8">
        <v>45884</v>
      </c>
      <c r="C461" s="7" t="s">
        <v>22</v>
      </c>
      <c r="D461" s="7" t="s">
        <v>23</v>
      </c>
      <c r="E461" s="7" t="s">
        <v>44</v>
      </c>
      <c r="F461" s="7" t="s">
        <v>53</v>
      </c>
      <c r="G461" s="7" t="s">
        <v>32</v>
      </c>
      <c r="H461">
        <v>6</v>
      </c>
      <c r="I461">
        <v>8714.24</v>
      </c>
      <c r="J461">
        <v>0.1</v>
      </c>
      <c r="K461">
        <v>47056.9</v>
      </c>
      <c r="L461">
        <v>30572.78</v>
      </c>
      <c r="M461">
        <v>16484.12</v>
      </c>
      <c r="N461" s="7" t="s">
        <v>59</v>
      </c>
      <c r="O461" s="9">
        <f>IFERROR(RawSalesTable_[[#This Row],[Profit]]/RawSalesTable_[[#This Row],[Revenue]],0)</f>
        <v>0.35030186858887852</v>
      </c>
    </row>
    <row r="462" spans="1:15">
      <c r="A462" s="7" t="s">
        <v>562</v>
      </c>
      <c r="B462" s="8">
        <v>45946</v>
      </c>
      <c r="C462" s="7" t="s">
        <v>15</v>
      </c>
      <c r="D462" s="7" t="s">
        <v>63</v>
      </c>
      <c r="E462" s="7" t="s">
        <v>30</v>
      </c>
      <c r="F462" s="7" t="s">
        <v>40</v>
      </c>
      <c r="G462" s="7" t="s">
        <v>47</v>
      </c>
      <c r="H462">
        <v>7</v>
      </c>
      <c r="I462">
        <v>25778.53</v>
      </c>
      <c r="J462">
        <v>0.05</v>
      </c>
      <c r="K462">
        <v>171427.22</v>
      </c>
      <c r="L462">
        <v>111992.34</v>
      </c>
      <c r="M462">
        <v>59434.879999999997</v>
      </c>
      <c r="N462" s="7" t="s">
        <v>20</v>
      </c>
      <c r="O462" s="9">
        <f>IFERROR(RawSalesTable_[[#This Row],[Profit]]/RawSalesTable_[[#This Row],[Revenue]],0)</f>
        <v>0.34670619986720891</v>
      </c>
    </row>
    <row r="463" spans="1:15">
      <c r="A463" s="7" t="s">
        <v>563</v>
      </c>
      <c r="B463" s="8">
        <v>45675</v>
      </c>
      <c r="C463" s="7" t="s">
        <v>15</v>
      </c>
      <c r="D463" s="7" t="s">
        <v>43</v>
      </c>
      <c r="E463" s="7" t="s">
        <v>30</v>
      </c>
      <c r="F463" s="7" t="s">
        <v>38</v>
      </c>
      <c r="G463" s="7" t="s">
        <v>58</v>
      </c>
      <c r="H463">
        <v>8</v>
      </c>
      <c r="I463">
        <v>26773.200000000001</v>
      </c>
      <c r="J463">
        <v>0.05</v>
      </c>
      <c r="K463">
        <v>203476.32</v>
      </c>
      <c r="L463">
        <v>139681.97</v>
      </c>
      <c r="M463">
        <v>63794.35</v>
      </c>
      <c r="N463" s="7" t="s">
        <v>33</v>
      </c>
      <c r="O463" s="9">
        <f>IFERROR(RawSalesTable_[[#This Row],[Profit]]/RawSalesTable_[[#This Row],[Revenue]],0)</f>
        <v>0.31352223197274254</v>
      </c>
    </row>
    <row r="464" spans="1:15">
      <c r="A464" s="7" t="s">
        <v>564</v>
      </c>
      <c r="B464" s="8">
        <v>45669</v>
      </c>
      <c r="C464" s="7" t="s">
        <v>15</v>
      </c>
      <c r="D464" s="7" t="s">
        <v>16</v>
      </c>
      <c r="E464" s="7" t="s">
        <v>30</v>
      </c>
      <c r="F464" s="7" t="s">
        <v>31</v>
      </c>
      <c r="G464" s="7" t="s">
        <v>58</v>
      </c>
      <c r="H464">
        <v>5</v>
      </c>
      <c r="I464">
        <v>145462.92000000001</v>
      </c>
      <c r="J464">
        <v>0</v>
      </c>
      <c r="K464">
        <v>727314.6</v>
      </c>
      <c r="L464">
        <v>520099.72</v>
      </c>
      <c r="M464">
        <v>207214.88</v>
      </c>
      <c r="N464" s="7" t="s">
        <v>26</v>
      </c>
      <c r="O464" s="9">
        <f>IFERROR(RawSalesTable_[[#This Row],[Profit]]/RawSalesTable_[[#This Row],[Revenue]],0)</f>
        <v>0.28490405664893848</v>
      </c>
    </row>
    <row r="465" spans="1:15">
      <c r="A465" s="7" t="s">
        <v>565</v>
      </c>
      <c r="B465" s="8">
        <v>45785</v>
      </c>
      <c r="C465" s="7" t="s">
        <v>22</v>
      </c>
      <c r="D465" s="7" t="s">
        <v>23</v>
      </c>
      <c r="E465" s="7" t="s">
        <v>49</v>
      </c>
      <c r="F465" s="7" t="s">
        <v>57</v>
      </c>
      <c r="G465" s="7" t="s">
        <v>47</v>
      </c>
      <c r="H465">
        <v>3</v>
      </c>
      <c r="I465">
        <v>10834.67</v>
      </c>
      <c r="J465">
        <v>0.05</v>
      </c>
      <c r="K465">
        <v>30878.81</v>
      </c>
      <c r="L465">
        <v>20129.34</v>
      </c>
      <c r="M465">
        <v>10749.47</v>
      </c>
      <c r="N465" s="7" t="s">
        <v>59</v>
      </c>
      <c r="O465" s="9">
        <f>IFERROR(RawSalesTable_[[#This Row],[Profit]]/RawSalesTable_[[#This Row],[Revenue]],0)</f>
        <v>0.34811801361516193</v>
      </c>
    </row>
    <row r="466" spans="1:15">
      <c r="A466" s="7" t="s">
        <v>566</v>
      </c>
      <c r="B466" s="8">
        <v>46011</v>
      </c>
      <c r="C466" s="7" t="s">
        <v>28</v>
      </c>
      <c r="D466" s="7" t="s">
        <v>52</v>
      </c>
      <c r="E466" s="7" t="s">
        <v>49</v>
      </c>
      <c r="F466" s="7" t="s">
        <v>1590</v>
      </c>
      <c r="G466" s="7" t="s">
        <v>19</v>
      </c>
      <c r="H466">
        <v>2</v>
      </c>
      <c r="I466">
        <v>4350.25</v>
      </c>
      <c r="J466">
        <v>0.05</v>
      </c>
      <c r="K466">
        <v>8265.48</v>
      </c>
      <c r="L466">
        <v>4124.83</v>
      </c>
      <c r="M466">
        <v>4140.6499999999996</v>
      </c>
      <c r="N466" s="7" t="s">
        <v>59</v>
      </c>
      <c r="O466" s="9">
        <f>IFERROR(RawSalesTable_[[#This Row],[Profit]]/RawSalesTable_[[#This Row],[Revenue]],0)</f>
        <v>0.5009569922133984</v>
      </c>
    </row>
    <row r="467" spans="1:15">
      <c r="A467" s="7" t="s">
        <v>567</v>
      </c>
      <c r="B467" s="8">
        <v>45880</v>
      </c>
      <c r="C467" s="7" t="s">
        <v>22</v>
      </c>
      <c r="D467" s="7" t="s">
        <v>37</v>
      </c>
      <c r="E467" s="7" t="s">
        <v>49</v>
      </c>
      <c r="F467" s="7" t="s">
        <v>91</v>
      </c>
      <c r="G467" s="7" t="s">
        <v>25</v>
      </c>
      <c r="H467">
        <v>1</v>
      </c>
      <c r="I467">
        <v>6938.75</v>
      </c>
      <c r="J467">
        <v>0.05</v>
      </c>
      <c r="K467">
        <v>6591.81</v>
      </c>
      <c r="L467">
        <v>3579.68</v>
      </c>
      <c r="M467">
        <v>3012.13</v>
      </c>
      <c r="N467" s="7" t="s">
        <v>33</v>
      </c>
      <c r="O467" s="9">
        <f>IFERROR(RawSalesTable_[[#This Row],[Profit]]/RawSalesTable_[[#This Row],[Revenue]],0)</f>
        <v>0.45695036719808368</v>
      </c>
    </row>
    <row r="468" spans="1:15">
      <c r="A468" s="7" t="s">
        <v>568</v>
      </c>
      <c r="B468" s="8">
        <v>45947</v>
      </c>
      <c r="C468" s="7" t="s">
        <v>22</v>
      </c>
      <c r="D468" s="7" t="s">
        <v>37</v>
      </c>
      <c r="E468" s="7" t="s">
        <v>17</v>
      </c>
      <c r="F468" s="7" t="s">
        <v>114</v>
      </c>
      <c r="G468" s="7" t="s">
        <v>61</v>
      </c>
      <c r="H468">
        <v>1</v>
      </c>
      <c r="I468">
        <v>50375.8</v>
      </c>
      <c r="J468">
        <v>0</v>
      </c>
      <c r="K468">
        <v>50375.8</v>
      </c>
      <c r="L468">
        <v>36220.85</v>
      </c>
      <c r="M468">
        <v>14154.95</v>
      </c>
      <c r="N468" s="7" t="s">
        <v>59</v>
      </c>
      <c r="O468" s="9">
        <f>IFERROR(RawSalesTable_[[#This Row],[Profit]]/RawSalesTable_[[#This Row],[Revenue]],0)</f>
        <v>0.28098710094926532</v>
      </c>
    </row>
    <row r="469" spans="1:15">
      <c r="A469" s="7" t="s">
        <v>569</v>
      </c>
      <c r="B469" s="8">
        <v>45962</v>
      </c>
      <c r="C469" s="7" t="s">
        <v>15</v>
      </c>
      <c r="D469" s="7" t="s">
        <v>43</v>
      </c>
      <c r="E469" s="7" t="s">
        <v>44</v>
      </c>
      <c r="F469" s="7" t="s">
        <v>45</v>
      </c>
      <c r="G469" s="7" t="s">
        <v>19</v>
      </c>
      <c r="H469">
        <v>1</v>
      </c>
      <c r="I469">
        <v>29291.78</v>
      </c>
      <c r="J469">
        <v>0.05</v>
      </c>
      <c r="K469">
        <v>27827.19</v>
      </c>
      <c r="L469">
        <v>19721.48</v>
      </c>
      <c r="M469">
        <v>8105.71</v>
      </c>
      <c r="N469" s="7" t="s">
        <v>26</v>
      </c>
      <c r="O469" s="9">
        <f>IFERROR(RawSalesTable_[[#This Row],[Profit]]/RawSalesTable_[[#This Row],[Revenue]],0)</f>
        <v>0.29128740631015926</v>
      </c>
    </row>
    <row r="470" spans="1:15">
      <c r="A470" s="7" t="s">
        <v>570</v>
      </c>
      <c r="B470" s="8">
        <v>45683</v>
      </c>
      <c r="C470" s="7" t="s">
        <v>28</v>
      </c>
      <c r="D470" s="7" t="s">
        <v>56</v>
      </c>
      <c r="E470" s="7" t="s">
        <v>49</v>
      </c>
      <c r="F470" s="7" t="s">
        <v>1590</v>
      </c>
      <c r="G470" s="7" t="s">
        <v>25</v>
      </c>
      <c r="H470">
        <v>3</v>
      </c>
      <c r="I470">
        <v>4089.91</v>
      </c>
      <c r="J470">
        <v>0.05</v>
      </c>
      <c r="K470">
        <v>11656.24</v>
      </c>
      <c r="L470">
        <v>6363.01</v>
      </c>
      <c r="M470">
        <v>5293.23</v>
      </c>
      <c r="N470" s="7" t="s">
        <v>59</v>
      </c>
      <c r="O470" s="9">
        <f>IFERROR(RawSalesTable_[[#This Row],[Profit]]/RawSalesTable_[[#This Row],[Revenue]],0)</f>
        <v>0.45411127430457848</v>
      </c>
    </row>
    <row r="471" spans="1:15">
      <c r="A471" s="7" t="s">
        <v>571</v>
      </c>
      <c r="B471" s="8">
        <v>45991</v>
      </c>
      <c r="C471" s="7" t="s">
        <v>22</v>
      </c>
      <c r="D471" s="7" t="s">
        <v>35</v>
      </c>
      <c r="E471" s="7" t="s">
        <v>49</v>
      </c>
      <c r="F471" s="7" t="s">
        <v>1590</v>
      </c>
      <c r="G471" s="7" t="s">
        <v>47</v>
      </c>
      <c r="H471">
        <v>3</v>
      </c>
      <c r="I471">
        <v>4187.18</v>
      </c>
      <c r="J471">
        <v>0</v>
      </c>
      <c r="K471">
        <v>12561.54</v>
      </c>
      <c r="L471">
        <v>6326.15</v>
      </c>
      <c r="M471">
        <v>6235.39</v>
      </c>
      <c r="N471" s="7" t="s">
        <v>26</v>
      </c>
      <c r="O471" s="9">
        <f>IFERROR(RawSalesTable_[[#This Row],[Profit]]/RawSalesTable_[[#This Row],[Revenue]],0)</f>
        <v>0.49638738562310036</v>
      </c>
    </row>
    <row r="472" spans="1:15">
      <c r="A472" s="7" t="s">
        <v>572</v>
      </c>
      <c r="B472" s="8">
        <v>46001</v>
      </c>
      <c r="C472" s="7" t="s">
        <v>22</v>
      </c>
      <c r="D472" s="7" t="s">
        <v>23</v>
      </c>
      <c r="E472" s="7" t="s">
        <v>30</v>
      </c>
      <c r="F472" s="7" t="s">
        <v>40</v>
      </c>
      <c r="G472" s="7" t="s">
        <v>25</v>
      </c>
      <c r="H472">
        <v>6</v>
      </c>
      <c r="I472">
        <v>25224.17</v>
      </c>
      <c r="J472">
        <v>0.1</v>
      </c>
      <c r="K472">
        <v>136210.51999999999</v>
      </c>
      <c r="L472">
        <v>92550.55</v>
      </c>
      <c r="M472">
        <v>43659.97</v>
      </c>
      <c r="N472" s="7" t="s">
        <v>20</v>
      </c>
      <c r="O472" s="9">
        <f>IFERROR(RawSalesTable_[[#This Row],[Profit]]/RawSalesTable_[[#This Row],[Revenue]],0)</f>
        <v>0.32053302490879565</v>
      </c>
    </row>
    <row r="473" spans="1:15">
      <c r="A473" s="7" t="s">
        <v>573</v>
      </c>
      <c r="B473" s="8">
        <v>45744</v>
      </c>
      <c r="C473" s="7" t="s">
        <v>28</v>
      </c>
      <c r="D473" s="7" t="s">
        <v>56</v>
      </c>
      <c r="E473" s="7" t="s">
        <v>44</v>
      </c>
      <c r="F473" s="7" t="s">
        <v>69</v>
      </c>
      <c r="G473" s="7" t="s">
        <v>32</v>
      </c>
      <c r="H473">
        <v>6</v>
      </c>
      <c r="I473">
        <v>38570.769999999997</v>
      </c>
      <c r="J473">
        <v>0</v>
      </c>
      <c r="K473">
        <v>231424.62</v>
      </c>
      <c r="L473">
        <v>159724.92000000001</v>
      </c>
      <c r="M473">
        <v>71699.7</v>
      </c>
      <c r="N473" s="7" t="s">
        <v>20</v>
      </c>
      <c r="O473" s="9">
        <f>IFERROR(RawSalesTable_[[#This Row],[Profit]]/RawSalesTable_[[#This Row],[Revenue]],0)</f>
        <v>0.30981880838780246</v>
      </c>
    </row>
    <row r="474" spans="1:15">
      <c r="A474" s="7" t="s">
        <v>574</v>
      </c>
      <c r="B474" s="8">
        <v>45701</v>
      </c>
      <c r="C474" s="7" t="s">
        <v>15</v>
      </c>
      <c r="D474" s="7" t="s">
        <v>16</v>
      </c>
      <c r="E474" s="7" t="s">
        <v>49</v>
      </c>
      <c r="F474" s="7" t="s">
        <v>91</v>
      </c>
      <c r="G474" s="7" t="s">
        <v>19</v>
      </c>
      <c r="H474">
        <v>4</v>
      </c>
      <c r="I474">
        <v>6187.67</v>
      </c>
      <c r="J474">
        <v>0.05</v>
      </c>
      <c r="K474">
        <v>23513.15</v>
      </c>
      <c r="L474">
        <v>14125.24</v>
      </c>
      <c r="M474">
        <v>9387.91</v>
      </c>
      <c r="N474" s="7" t="s">
        <v>33</v>
      </c>
      <c r="O474" s="9">
        <f>IFERROR(RawSalesTable_[[#This Row],[Profit]]/RawSalesTable_[[#This Row],[Revenue]],0)</f>
        <v>0.39926211502924958</v>
      </c>
    </row>
    <row r="475" spans="1:15">
      <c r="A475" s="7" t="s">
        <v>575</v>
      </c>
      <c r="B475" s="8">
        <v>45899</v>
      </c>
      <c r="C475" s="7" t="s">
        <v>22</v>
      </c>
      <c r="D475" s="7" t="s">
        <v>37</v>
      </c>
      <c r="E475" s="7" t="s">
        <v>44</v>
      </c>
      <c r="F475" s="7" t="s">
        <v>69</v>
      </c>
      <c r="G475" s="7" t="s">
        <v>64</v>
      </c>
      <c r="H475">
        <v>1</v>
      </c>
      <c r="I475">
        <v>37047.089999999997</v>
      </c>
      <c r="J475">
        <v>0</v>
      </c>
      <c r="K475">
        <v>37047.089999999997</v>
      </c>
      <c r="L475">
        <v>25775.31</v>
      </c>
      <c r="M475">
        <v>11271.78</v>
      </c>
      <c r="N475" s="7" t="s">
        <v>59</v>
      </c>
      <c r="O475" s="9">
        <f>IFERROR(RawSalesTable_[[#This Row],[Profit]]/RawSalesTable_[[#This Row],[Revenue]],0)</f>
        <v>0.3042554759361667</v>
      </c>
    </row>
    <row r="476" spans="1:15">
      <c r="A476" s="7" t="s">
        <v>576</v>
      </c>
      <c r="B476" s="8">
        <v>45730</v>
      </c>
      <c r="C476" s="7" t="s">
        <v>22</v>
      </c>
      <c r="D476" s="7" t="s">
        <v>37</v>
      </c>
      <c r="E476" s="7" t="s">
        <v>44</v>
      </c>
      <c r="F476" s="7" t="s">
        <v>45</v>
      </c>
      <c r="G476" s="7" t="s">
        <v>64</v>
      </c>
      <c r="H476">
        <v>5</v>
      </c>
      <c r="I476">
        <v>28722.53</v>
      </c>
      <c r="J476">
        <v>0.1</v>
      </c>
      <c r="K476">
        <v>129251.38</v>
      </c>
      <c r="L476">
        <v>97003.99</v>
      </c>
      <c r="M476">
        <v>32247.39</v>
      </c>
      <c r="N476" s="7" t="s">
        <v>20</v>
      </c>
      <c r="O476" s="9">
        <f>IFERROR(RawSalesTable_[[#This Row],[Profit]]/RawSalesTable_[[#This Row],[Revenue]],0)</f>
        <v>0.2494935837435546</v>
      </c>
    </row>
    <row r="477" spans="1:15">
      <c r="A477" s="7" t="s">
        <v>577</v>
      </c>
      <c r="B477" s="8">
        <v>45974</v>
      </c>
      <c r="C477" s="7" t="s">
        <v>15</v>
      </c>
      <c r="D477" s="7" t="s">
        <v>43</v>
      </c>
      <c r="E477" s="7" t="s">
        <v>17</v>
      </c>
      <c r="F477" s="7" t="s">
        <v>18</v>
      </c>
      <c r="G477" s="7" t="s">
        <v>58</v>
      </c>
      <c r="H477">
        <v>3</v>
      </c>
      <c r="I477">
        <v>13479.46</v>
      </c>
      <c r="J477">
        <v>0</v>
      </c>
      <c r="K477">
        <v>40438.379999999997</v>
      </c>
      <c r="L477">
        <v>25220.98</v>
      </c>
      <c r="M477">
        <v>15217.4</v>
      </c>
      <c r="N477" s="7" t="s">
        <v>33</v>
      </c>
      <c r="O477" s="9">
        <f>IFERROR(RawSalesTable_[[#This Row],[Profit]]/RawSalesTable_[[#This Row],[Revenue]],0)</f>
        <v>0.37631082155120954</v>
      </c>
    </row>
    <row r="478" spans="1:15">
      <c r="A478" s="7" t="s">
        <v>578</v>
      </c>
      <c r="B478" s="8">
        <v>45995</v>
      </c>
      <c r="C478" s="7" t="s">
        <v>28</v>
      </c>
      <c r="D478" s="7" t="s">
        <v>29</v>
      </c>
      <c r="E478" s="7" t="s">
        <v>17</v>
      </c>
      <c r="F478" s="7" t="s">
        <v>75</v>
      </c>
      <c r="G478" s="7" t="s">
        <v>32</v>
      </c>
      <c r="H478">
        <v>7</v>
      </c>
      <c r="I478">
        <v>189747.04</v>
      </c>
      <c r="J478">
        <v>0.15</v>
      </c>
      <c r="K478">
        <v>1128994.8899999999</v>
      </c>
      <c r="L478">
        <v>1023467.93</v>
      </c>
      <c r="M478">
        <v>105526.96</v>
      </c>
      <c r="N478" s="7" t="s">
        <v>33</v>
      </c>
      <c r="O478" s="9">
        <f>IFERROR(RawSalesTable_[[#This Row],[Profit]]/RawSalesTable_[[#This Row],[Revenue]],0)</f>
        <v>9.346982961100915E-2</v>
      </c>
    </row>
    <row r="479" spans="1:15">
      <c r="A479" s="7" t="s">
        <v>579</v>
      </c>
      <c r="B479" s="8">
        <v>45819</v>
      </c>
      <c r="C479" s="7" t="s">
        <v>22</v>
      </c>
      <c r="D479" s="7" t="s">
        <v>35</v>
      </c>
      <c r="E479" s="7" t="s">
        <v>49</v>
      </c>
      <c r="F479" s="7" t="s">
        <v>1590</v>
      </c>
      <c r="G479" s="7" t="s">
        <v>70</v>
      </c>
      <c r="H479">
        <v>7</v>
      </c>
      <c r="I479">
        <v>4205.74</v>
      </c>
      <c r="J479">
        <v>0.15</v>
      </c>
      <c r="K479">
        <v>25024.15</v>
      </c>
      <c r="L479">
        <v>14361.49</v>
      </c>
      <c r="M479">
        <v>10662.66</v>
      </c>
      <c r="N479" s="7" t="s">
        <v>33</v>
      </c>
      <c r="O479" s="9">
        <f>IFERROR(RawSalesTable_[[#This Row],[Profit]]/RawSalesTable_[[#This Row],[Revenue]],0)</f>
        <v>0.42609479243051207</v>
      </c>
    </row>
    <row r="480" spans="1:15">
      <c r="A480" s="7" t="s">
        <v>580</v>
      </c>
      <c r="B480" s="8">
        <v>45908</v>
      </c>
      <c r="C480" s="7" t="s">
        <v>22</v>
      </c>
      <c r="D480" s="7" t="s">
        <v>23</v>
      </c>
      <c r="E480" s="7" t="s">
        <v>49</v>
      </c>
      <c r="F480" s="7" t="s">
        <v>91</v>
      </c>
      <c r="G480" s="7" t="s">
        <v>25</v>
      </c>
      <c r="H480">
        <v>1</v>
      </c>
      <c r="I480">
        <v>6237.29</v>
      </c>
      <c r="J480">
        <v>0.1</v>
      </c>
      <c r="K480">
        <v>5613.56</v>
      </c>
      <c r="L480">
        <v>3568.84</v>
      </c>
      <c r="M480">
        <v>2044.72</v>
      </c>
      <c r="N480" s="7" t="s">
        <v>26</v>
      </c>
      <c r="O480" s="9">
        <f>IFERROR(RawSalesTable_[[#This Row],[Profit]]/RawSalesTable_[[#This Row],[Revenue]],0)</f>
        <v>0.36424657436635571</v>
      </c>
    </row>
    <row r="481" spans="1:15">
      <c r="A481" s="7" t="s">
        <v>581</v>
      </c>
      <c r="B481" s="8">
        <v>45689</v>
      </c>
      <c r="C481" s="7" t="s">
        <v>22</v>
      </c>
      <c r="D481" s="7" t="s">
        <v>35</v>
      </c>
      <c r="E481" s="7" t="s">
        <v>30</v>
      </c>
      <c r="F481" s="7" t="s">
        <v>38</v>
      </c>
      <c r="G481" s="7" t="s">
        <v>58</v>
      </c>
      <c r="H481">
        <v>5</v>
      </c>
      <c r="I481">
        <v>25860.400000000001</v>
      </c>
      <c r="J481">
        <v>0.1</v>
      </c>
      <c r="K481">
        <v>116371.8</v>
      </c>
      <c r="L481">
        <v>89038.03</v>
      </c>
      <c r="M481">
        <v>27333.77</v>
      </c>
      <c r="N481" s="7" t="s">
        <v>20</v>
      </c>
      <c r="O481" s="9">
        <f>IFERROR(RawSalesTable_[[#This Row],[Profit]]/RawSalesTable_[[#This Row],[Revenue]],0)</f>
        <v>0.23488310741949509</v>
      </c>
    </row>
    <row r="482" spans="1:15">
      <c r="A482" s="7" t="s">
        <v>583</v>
      </c>
      <c r="B482" s="8">
        <v>45725</v>
      </c>
      <c r="C482" s="7" t="s">
        <v>28</v>
      </c>
      <c r="D482" s="7" t="s">
        <v>52</v>
      </c>
      <c r="E482" s="7" t="s">
        <v>44</v>
      </c>
      <c r="F482" s="7" t="s">
        <v>53</v>
      </c>
      <c r="G482" s="7" t="s">
        <v>47</v>
      </c>
      <c r="H482">
        <v>5</v>
      </c>
      <c r="I482">
        <v>9057.24</v>
      </c>
      <c r="J482">
        <v>0.05</v>
      </c>
      <c r="K482">
        <v>43021.89</v>
      </c>
      <c r="L482">
        <v>24535.33</v>
      </c>
      <c r="M482">
        <v>18486.560000000001</v>
      </c>
      <c r="N482" s="7" t="s">
        <v>26</v>
      </c>
      <c r="O482" s="9">
        <f>IFERROR(RawSalesTable_[[#This Row],[Profit]]/RawSalesTable_[[#This Row],[Revenue]],0)</f>
        <v>0.42970125208353238</v>
      </c>
    </row>
    <row r="483" spans="1:15">
      <c r="A483" s="7" t="s">
        <v>584</v>
      </c>
      <c r="B483" s="8">
        <v>45878</v>
      </c>
      <c r="C483" s="7" t="s">
        <v>15</v>
      </c>
      <c r="D483" s="7" t="s">
        <v>43</v>
      </c>
      <c r="E483" s="7" t="s">
        <v>44</v>
      </c>
      <c r="F483" s="7" t="s">
        <v>45</v>
      </c>
      <c r="G483" s="7" t="s">
        <v>61</v>
      </c>
      <c r="H483">
        <v>5</v>
      </c>
      <c r="I483">
        <v>29359.71</v>
      </c>
      <c r="J483">
        <v>0.1</v>
      </c>
      <c r="K483">
        <v>132118.70000000001</v>
      </c>
      <c r="L483">
        <v>98198.59</v>
      </c>
      <c r="M483">
        <v>33920.11</v>
      </c>
      <c r="N483" s="7" t="s">
        <v>26</v>
      </c>
      <c r="O483" s="9">
        <f>IFERROR(RawSalesTable_[[#This Row],[Profit]]/RawSalesTable_[[#This Row],[Revenue]],0)</f>
        <v>0.25673965910957341</v>
      </c>
    </row>
    <row r="484" spans="1:15">
      <c r="A484" s="7" t="s">
        <v>585</v>
      </c>
      <c r="B484" s="8">
        <v>45821</v>
      </c>
      <c r="C484" s="7" t="s">
        <v>28</v>
      </c>
      <c r="D484" s="7" t="s">
        <v>52</v>
      </c>
      <c r="E484" s="7" t="s">
        <v>17</v>
      </c>
      <c r="F484" s="7" t="s">
        <v>24</v>
      </c>
      <c r="G484" s="7" t="s">
        <v>25</v>
      </c>
      <c r="H484">
        <v>6</v>
      </c>
      <c r="I484">
        <v>96997.77</v>
      </c>
      <c r="J484">
        <v>0</v>
      </c>
      <c r="K484">
        <v>581986.62</v>
      </c>
      <c r="L484">
        <v>416525.39</v>
      </c>
      <c r="M484">
        <v>165461.23000000001</v>
      </c>
      <c r="N484" s="7" t="s">
        <v>20</v>
      </c>
      <c r="O484" s="9">
        <f>IFERROR(RawSalesTable_[[#This Row],[Profit]]/RawSalesTable_[[#This Row],[Revenue]],0)</f>
        <v>0.28430418211332764</v>
      </c>
    </row>
    <row r="485" spans="1:15">
      <c r="A485" s="7" t="s">
        <v>586</v>
      </c>
      <c r="B485" s="8">
        <v>45971</v>
      </c>
      <c r="C485" s="7" t="s">
        <v>28</v>
      </c>
      <c r="D485" s="7" t="s">
        <v>56</v>
      </c>
      <c r="E485" s="7" t="s">
        <v>30</v>
      </c>
      <c r="F485" s="7" t="s">
        <v>86</v>
      </c>
      <c r="G485" s="7" t="s">
        <v>58</v>
      </c>
      <c r="H485">
        <v>4</v>
      </c>
      <c r="I485">
        <v>30923.75</v>
      </c>
      <c r="J485">
        <v>0</v>
      </c>
      <c r="K485">
        <v>123695</v>
      </c>
      <c r="L485">
        <v>87465.05</v>
      </c>
      <c r="M485">
        <v>36229.949999999997</v>
      </c>
      <c r="N485" s="7" t="s">
        <v>26</v>
      </c>
      <c r="O485" s="9">
        <f>IFERROR(RawSalesTable_[[#This Row],[Profit]]/RawSalesTable_[[#This Row],[Revenue]],0)</f>
        <v>0.2928974493714378</v>
      </c>
    </row>
    <row r="486" spans="1:15">
      <c r="A486" s="7" t="s">
        <v>588</v>
      </c>
      <c r="B486" s="8">
        <v>45665</v>
      </c>
      <c r="C486" s="7" t="s">
        <v>22</v>
      </c>
      <c r="D486" s="7" t="s">
        <v>35</v>
      </c>
      <c r="E486" s="7" t="s">
        <v>49</v>
      </c>
      <c r="F486" s="7" t="s">
        <v>107</v>
      </c>
      <c r="G486" s="7" t="s">
        <v>58</v>
      </c>
      <c r="H486">
        <v>3</v>
      </c>
      <c r="I486">
        <v>4920.2700000000004</v>
      </c>
      <c r="J486">
        <v>0</v>
      </c>
      <c r="K486">
        <v>14760.81</v>
      </c>
      <c r="L486">
        <v>7875.27</v>
      </c>
      <c r="M486">
        <v>6885.54</v>
      </c>
      <c r="N486" s="7" t="s">
        <v>20</v>
      </c>
      <c r="O486" s="9">
        <f>IFERROR(RawSalesTable_[[#This Row],[Profit]]/RawSalesTable_[[#This Row],[Revenue]],0)</f>
        <v>0.46647440079507835</v>
      </c>
    </row>
    <row r="487" spans="1:15">
      <c r="A487" s="7" t="s">
        <v>589</v>
      </c>
      <c r="B487" s="8">
        <v>45908</v>
      </c>
      <c r="C487" s="7" t="s">
        <v>22</v>
      </c>
      <c r="D487" s="7" t="s">
        <v>37</v>
      </c>
      <c r="E487" s="7" t="s">
        <v>44</v>
      </c>
      <c r="F487" s="7" t="s">
        <v>45</v>
      </c>
      <c r="G487" s="7" t="s">
        <v>32</v>
      </c>
      <c r="H487">
        <v>2</v>
      </c>
      <c r="I487">
        <v>27027.48</v>
      </c>
      <c r="J487">
        <v>0.05</v>
      </c>
      <c r="K487">
        <v>51352.21</v>
      </c>
      <c r="L487">
        <v>39166.559999999998</v>
      </c>
      <c r="M487">
        <v>12185.65</v>
      </c>
      <c r="N487" s="7" t="s">
        <v>20</v>
      </c>
      <c r="O487" s="9">
        <f>IFERROR(RawSalesTable_[[#This Row],[Profit]]/RawSalesTable_[[#This Row],[Revenue]],0)</f>
        <v>0.23729553216891736</v>
      </c>
    </row>
    <row r="488" spans="1:15">
      <c r="A488" s="7" t="s">
        <v>590</v>
      </c>
      <c r="B488" s="8">
        <v>45950</v>
      </c>
      <c r="C488" s="7" t="s">
        <v>22</v>
      </c>
      <c r="D488" s="7" t="s">
        <v>35</v>
      </c>
      <c r="E488" s="7" t="s">
        <v>49</v>
      </c>
      <c r="F488" s="7" t="s">
        <v>91</v>
      </c>
      <c r="G488" s="7" t="s">
        <v>64</v>
      </c>
      <c r="H488">
        <v>7</v>
      </c>
      <c r="I488">
        <v>6729.01</v>
      </c>
      <c r="J488">
        <v>0.05</v>
      </c>
      <c r="K488">
        <v>44747.92</v>
      </c>
      <c r="L488">
        <v>25522.69</v>
      </c>
      <c r="M488">
        <v>19225.23</v>
      </c>
      <c r="N488" s="7" t="s">
        <v>33</v>
      </c>
      <c r="O488" s="9">
        <f>IFERROR(RawSalesTable_[[#This Row],[Profit]]/RawSalesTable_[[#This Row],[Revenue]],0)</f>
        <v>0.42963404779484721</v>
      </c>
    </row>
    <row r="489" spans="1:15">
      <c r="A489" s="7" t="s">
        <v>591</v>
      </c>
      <c r="B489" s="8">
        <v>45922</v>
      </c>
      <c r="C489" s="7" t="s">
        <v>28</v>
      </c>
      <c r="D489" s="7" t="s">
        <v>56</v>
      </c>
      <c r="E489" s="7" t="s">
        <v>17</v>
      </c>
      <c r="F489" s="7" t="s">
        <v>24</v>
      </c>
      <c r="G489" s="7" t="s">
        <v>64</v>
      </c>
      <c r="H489">
        <v>7</v>
      </c>
      <c r="I489">
        <v>99121.99</v>
      </c>
      <c r="J489">
        <v>0</v>
      </c>
      <c r="K489">
        <v>693853.93</v>
      </c>
      <c r="L489">
        <v>480302.6</v>
      </c>
      <c r="M489">
        <v>213551.33</v>
      </c>
      <c r="N489" s="7" t="s">
        <v>26</v>
      </c>
      <c r="O489" s="9">
        <f>IFERROR(RawSalesTable_[[#This Row],[Profit]]/RawSalesTable_[[#This Row],[Revenue]],0)</f>
        <v>0.3077756293749031</v>
      </c>
    </row>
    <row r="490" spans="1:15">
      <c r="A490" s="7" t="s">
        <v>592</v>
      </c>
      <c r="B490" s="8">
        <v>45685</v>
      </c>
      <c r="C490" s="7" t="s">
        <v>28</v>
      </c>
      <c r="D490" s="7" t="s">
        <v>56</v>
      </c>
      <c r="E490" s="7" t="s">
        <v>49</v>
      </c>
      <c r="F490" s="7" t="s">
        <v>57</v>
      </c>
      <c r="G490" s="7" t="s">
        <v>61</v>
      </c>
      <c r="H490">
        <v>5</v>
      </c>
      <c r="I490">
        <v>11428.88</v>
      </c>
      <c r="J490">
        <v>0.05</v>
      </c>
      <c r="K490">
        <v>54287.18</v>
      </c>
      <c r="L490">
        <v>32194.799999999999</v>
      </c>
      <c r="M490">
        <v>22092.38</v>
      </c>
      <c r="N490" s="7" t="s">
        <v>20</v>
      </c>
      <c r="O490" s="9">
        <f>IFERROR(RawSalesTable_[[#This Row],[Profit]]/RawSalesTable_[[#This Row],[Revenue]],0)</f>
        <v>0.40695390698135364</v>
      </c>
    </row>
    <row r="491" spans="1:15">
      <c r="A491" s="7" t="s">
        <v>593</v>
      </c>
      <c r="B491" s="8">
        <v>45859</v>
      </c>
      <c r="C491" s="7" t="s">
        <v>15</v>
      </c>
      <c r="D491" s="7" t="s">
        <v>63</v>
      </c>
      <c r="E491" s="7" t="s">
        <v>17</v>
      </c>
      <c r="F491" s="7" t="s">
        <v>75</v>
      </c>
      <c r="G491" s="7" t="s">
        <v>25</v>
      </c>
      <c r="H491">
        <v>3</v>
      </c>
      <c r="I491">
        <v>193250.44</v>
      </c>
      <c r="J491">
        <v>0.15</v>
      </c>
      <c r="K491">
        <v>492788.62</v>
      </c>
      <c r="L491">
        <v>429513.86</v>
      </c>
      <c r="M491">
        <v>63274.76</v>
      </c>
      <c r="N491" s="7" t="s">
        <v>59</v>
      </c>
      <c r="O491" s="9">
        <f>IFERROR(RawSalesTable_[[#This Row],[Profit]]/RawSalesTable_[[#This Row],[Revenue]],0)</f>
        <v>0.12840142290623513</v>
      </c>
    </row>
    <row r="492" spans="1:15">
      <c r="A492" s="7" t="s">
        <v>594</v>
      </c>
      <c r="B492" s="8">
        <v>46012</v>
      </c>
      <c r="C492" s="7" t="s">
        <v>28</v>
      </c>
      <c r="D492" s="7" t="s">
        <v>52</v>
      </c>
      <c r="E492" s="7" t="s">
        <v>44</v>
      </c>
      <c r="F492" s="7" t="s">
        <v>53</v>
      </c>
      <c r="G492" s="7" t="s">
        <v>61</v>
      </c>
      <c r="H492">
        <v>4</v>
      </c>
      <c r="I492">
        <v>9020.27</v>
      </c>
      <c r="J492">
        <v>0</v>
      </c>
      <c r="K492">
        <v>36081.08</v>
      </c>
      <c r="L492">
        <v>19355.11</v>
      </c>
      <c r="M492">
        <v>16725.97</v>
      </c>
      <c r="N492" s="7" t="s">
        <v>33</v>
      </c>
      <c r="O492" s="9">
        <f>IFERROR(RawSalesTable_[[#This Row],[Profit]]/RawSalesTable_[[#This Row],[Revenue]],0)</f>
        <v>0.46356622362745242</v>
      </c>
    </row>
    <row r="493" spans="1:15">
      <c r="A493" s="7" t="s">
        <v>595</v>
      </c>
      <c r="B493" s="8">
        <v>45919</v>
      </c>
      <c r="C493" s="7" t="s">
        <v>22</v>
      </c>
      <c r="D493" s="7" t="s">
        <v>23</v>
      </c>
      <c r="E493" s="7" t="s">
        <v>49</v>
      </c>
      <c r="F493" s="7" t="s">
        <v>57</v>
      </c>
      <c r="G493" s="7" t="s">
        <v>61</v>
      </c>
      <c r="H493">
        <v>2</v>
      </c>
      <c r="I493">
        <v>11543.82</v>
      </c>
      <c r="J493">
        <v>0.05</v>
      </c>
      <c r="K493">
        <v>21933.26</v>
      </c>
      <c r="L493">
        <v>13271.46</v>
      </c>
      <c r="M493">
        <v>8661.7999999999993</v>
      </c>
      <c r="N493" s="7" t="s">
        <v>20</v>
      </c>
      <c r="O493" s="9">
        <f>IFERROR(RawSalesTable_[[#This Row],[Profit]]/RawSalesTable_[[#This Row],[Revenue]],0)</f>
        <v>0.39491621400557875</v>
      </c>
    </row>
    <row r="494" spans="1:15">
      <c r="A494" s="7" t="s">
        <v>596</v>
      </c>
      <c r="B494" s="8">
        <v>45741</v>
      </c>
      <c r="C494" s="7" t="s">
        <v>15</v>
      </c>
      <c r="D494" s="7" t="s">
        <v>63</v>
      </c>
      <c r="E494" s="7" t="s">
        <v>17</v>
      </c>
      <c r="F494" s="7" t="s">
        <v>24</v>
      </c>
      <c r="G494" s="7" t="s">
        <v>61</v>
      </c>
      <c r="H494">
        <v>6</v>
      </c>
      <c r="I494">
        <v>92964.04</v>
      </c>
      <c r="J494">
        <v>0.15</v>
      </c>
      <c r="K494">
        <v>474116.6</v>
      </c>
      <c r="L494">
        <v>420397.93</v>
      </c>
      <c r="M494">
        <v>53718.67</v>
      </c>
      <c r="N494" s="7" t="s">
        <v>26</v>
      </c>
      <c r="O494" s="9">
        <f>IFERROR(RawSalesTable_[[#This Row],[Profit]]/RawSalesTable_[[#This Row],[Revenue]],0)</f>
        <v>0.11330265592894237</v>
      </c>
    </row>
    <row r="495" spans="1:15">
      <c r="A495" s="7" t="s">
        <v>597</v>
      </c>
      <c r="B495" s="8">
        <v>45750</v>
      </c>
      <c r="C495" s="7" t="s">
        <v>15</v>
      </c>
      <c r="D495" s="7" t="s">
        <v>16</v>
      </c>
      <c r="E495" s="7" t="s">
        <v>49</v>
      </c>
      <c r="F495" s="7" t="s">
        <v>57</v>
      </c>
      <c r="G495" s="7" t="s">
        <v>19</v>
      </c>
      <c r="H495">
        <v>5</v>
      </c>
      <c r="I495">
        <v>11923.5</v>
      </c>
      <c r="J495">
        <v>0.05</v>
      </c>
      <c r="K495">
        <v>56636.62</v>
      </c>
      <c r="L495">
        <v>32181.98</v>
      </c>
      <c r="M495">
        <v>24454.639999999999</v>
      </c>
      <c r="N495" s="7" t="s">
        <v>26</v>
      </c>
      <c r="O495" s="9">
        <f>IFERROR(RawSalesTable_[[#This Row],[Profit]]/RawSalesTable_[[#This Row],[Revenue]],0)</f>
        <v>0.43178141633451994</v>
      </c>
    </row>
    <row r="496" spans="1:15">
      <c r="A496" s="7" t="s">
        <v>598</v>
      </c>
      <c r="B496" s="8">
        <v>45660</v>
      </c>
      <c r="C496" s="7" t="s">
        <v>22</v>
      </c>
      <c r="D496" s="7" t="s">
        <v>23</v>
      </c>
      <c r="E496" s="7" t="s">
        <v>30</v>
      </c>
      <c r="F496" s="7" t="s">
        <v>31</v>
      </c>
      <c r="G496" s="7" t="s">
        <v>70</v>
      </c>
      <c r="H496">
        <v>8</v>
      </c>
      <c r="I496">
        <v>134948.76</v>
      </c>
      <c r="J496">
        <v>0.05</v>
      </c>
      <c r="K496">
        <v>1025610.58</v>
      </c>
      <c r="L496">
        <v>814500.43</v>
      </c>
      <c r="M496">
        <v>211110.15</v>
      </c>
      <c r="N496" s="7" t="s">
        <v>26</v>
      </c>
      <c r="O496" s="9">
        <f>IFERROR(RawSalesTable_[[#This Row],[Profit]]/RawSalesTable_[[#This Row],[Revenue]],0)</f>
        <v>0.20583850646314511</v>
      </c>
    </row>
    <row r="497" spans="1:15">
      <c r="A497" s="7" t="s">
        <v>599</v>
      </c>
      <c r="B497" s="8">
        <v>45783</v>
      </c>
      <c r="C497" s="7" t="s">
        <v>22</v>
      </c>
      <c r="D497" s="7" t="s">
        <v>37</v>
      </c>
      <c r="E497" s="7" t="s">
        <v>49</v>
      </c>
      <c r="F497" s="7" t="s">
        <v>107</v>
      </c>
      <c r="G497" s="7" t="s">
        <v>58</v>
      </c>
      <c r="H497">
        <v>7</v>
      </c>
      <c r="I497">
        <v>5151.6400000000003</v>
      </c>
      <c r="J497">
        <v>0.1</v>
      </c>
      <c r="K497">
        <v>32455.33</v>
      </c>
      <c r="L497">
        <v>19126.939999999999</v>
      </c>
      <c r="M497">
        <v>13328.39</v>
      </c>
      <c r="N497" s="7" t="s">
        <v>26</v>
      </c>
      <c r="O497" s="9">
        <f>IFERROR(RawSalesTable_[[#This Row],[Profit]]/RawSalesTable_[[#This Row],[Revenue]],0)</f>
        <v>0.41066875610261855</v>
      </c>
    </row>
    <row r="498" spans="1:15">
      <c r="A498" s="7" t="s">
        <v>601</v>
      </c>
      <c r="B498" s="8">
        <v>45966</v>
      </c>
      <c r="C498" s="7" t="s">
        <v>22</v>
      </c>
      <c r="D498" s="7" t="s">
        <v>23</v>
      </c>
      <c r="E498" s="7" t="s">
        <v>44</v>
      </c>
      <c r="F498" s="7" t="s">
        <v>80</v>
      </c>
      <c r="G498" s="7" t="s">
        <v>58</v>
      </c>
      <c r="H498">
        <v>6</v>
      </c>
      <c r="I498">
        <v>39812.639999999999</v>
      </c>
      <c r="J498">
        <v>0</v>
      </c>
      <c r="K498">
        <v>238875.84</v>
      </c>
      <c r="L498">
        <v>189104.29</v>
      </c>
      <c r="M498">
        <v>49771.55</v>
      </c>
      <c r="N498" s="7" t="s">
        <v>59</v>
      </c>
      <c r="O498" s="9">
        <f>IFERROR(RawSalesTable_[[#This Row],[Profit]]/RawSalesTable_[[#This Row],[Revenue]],0)</f>
        <v>0.20835740441561609</v>
      </c>
    </row>
    <row r="499" spans="1:15">
      <c r="A499" s="7" t="s">
        <v>602</v>
      </c>
      <c r="B499" s="8">
        <v>46012</v>
      </c>
      <c r="C499" s="7" t="s">
        <v>22</v>
      </c>
      <c r="D499" s="7" t="s">
        <v>23</v>
      </c>
      <c r="E499" s="7" t="s">
        <v>17</v>
      </c>
      <c r="F499" s="7" t="s">
        <v>114</v>
      </c>
      <c r="G499" s="7" t="s">
        <v>61</v>
      </c>
      <c r="H499">
        <v>3</v>
      </c>
      <c r="I499">
        <v>49182.31</v>
      </c>
      <c r="J499">
        <v>0.05</v>
      </c>
      <c r="K499">
        <v>140169.57999999999</v>
      </c>
      <c r="L499">
        <v>110899</v>
      </c>
      <c r="M499">
        <v>29270.58</v>
      </c>
      <c r="N499" s="7" t="s">
        <v>20</v>
      </c>
      <c r="O499" s="9">
        <f>IFERROR(RawSalesTable_[[#This Row],[Profit]]/RawSalesTable_[[#This Row],[Revenue]],0)</f>
        <v>0.20882262756298481</v>
      </c>
    </row>
    <row r="500" spans="1:15">
      <c r="A500" s="7" t="s">
        <v>603</v>
      </c>
      <c r="B500" s="8">
        <v>45852</v>
      </c>
      <c r="C500" s="7" t="s">
        <v>15</v>
      </c>
      <c r="D500" s="7" t="s">
        <v>43</v>
      </c>
      <c r="E500" s="7" t="s">
        <v>30</v>
      </c>
      <c r="F500" s="7" t="s">
        <v>31</v>
      </c>
      <c r="G500" s="7" t="s">
        <v>19</v>
      </c>
      <c r="H500">
        <v>2</v>
      </c>
      <c r="I500">
        <v>140799.85999999999</v>
      </c>
      <c r="J500">
        <v>0.05</v>
      </c>
      <c r="K500">
        <v>267519.73</v>
      </c>
      <c r="L500">
        <v>201151.57</v>
      </c>
      <c r="M500">
        <v>66368.160000000003</v>
      </c>
      <c r="N500" s="7" t="s">
        <v>20</v>
      </c>
      <c r="O500" s="9">
        <f>IFERROR(RawSalesTable_[[#This Row],[Profit]]/RawSalesTable_[[#This Row],[Revenue]],0)</f>
        <v>0.24808697287486051</v>
      </c>
    </row>
    <row r="501" spans="1:15">
      <c r="A501" s="7" t="s">
        <v>604</v>
      </c>
      <c r="B501" s="8">
        <v>45869</v>
      </c>
      <c r="C501" s="7" t="s">
        <v>15</v>
      </c>
      <c r="D501" s="7" t="s">
        <v>16</v>
      </c>
      <c r="E501" s="7" t="s">
        <v>30</v>
      </c>
      <c r="F501" s="7" t="s">
        <v>40</v>
      </c>
      <c r="G501" s="7" t="s">
        <v>47</v>
      </c>
      <c r="H501">
        <v>3</v>
      </c>
      <c r="I501">
        <v>23018.33</v>
      </c>
      <c r="J501">
        <v>0.05</v>
      </c>
      <c r="K501">
        <v>65602.240000000005</v>
      </c>
      <c r="L501">
        <v>47070.31</v>
      </c>
      <c r="M501">
        <v>18531.93</v>
      </c>
      <c r="N501" s="7" t="s">
        <v>26</v>
      </c>
      <c r="O501" s="9">
        <f>IFERROR(RawSalesTable_[[#This Row],[Profit]]/RawSalesTable_[[#This Row],[Revenue]],0)</f>
        <v>0.28248928695117725</v>
      </c>
    </row>
    <row r="502" spans="1:15">
      <c r="A502" s="7" t="s">
        <v>605</v>
      </c>
      <c r="B502" s="8">
        <v>46019</v>
      </c>
      <c r="C502" s="7" t="s">
        <v>15</v>
      </c>
      <c r="D502" s="7" t="s">
        <v>16</v>
      </c>
      <c r="E502" s="7" t="s">
        <v>17</v>
      </c>
      <c r="F502" s="7" t="s">
        <v>75</v>
      </c>
      <c r="G502" s="7" t="s">
        <v>58</v>
      </c>
      <c r="H502">
        <v>8</v>
      </c>
      <c r="I502">
        <v>191632.59</v>
      </c>
      <c r="J502">
        <v>0.1</v>
      </c>
      <c r="K502">
        <v>1379754.65</v>
      </c>
      <c r="L502">
        <v>1176183.07</v>
      </c>
      <c r="M502">
        <v>203571.58</v>
      </c>
      <c r="N502" s="7" t="s">
        <v>20</v>
      </c>
      <c r="O502" s="9">
        <f>IFERROR(RawSalesTable_[[#This Row],[Profit]]/RawSalesTable_[[#This Row],[Revenue]],0)</f>
        <v>0.14754186912868894</v>
      </c>
    </row>
    <row r="503" spans="1:15">
      <c r="A503" s="7" t="s">
        <v>606</v>
      </c>
      <c r="B503" s="8">
        <v>45981</v>
      </c>
      <c r="C503" s="7" t="s">
        <v>15</v>
      </c>
      <c r="D503" s="7" t="s">
        <v>63</v>
      </c>
      <c r="E503" s="7" t="s">
        <v>30</v>
      </c>
      <c r="F503" s="7" t="s">
        <v>38</v>
      </c>
      <c r="G503" s="7" t="s">
        <v>70</v>
      </c>
      <c r="H503">
        <v>3</v>
      </c>
      <c r="I503">
        <v>27493.73</v>
      </c>
      <c r="J503">
        <v>0.05</v>
      </c>
      <c r="K503">
        <v>78357.13</v>
      </c>
      <c r="L503">
        <v>54344.49</v>
      </c>
      <c r="M503">
        <v>24012.639999999999</v>
      </c>
      <c r="N503" s="7" t="s">
        <v>20</v>
      </c>
      <c r="O503" s="9">
        <f>IFERROR(RawSalesTable_[[#This Row],[Profit]]/RawSalesTable_[[#This Row],[Revenue]],0)</f>
        <v>0.30645124444961164</v>
      </c>
    </row>
    <row r="504" spans="1:15">
      <c r="A504" s="7" t="s">
        <v>607</v>
      </c>
      <c r="B504" s="8">
        <v>45718</v>
      </c>
      <c r="C504" s="7" t="s">
        <v>22</v>
      </c>
      <c r="D504" s="7" t="s">
        <v>37</v>
      </c>
      <c r="E504" s="7" t="s">
        <v>44</v>
      </c>
      <c r="F504" s="7" t="s">
        <v>69</v>
      </c>
      <c r="G504" s="7" t="s">
        <v>47</v>
      </c>
      <c r="H504">
        <v>4</v>
      </c>
      <c r="I504">
        <v>34969.61</v>
      </c>
      <c r="J504">
        <v>0</v>
      </c>
      <c r="K504">
        <v>139878.44</v>
      </c>
      <c r="L504">
        <v>104264.37</v>
      </c>
      <c r="M504">
        <v>35614.07</v>
      </c>
      <c r="N504" s="7" t="s">
        <v>20</v>
      </c>
      <c r="O504" s="9">
        <f>IFERROR(RawSalesTable_[[#This Row],[Profit]]/RawSalesTable_[[#This Row],[Revenue]],0)</f>
        <v>0.25460728615503575</v>
      </c>
    </row>
    <row r="505" spans="1:15">
      <c r="A505" s="7" t="s">
        <v>608</v>
      </c>
      <c r="B505" s="8">
        <v>45788</v>
      </c>
      <c r="C505" s="7" t="s">
        <v>28</v>
      </c>
      <c r="D505" s="7" t="s">
        <v>52</v>
      </c>
      <c r="E505" s="7" t="s">
        <v>30</v>
      </c>
      <c r="F505" s="7" t="s">
        <v>38</v>
      </c>
      <c r="G505" s="7" t="s">
        <v>19</v>
      </c>
      <c r="H505">
        <v>4</v>
      </c>
      <c r="I505">
        <v>24888.799999999999</v>
      </c>
      <c r="J505">
        <v>0</v>
      </c>
      <c r="K505">
        <v>99555.199999999997</v>
      </c>
      <c r="L505">
        <v>73317.69</v>
      </c>
      <c r="M505">
        <v>26237.51</v>
      </c>
      <c r="N505" s="7" t="s">
        <v>59</v>
      </c>
      <c r="O505" s="9">
        <f>IFERROR(RawSalesTable_[[#This Row],[Profit]]/RawSalesTable_[[#This Row],[Revenue]],0)</f>
        <v>0.26354735865128087</v>
      </c>
    </row>
    <row r="506" spans="1:15">
      <c r="A506" s="7" t="s">
        <v>610</v>
      </c>
      <c r="B506" s="8">
        <v>45949</v>
      </c>
      <c r="C506" s="7" t="s">
        <v>28</v>
      </c>
      <c r="D506" s="7" t="s">
        <v>29</v>
      </c>
      <c r="E506" s="7" t="s">
        <v>30</v>
      </c>
      <c r="F506" s="7" t="s">
        <v>31</v>
      </c>
      <c r="G506" s="7" t="s">
        <v>64</v>
      </c>
      <c r="H506">
        <v>2</v>
      </c>
      <c r="I506">
        <v>139014.04999999999</v>
      </c>
      <c r="J506">
        <v>0.05</v>
      </c>
      <c r="K506">
        <v>264126.69</v>
      </c>
      <c r="L506">
        <v>201540.14</v>
      </c>
      <c r="M506">
        <v>62586.55</v>
      </c>
      <c r="N506" s="7" t="s">
        <v>26</v>
      </c>
      <c r="O506" s="9">
        <f>IFERROR(RawSalesTable_[[#This Row],[Profit]]/RawSalesTable_[[#This Row],[Revenue]],0)</f>
        <v>0.23695655293298834</v>
      </c>
    </row>
    <row r="507" spans="1:15">
      <c r="A507" s="7" t="s">
        <v>611</v>
      </c>
      <c r="B507" s="8">
        <v>45737</v>
      </c>
      <c r="C507" s="7" t="s">
        <v>22</v>
      </c>
      <c r="D507" s="7" t="s">
        <v>35</v>
      </c>
      <c r="E507" s="7" t="s">
        <v>30</v>
      </c>
      <c r="F507" s="7" t="s">
        <v>40</v>
      </c>
      <c r="G507" s="7" t="s">
        <v>70</v>
      </c>
      <c r="H507">
        <v>8</v>
      </c>
      <c r="I507">
        <v>25665.24</v>
      </c>
      <c r="J507">
        <v>0.15</v>
      </c>
      <c r="K507">
        <v>174523.63</v>
      </c>
      <c r="L507">
        <v>123809.15</v>
      </c>
      <c r="M507">
        <v>50714.48</v>
      </c>
      <c r="N507" s="7" t="s">
        <v>59</v>
      </c>
      <c r="O507" s="9">
        <f>IFERROR(RawSalesTable_[[#This Row],[Profit]]/RawSalesTable_[[#This Row],[Revenue]],0)</f>
        <v>0.29058804243299319</v>
      </c>
    </row>
    <row r="508" spans="1:15">
      <c r="A508" s="7" t="s">
        <v>612</v>
      </c>
      <c r="B508" s="8">
        <v>46008</v>
      </c>
      <c r="C508" s="7" t="s">
        <v>28</v>
      </c>
      <c r="D508" s="7" t="s">
        <v>56</v>
      </c>
      <c r="E508" s="7" t="s">
        <v>17</v>
      </c>
      <c r="F508" s="7" t="s">
        <v>18</v>
      </c>
      <c r="G508" s="7" t="s">
        <v>32</v>
      </c>
      <c r="H508">
        <v>6</v>
      </c>
      <c r="I508">
        <v>14628.01</v>
      </c>
      <c r="J508">
        <v>0</v>
      </c>
      <c r="K508">
        <v>87768.06</v>
      </c>
      <c r="L508">
        <v>48441.26</v>
      </c>
      <c r="M508">
        <v>39326.800000000003</v>
      </c>
      <c r="N508" s="7" t="s">
        <v>59</v>
      </c>
      <c r="O508" s="9">
        <f>IFERROR(RawSalesTable_[[#This Row],[Profit]]/RawSalesTable_[[#This Row],[Revenue]],0)</f>
        <v>0.44807644147540693</v>
      </c>
    </row>
    <row r="509" spans="1:15">
      <c r="A509" s="7" t="s">
        <v>613</v>
      </c>
      <c r="B509" s="8">
        <v>45742</v>
      </c>
      <c r="C509" s="7" t="s">
        <v>22</v>
      </c>
      <c r="D509" s="7" t="s">
        <v>23</v>
      </c>
      <c r="E509" s="7" t="s">
        <v>30</v>
      </c>
      <c r="F509" s="7" t="s">
        <v>31</v>
      </c>
      <c r="G509" s="7" t="s">
        <v>25</v>
      </c>
      <c r="H509">
        <v>6</v>
      </c>
      <c r="I509">
        <v>145446.17000000001</v>
      </c>
      <c r="J509">
        <v>0.15</v>
      </c>
      <c r="K509">
        <v>741775.47</v>
      </c>
      <c r="L509">
        <v>610483.87</v>
      </c>
      <c r="M509">
        <v>131291.6</v>
      </c>
      <c r="N509" s="7" t="s">
        <v>26</v>
      </c>
      <c r="O509" s="9">
        <f>IFERROR(RawSalesTable_[[#This Row],[Profit]]/RawSalesTable_[[#This Row],[Revenue]],0)</f>
        <v>0.17699641644930644</v>
      </c>
    </row>
    <row r="510" spans="1:15">
      <c r="A510" s="7" t="s">
        <v>614</v>
      </c>
      <c r="B510" s="8">
        <v>45779</v>
      </c>
      <c r="C510" s="7" t="s">
        <v>15</v>
      </c>
      <c r="D510" s="7" t="s">
        <v>16</v>
      </c>
      <c r="E510" s="7" t="s">
        <v>30</v>
      </c>
      <c r="F510" s="7" t="s">
        <v>38</v>
      </c>
      <c r="G510" s="7" t="s">
        <v>32</v>
      </c>
      <c r="H510">
        <v>1</v>
      </c>
      <c r="I510">
        <v>26012.87</v>
      </c>
      <c r="J510">
        <v>0</v>
      </c>
      <c r="K510">
        <v>26012.87</v>
      </c>
      <c r="L510">
        <v>18086.29</v>
      </c>
      <c r="M510">
        <v>7926.58</v>
      </c>
      <c r="N510" s="7" t="s">
        <v>20</v>
      </c>
      <c r="O510" s="9">
        <f>IFERROR(RawSalesTable_[[#This Row],[Profit]]/RawSalesTable_[[#This Row],[Revenue]],0)</f>
        <v>0.30471762631343641</v>
      </c>
    </row>
    <row r="511" spans="1:15">
      <c r="A511" s="7" t="s">
        <v>615</v>
      </c>
      <c r="B511" s="8">
        <v>45705</v>
      </c>
      <c r="C511" s="7" t="s">
        <v>28</v>
      </c>
      <c r="D511" s="7" t="s">
        <v>52</v>
      </c>
      <c r="E511" s="7" t="s">
        <v>30</v>
      </c>
      <c r="F511" s="7" t="s">
        <v>86</v>
      </c>
      <c r="G511" s="7" t="s">
        <v>70</v>
      </c>
      <c r="H511">
        <v>2</v>
      </c>
      <c r="I511">
        <v>32335.86</v>
      </c>
      <c r="J511">
        <v>0</v>
      </c>
      <c r="K511">
        <v>64671.72</v>
      </c>
      <c r="L511">
        <v>46100.04</v>
      </c>
      <c r="M511">
        <v>18571.68</v>
      </c>
      <c r="N511" s="7" t="s">
        <v>33</v>
      </c>
      <c r="O511" s="9">
        <f>IFERROR(RawSalesTable_[[#This Row],[Profit]]/RawSalesTable_[[#This Row],[Revenue]],0)</f>
        <v>0.28716848724604821</v>
      </c>
    </row>
    <row r="512" spans="1:15">
      <c r="A512" s="7" t="s">
        <v>616</v>
      </c>
      <c r="B512" s="8">
        <v>45816</v>
      </c>
      <c r="C512" s="7" t="s">
        <v>28</v>
      </c>
      <c r="D512" s="7" t="s">
        <v>29</v>
      </c>
      <c r="E512" s="7" t="s">
        <v>44</v>
      </c>
      <c r="F512" s="7" t="s">
        <v>45</v>
      </c>
      <c r="G512" s="7" t="s">
        <v>32</v>
      </c>
      <c r="H512">
        <v>6</v>
      </c>
      <c r="I512">
        <v>30431.78</v>
      </c>
      <c r="J512">
        <v>0.15</v>
      </c>
      <c r="K512">
        <v>155202.07999999999</v>
      </c>
      <c r="L512">
        <v>117553.56</v>
      </c>
      <c r="M512">
        <v>37648.519999999997</v>
      </c>
      <c r="N512" s="7" t="s">
        <v>26</v>
      </c>
      <c r="O512" s="9">
        <f>IFERROR(RawSalesTable_[[#This Row],[Profit]]/RawSalesTable_[[#This Row],[Revenue]],0)</f>
        <v>0.24257741906551769</v>
      </c>
    </row>
    <row r="513" spans="1:15">
      <c r="A513" s="7" t="s">
        <v>617</v>
      </c>
      <c r="B513" s="8">
        <v>45717</v>
      </c>
      <c r="C513" s="7" t="s">
        <v>22</v>
      </c>
      <c r="D513" s="7" t="s">
        <v>37</v>
      </c>
      <c r="E513" s="7" t="s">
        <v>44</v>
      </c>
      <c r="F513" s="7" t="s">
        <v>45</v>
      </c>
      <c r="G513" s="7" t="s">
        <v>64</v>
      </c>
      <c r="H513">
        <v>1</v>
      </c>
      <c r="I513">
        <v>28314.720000000001</v>
      </c>
      <c r="J513">
        <v>0.15</v>
      </c>
      <c r="K513">
        <v>24067.51</v>
      </c>
      <c r="L513">
        <v>19580.2</v>
      </c>
      <c r="M513">
        <v>4487.3100000000004</v>
      </c>
      <c r="N513" s="7" t="s">
        <v>59</v>
      </c>
      <c r="O513" s="9">
        <f>IFERROR(RawSalesTable_[[#This Row],[Profit]]/RawSalesTable_[[#This Row],[Revenue]],0)</f>
        <v>0.18644679071495143</v>
      </c>
    </row>
    <row r="514" spans="1:15">
      <c r="A514" s="7" t="s">
        <v>618</v>
      </c>
      <c r="B514" s="8">
        <v>45995</v>
      </c>
      <c r="C514" s="7" t="s">
        <v>22</v>
      </c>
      <c r="D514" s="7" t="s">
        <v>37</v>
      </c>
      <c r="E514" s="7" t="s">
        <v>17</v>
      </c>
      <c r="F514" s="7" t="s">
        <v>18</v>
      </c>
      <c r="G514" s="7" t="s">
        <v>58</v>
      </c>
      <c r="H514">
        <v>8</v>
      </c>
      <c r="I514">
        <v>15402.91</v>
      </c>
      <c r="J514">
        <v>0</v>
      </c>
      <c r="K514">
        <v>123223.28</v>
      </c>
      <c r="L514">
        <v>66022.490000000005</v>
      </c>
      <c r="M514">
        <v>57200.79</v>
      </c>
      <c r="N514" s="7" t="s">
        <v>33</v>
      </c>
      <c r="O514" s="9">
        <f>IFERROR(RawSalesTable_[[#This Row],[Profit]]/RawSalesTable_[[#This Row],[Revenue]],0)</f>
        <v>0.46420441007575841</v>
      </c>
    </row>
    <row r="515" spans="1:15">
      <c r="A515" s="7" t="s">
        <v>619</v>
      </c>
      <c r="B515" s="8">
        <v>45883</v>
      </c>
      <c r="C515" s="7" t="s">
        <v>15</v>
      </c>
      <c r="D515" s="7" t="s">
        <v>63</v>
      </c>
      <c r="E515" s="7" t="s">
        <v>44</v>
      </c>
      <c r="F515" s="7" t="s">
        <v>69</v>
      </c>
      <c r="G515" s="7" t="s">
        <v>19</v>
      </c>
      <c r="H515">
        <v>4</v>
      </c>
      <c r="I515">
        <v>36130.68</v>
      </c>
      <c r="J515">
        <v>0.05</v>
      </c>
      <c r="K515">
        <v>137296.57999999999</v>
      </c>
      <c r="L515">
        <v>104754.97</v>
      </c>
      <c r="M515">
        <v>32541.61</v>
      </c>
      <c r="N515" s="7" t="s">
        <v>59</v>
      </c>
      <c r="O515" s="9">
        <f>IFERROR(RawSalesTable_[[#This Row],[Profit]]/RawSalesTable_[[#This Row],[Revenue]],0)</f>
        <v>0.23701690165916736</v>
      </c>
    </row>
    <row r="516" spans="1:15">
      <c r="A516" s="7" t="s">
        <v>620</v>
      </c>
      <c r="B516" s="8">
        <v>45763</v>
      </c>
      <c r="C516" s="7" t="s">
        <v>22</v>
      </c>
      <c r="D516" s="7" t="s">
        <v>23</v>
      </c>
      <c r="E516" s="7" t="s">
        <v>30</v>
      </c>
      <c r="F516" s="7" t="s">
        <v>31</v>
      </c>
      <c r="G516" s="7" t="s">
        <v>32</v>
      </c>
      <c r="H516">
        <v>1</v>
      </c>
      <c r="I516">
        <v>144899.24</v>
      </c>
      <c r="J516">
        <v>0.1</v>
      </c>
      <c r="K516">
        <v>130409.32</v>
      </c>
      <c r="L516">
        <v>101604.41</v>
      </c>
      <c r="M516">
        <v>28804.91</v>
      </c>
      <c r="N516" s="7" t="s">
        <v>59</v>
      </c>
      <c r="O516" s="9">
        <f>IFERROR(RawSalesTable_[[#This Row],[Profit]]/RawSalesTable_[[#This Row],[Revenue]],0)</f>
        <v>0.22088076220319222</v>
      </c>
    </row>
    <row r="517" spans="1:15">
      <c r="A517" s="7" t="s">
        <v>621</v>
      </c>
      <c r="B517" s="8">
        <v>45934</v>
      </c>
      <c r="C517" s="7" t="s">
        <v>28</v>
      </c>
      <c r="D517" s="7" t="s">
        <v>52</v>
      </c>
      <c r="E517" s="7" t="s">
        <v>30</v>
      </c>
      <c r="F517" s="7" t="s">
        <v>86</v>
      </c>
      <c r="G517" s="7" t="s">
        <v>70</v>
      </c>
      <c r="H517">
        <v>3</v>
      </c>
      <c r="I517">
        <v>30736.16</v>
      </c>
      <c r="J517">
        <v>0.1</v>
      </c>
      <c r="K517">
        <v>82987.63</v>
      </c>
      <c r="L517">
        <v>69690.850000000006</v>
      </c>
      <c r="M517">
        <v>13296.78</v>
      </c>
      <c r="N517" s="7" t="s">
        <v>33</v>
      </c>
      <c r="O517" s="9">
        <f>IFERROR(RawSalesTable_[[#This Row],[Profit]]/RawSalesTable_[[#This Row],[Revenue]],0)</f>
        <v>0.16022604814717567</v>
      </c>
    </row>
    <row r="518" spans="1:15">
      <c r="A518" s="7" t="s">
        <v>623</v>
      </c>
      <c r="B518" s="8">
        <v>45749</v>
      </c>
      <c r="C518" s="7" t="s">
        <v>22</v>
      </c>
      <c r="D518" s="7" t="s">
        <v>23</v>
      </c>
      <c r="E518" s="7" t="s">
        <v>49</v>
      </c>
      <c r="F518" s="7" t="s">
        <v>91</v>
      </c>
      <c r="G518" s="7" t="s">
        <v>70</v>
      </c>
      <c r="H518">
        <v>2</v>
      </c>
      <c r="I518">
        <v>6378.94</v>
      </c>
      <c r="J518">
        <v>0</v>
      </c>
      <c r="K518">
        <v>12757.88</v>
      </c>
      <c r="L518">
        <v>7198.94</v>
      </c>
      <c r="M518">
        <v>5558.94</v>
      </c>
      <c r="N518" s="7" t="s">
        <v>59</v>
      </c>
      <c r="O518" s="9">
        <f>IFERROR(RawSalesTable_[[#This Row],[Profit]]/RawSalesTable_[[#This Row],[Revenue]],0)</f>
        <v>0.43572599836336445</v>
      </c>
    </row>
    <row r="519" spans="1:15">
      <c r="A519" s="7" t="s">
        <v>624</v>
      </c>
      <c r="B519" s="8">
        <v>46015</v>
      </c>
      <c r="C519" s="7" t="s">
        <v>28</v>
      </c>
      <c r="D519" s="7" t="s">
        <v>56</v>
      </c>
      <c r="E519" s="7" t="s">
        <v>44</v>
      </c>
      <c r="F519" s="7" t="s">
        <v>80</v>
      </c>
      <c r="G519" s="7" t="s">
        <v>70</v>
      </c>
      <c r="H519">
        <v>8</v>
      </c>
      <c r="I519">
        <v>43466.39</v>
      </c>
      <c r="J519">
        <v>0</v>
      </c>
      <c r="K519">
        <v>347731.12</v>
      </c>
      <c r="L519">
        <v>254671.09</v>
      </c>
      <c r="M519">
        <v>93060.03</v>
      </c>
      <c r="N519" s="7" t="s">
        <v>33</v>
      </c>
      <c r="O519" s="9">
        <f>IFERROR(RawSalesTable_[[#This Row],[Profit]]/RawSalesTable_[[#This Row],[Revenue]],0)</f>
        <v>0.26762065471735746</v>
      </c>
    </row>
    <row r="520" spans="1:15">
      <c r="A520" s="7" t="s">
        <v>625</v>
      </c>
      <c r="B520" s="8">
        <v>45973</v>
      </c>
      <c r="C520" s="7" t="s">
        <v>28</v>
      </c>
      <c r="D520" s="7" t="s">
        <v>56</v>
      </c>
      <c r="E520" s="7" t="s">
        <v>49</v>
      </c>
      <c r="F520" s="7" t="s">
        <v>107</v>
      </c>
      <c r="G520" s="7" t="s">
        <v>58</v>
      </c>
      <c r="H520">
        <v>4</v>
      </c>
      <c r="I520">
        <v>5572.28</v>
      </c>
      <c r="J520">
        <v>0</v>
      </c>
      <c r="K520">
        <v>22289.119999999999</v>
      </c>
      <c r="L520">
        <v>11126.99</v>
      </c>
      <c r="M520">
        <v>11162.13</v>
      </c>
      <c r="N520" s="7" t="s">
        <v>59</v>
      </c>
      <c r="O520" s="9">
        <f>IFERROR(RawSalesTable_[[#This Row],[Profit]]/RawSalesTable_[[#This Row],[Revenue]],0)</f>
        <v>0.50078827697100647</v>
      </c>
    </row>
    <row r="521" spans="1:15">
      <c r="A521" s="7" t="s">
        <v>626</v>
      </c>
      <c r="B521" s="8">
        <v>45837</v>
      </c>
      <c r="C521" s="7" t="s">
        <v>28</v>
      </c>
      <c r="D521" s="7" t="s">
        <v>52</v>
      </c>
      <c r="E521" s="7" t="s">
        <v>30</v>
      </c>
      <c r="F521" s="7" t="s">
        <v>38</v>
      </c>
      <c r="G521" s="7" t="s">
        <v>70</v>
      </c>
      <c r="H521">
        <v>8</v>
      </c>
      <c r="I521">
        <v>26946.03</v>
      </c>
      <c r="J521">
        <v>0</v>
      </c>
      <c r="K521">
        <v>215568.24</v>
      </c>
      <c r="L521">
        <v>144471.37</v>
      </c>
      <c r="M521">
        <v>71096.87</v>
      </c>
      <c r="N521" s="7" t="s">
        <v>20</v>
      </c>
      <c r="O521" s="9">
        <f>IFERROR(RawSalesTable_[[#This Row],[Profit]]/RawSalesTable_[[#This Row],[Revenue]],0)</f>
        <v>0.32981143233344579</v>
      </c>
    </row>
    <row r="522" spans="1:15">
      <c r="A522" s="7" t="s">
        <v>627</v>
      </c>
      <c r="B522" s="8">
        <v>45824</v>
      </c>
      <c r="C522" s="7" t="s">
        <v>22</v>
      </c>
      <c r="D522" s="7" t="s">
        <v>35</v>
      </c>
      <c r="E522" s="7" t="s">
        <v>30</v>
      </c>
      <c r="F522" s="7" t="s">
        <v>86</v>
      </c>
      <c r="G522" s="7" t="s">
        <v>19</v>
      </c>
      <c r="H522">
        <v>2</v>
      </c>
      <c r="I522">
        <v>32502.02</v>
      </c>
      <c r="J522">
        <v>0.15</v>
      </c>
      <c r="K522">
        <v>55253.43</v>
      </c>
      <c r="L522">
        <v>46159.79</v>
      </c>
      <c r="M522">
        <v>9093.64</v>
      </c>
      <c r="N522" s="7" t="s">
        <v>59</v>
      </c>
      <c r="O522" s="9">
        <f>IFERROR(RawSalesTable_[[#This Row],[Profit]]/RawSalesTable_[[#This Row],[Revenue]],0)</f>
        <v>0.16458055183180481</v>
      </c>
    </row>
    <row r="523" spans="1:15">
      <c r="A523" s="7" t="s">
        <v>628</v>
      </c>
      <c r="B523" s="8">
        <v>45904</v>
      </c>
      <c r="C523" s="7" t="s">
        <v>15</v>
      </c>
      <c r="D523" s="7" t="s">
        <v>63</v>
      </c>
      <c r="E523" s="7" t="s">
        <v>49</v>
      </c>
      <c r="F523" s="7" t="s">
        <v>107</v>
      </c>
      <c r="G523" s="7" t="s">
        <v>25</v>
      </c>
      <c r="H523">
        <v>4</v>
      </c>
      <c r="I523">
        <v>5300.57</v>
      </c>
      <c r="J523">
        <v>0.1</v>
      </c>
      <c r="K523">
        <v>19082.05</v>
      </c>
      <c r="L523">
        <v>10596.22</v>
      </c>
      <c r="M523">
        <v>8485.83</v>
      </c>
      <c r="N523" s="7" t="s">
        <v>33</v>
      </c>
      <c r="O523" s="9">
        <f>IFERROR(RawSalesTable_[[#This Row],[Profit]]/RawSalesTable_[[#This Row],[Revenue]],0)</f>
        <v>0.44470222014930261</v>
      </c>
    </row>
    <row r="524" spans="1:15">
      <c r="A524" s="7" t="s">
        <v>630</v>
      </c>
      <c r="B524" s="8">
        <v>46000</v>
      </c>
      <c r="C524" s="7" t="s">
        <v>28</v>
      </c>
      <c r="D524" s="7" t="s">
        <v>52</v>
      </c>
      <c r="E524" s="7" t="s">
        <v>49</v>
      </c>
      <c r="F524" s="7" t="s">
        <v>107</v>
      </c>
      <c r="G524" s="7" t="s">
        <v>19</v>
      </c>
      <c r="H524">
        <v>6</v>
      </c>
      <c r="I524">
        <v>5237.05</v>
      </c>
      <c r="J524">
        <v>0</v>
      </c>
      <c r="K524">
        <v>31422.3</v>
      </c>
      <c r="L524">
        <v>15910.28</v>
      </c>
      <c r="M524">
        <v>15512.02</v>
      </c>
      <c r="N524" s="7" t="s">
        <v>20</v>
      </c>
      <c r="O524" s="9">
        <f>IFERROR(RawSalesTable_[[#This Row],[Profit]]/RawSalesTable_[[#This Row],[Revenue]],0)</f>
        <v>0.49366278089127785</v>
      </c>
    </row>
    <row r="525" spans="1:15">
      <c r="A525" s="7" t="s">
        <v>631</v>
      </c>
      <c r="B525" s="8">
        <v>45865</v>
      </c>
      <c r="C525" s="7" t="s">
        <v>22</v>
      </c>
      <c r="D525" s="7" t="s">
        <v>37</v>
      </c>
      <c r="E525" s="7" t="s">
        <v>49</v>
      </c>
      <c r="F525" s="7" t="s">
        <v>57</v>
      </c>
      <c r="G525" s="7" t="s">
        <v>19</v>
      </c>
      <c r="H525">
        <v>2</v>
      </c>
      <c r="I525">
        <v>12092.52</v>
      </c>
      <c r="J525">
        <v>0</v>
      </c>
      <c r="K525">
        <v>24185.040000000001</v>
      </c>
      <c r="L525">
        <v>12890.31</v>
      </c>
      <c r="M525">
        <v>11294.73</v>
      </c>
      <c r="N525" s="7" t="s">
        <v>33</v>
      </c>
      <c r="O525" s="9">
        <f>IFERROR(RawSalesTable_[[#This Row],[Profit]]/RawSalesTable_[[#This Row],[Revenue]],0)</f>
        <v>0.46701307915967882</v>
      </c>
    </row>
    <row r="526" spans="1:15">
      <c r="A526" s="7" t="s">
        <v>632</v>
      </c>
      <c r="B526" s="8">
        <v>45729</v>
      </c>
      <c r="C526" s="7" t="s">
        <v>15</v>
      </c>
      <c r="D526" s="7" t="s">
        <v>43</v>
      </c>
      <c r="E526" s="7" t="s">
        <v>49</v>
      </c>
      <c r="F526" s="7" t="s">
        <v>57</v>
      </c>
      <c r="G526" s="7" t="s">
        <v>64</v>
      </c>
      <c r="H526">
        <v>8</v>
      </c>
      <c r="I526">
        <v>11766.78</v>
      </c>
      <c r="J526">
        <v>0</v>
      </c>
      <c r="K526">
        <v>94134.24</v>
      </c>
      <c r="L526">
        <v>50769.54</v>
      </c>
      <c r="M526">
        <v>43364.7</v>
      </c>
      <c r="N526" s="7" t="s">
        <v>26</v>
      </c>
      <c r="O526" s="9">
        <f>IFERROR(RawSalesTable_[[#This Row],[Profit]]/RawSalesTable_[[#This Row],[Revenue]],0)</f>
        <v>0.4606687216043811</v>
      </c>
    </row>
    <row r="527" spans="1:15">
      <c r="A527" s="7" t="s">
        <v>633</v>
      </c>
      <c r="B527" s="8">
        <v>46006</v>
      </c>
      <c r="C527" s="7" t="s">
        <v>15</v>
      </c>
      <c r="D527" s="7" t="s">
        <v>16</v>
      </c>
      <c r="E527" s="7" t="s">
        <v>49</v>
      </c>
      <c r="F527" s="7" t="s">
        <v>57</v>
      </c>
      <c r="G527" s="7" t="s">
        <v>32</v>
      </c>
      <c r="H527">
        <v>7</v>
      </c>
      <c r="I527">
        <v>11712.65</v>
      </c>
      <c r="J527">
        <v>0.05</v>
      </c>
      <c r="K527">
        <v>77889.119999999995</v>
      </c>
      <c r="L527">
        <v>44758.2</v>
      </c>
      <c r="M527">
        <v>33130.92</v>
      </c>
      <c r="N527" s="7" t="s">
        <v>59</v>
      </c>
      <c r="O527" s="9">
        <f>IFERROR(RawSalesTable_[[#This Row],[Profit]]/RawSalesTable_[[#This Row],[Revenue]],0)</f>
        <v>0.42536005028686935</v>
      </c>
    </row>
    <row r="528" spans="1:15">
      <c r="A528" s="7" t="s">
        <v>634</v>
      </c>
      <c r="B528" s="8">
        <v>45919</v>
      </c>
      <c r="C528" s="7" t="s">
        <v>15</v>
      </c>
      <c r="D528" s="7" t="s">
        <v>43</v>
      </c>
      <c r="E528" s="7" t="s">
        <v>30</v>
      </c>
      <c r="F528" s="7" t="s">
        <v>40</v>
      </c>
      <c r="G528" s="7" t="s">
        <v>25</v>
      </c>
      <c r="H528">
        <v>6</v>
      </c>
      <c r="I528">
        <v>26421.93</v>
      </c>
      <c r="J528">
        <v>0.1</v>
      </c>
      <c r="K528">
        <v>142678.42000000001</v>
      </c>
      <c r="L528">
        <v>92009.88</v>
      </c>
      <c r="M528">
        <v>50668.54</v>
      </c>
      <c r="N528" s="7" t="s">
        <v>26</v>
      </c>
      <c r="O528" s="9">
        <f>IFERROR(RawSalesTable_[[#This Row],[Profit]]/RawSalesTable_[[#This Row],[Revenue]],0)</f>
        <v>0.35512406150839065</v>
      </c>
    </row>
    <row r="529" spans="1:15">
      <c r="A529" s="7" t="s">
        <v>635</v>
      </c>
      <c r="B529" s="8">
        <v>45802</v>
      </c>
      <c r="C529" s="7" t="s">
        <v>28</v>
      </c>
      <c r="D529" s="7" t="s">
        <v>52</v>
      </c>
      <c r="E529" s="7" t="s">
        <v>30</v>
      </c>
      <c r="F529" s="7" t="s">
        <v>31</v>
      </c>
      <c r="G529" s="7" t="s">
        <v>64</v>
      </c>
      <c r="H529">
        <v>1</v>
      </c>
      <c r="I529">
        <v>139392.45000000001</v>
      </c>
      <c r="J529">
        <v>0.05</v>
      </c>
      <c r="K529">
        <v>132422.82999999999</v>
      </c>
      <c r="L529">
        <v>98745.57</v>
      </c>
      <c r="M529">
        <v>33677.26</v>
      </c>
      <c r="N529" s="7" t="s">
        <v>26</v>
      </c>
      <c r="O529" s="9">
        <f>IFERROR(RawSalesTable_[[#This Row],[Profit]]/RawSalesTable_[[#This Row],[Revenue]],0)</f>
        <v>0.25431611754559247</v>
      </c>
    </row>
    <row r="530" spans="1:15">
      <c r="A530" s="7" t="s">
        <v>636</v>
      </c>
      <c r="B530" s="8">
        <v>45997</v>
      </c>
      <c r="C530" s="7" t="s">
        <v>28</v>
      </c>
      <c r="D530" s="7" t="s">
        <v>29</v>
      </c>
      <c r="E530" s="7" t="s">
        <v>49</v>
      </c>
      <c r="F530" s="7" t="s">
        <v>57</v>
      </c>
      <c r="G530" s="7" t="s">
        <v>61</v>
      </c>
      <c r="H530">
        <v>7</v>
      </c>
      <c r="I530">
        <v>11327.1</v>
      </c>
      <c r="J530">
        <v>0.05</v>
      </c>
      <c r="K530">
        <v>75325.210000000006</v>
      </c>
      <c r="L530">
        <v>45871.199999999997</v>
      </c>
      <c r="M530">
        <v>29454.01</v>
      </c>
      <c r="N530" s="7" t="s">
        <v>20</v>
      </c>
      <c r="O530" s="9">
        <f>IFERROR(RawSalesTable_[[#This Row],[Profit]]/RawSalesTable_[[#This Row],[Revenue]],0)</f>
        <v>0.39102459853746169</v>
      </c>
    </row>
    <row r="531" spans="1:15">
      <c r="A531" s="7" t="s">
        <v>637</v>
      </c>
      <c r="B531" s="8">
        <v>45663</v>
      </c>
      <c r="C531" s="7" t="s">
        <v>22</v>
      </c>
      <c r="D531" s="7" t="s">
        <v>23</v>
      </c>
      <c r="E531" s="7" t="s">
        <v>49</v>
      </c>
      <c r="F531" s="7" t="s">
        <v>57</v>
      </c>
      <c r="G531" s="7" t="s">
        <v>19</v>
      </c>
      <c r="H531">
        <v>7</v>
      </c>
      <c r="I531">
        <v>10863.85</v>
      </c>
      <c r="J531">
        <v>0.15</v>
      </c>
      <c r="K531">
        <v>64639.91</v>
      </c>
      <c r="L531">
        <v>44534.87</v>
      </c>
      <c r="M531">
        <v>20105.04</v>
      </c>
      <c r="N531" s="7" t="s">
        <v>33</v>
      </c>
      <c r="O531" s="9">
        <f>IFERROR(RawSalesTable_[[#This Row],[Profit]]/RawSalesTable_[[#This Row],[Revenue]],0)</f>
        <v>0.31103137365135564</v>
      </c>
    </row>
    <row r="532" spans="1:15">
      <c r="A532" s="7" t="s">
        <v>638</v>
      </c>
      <c r="B532" s="8">
        <v>45891</v>
      </c>
      <c r="C532" s="7" t="s">
        <v>22</v>
      </c>
      <c r="D532" s="7" t="s">
        <v>37</v>
      </c>
      <c r="E532" s="7" t="s">
        <v>49</v>
      </c>
      <c r="F532" s="7" t="s">
        <v>107</v>
      </c>
      <c r="G532" s="7" t="s">
        <v>25</v>
      </c>
      <c r="H532">
        <v>3</v>
      </c>
      <c r="I532">
        <v>4854.4399999999996</v>
      </c>
      <c r="J532">
        <v>0.15</v>
      </c>
      <c r="K532">
        <v>12378.82</v>
      </c>
      <c r="L532">
        <v>8313.9699999999993</v>
      </c>
      <c r="M532">
        <v>4064.85</v>
      </c>
      <c r="N532" s="7" t="s">
        <v>26</v>
      </c>
      <c r="O532" s="9">
        <f>IFERROR(RawSalesTable_[[#This Row],[Profit]]/RawSalesTable_[[#This Row],[Revenue]],0)</f>
        <v>0.32837136334480993</v>
      </c>
    </row>
    <row r="533" spans="1:15">
      <c r="A533" s="7" t="s">
        <v>639</v>
      </c>
      <c r="B533" s="8">
        <v>45661</v>
      </c>
      <c r="C533" s="7" t="s">
        <v>28</v>
      </c>
      <c r="D533" s="7" t="s">
        <v>29</v>
      </c>
      <c r="E533" s="7" t="s">
        <v>49</v>
      </c>
      <c r="F533" s="7" t="s">
        <v>107</v>
      </c>
      <c r="G533" s="7" t="s">
        <v>70</v>
      </c>
      <c r="H533">
        <v>7</v>
      </c>
      <c r="I533">
        <v>5079.62</v>
      </c>
      <c r="J533">
        <v>0</v>
      </c>
      <c r="K533">
        <v>35557.339999999997</v>
      </c>
      <c r="L533">
        <v>18894.97</v>
      </c>
      <c r="M533">
        <v>16662.37</v>
      </c>
      <c r="N533" s="7" t="s">
        <v>26</v>
      </c>
      <c r="O533" s="9">
        <f>IFERROR(RawSalesTable_[[#This Row],[Profit]]/RawSalesTable_[[#This Row],[Revenue]],0)</f>
        <v>0.46860563810453765</v>
      </c>
    </row>
    <row r="534" spans="1:15">
      <c r="A534" s="7" t="s">
        <v>640</v>
      </c>
      <c r="B534" s="8">
        <v>46018</v>
      </c>
      <c r="C534" s="7" t="s">
        <v>15</v>
      </c>
      <c r="D534" s="7" t="s">
        <v>43</v>
      </c>
      <c r="E534" s="7" t="s">
        <v>30</v>
      </c>
      <c r="F534" s="7" t="s">
        <v>40</v>
      </c>
      <c r="G534" s="7" t="s">
        <v>32</v>
      </c>
      <c r="H534">
        <v>6</v>
      </c>
      <c r="I534">
        <v>22671.17</v>
      </c>
      <c r="J534">
        <v>0</v>
      </c>
      <c r="K534">
        <v>136027.01999999999</v>
      </c>
      <c r="L534">
        <v>95726.24</v>
      </c>
      <c r="M534">
        <v>40300.78</v>
      </c>
      <c r="N534" s="7" t="s">
        <v>33</v>
      </c>
      <c r="O534" s="9">
        <f>IFERROR(RawSalesTable_[[#This Row],[Profit]]/RawSalesTable_[[#This Row],[Revenue]],0)</f>
        <v>0.29627040274792465</v>
      </c>
    </row>
    <row r="535" spans="1:15">
      <c r="A535" s="7" t="s">
        <v>641</v>
      </c>
      <c r="B535" s="8">
        <v>45970</v>
      </c>
      <c r="C535" s="7" t="s">
        <v>15</v>
      </c>
      <c r="D535" s="7" t="s">
        <v>63</v>
      </c>
      <c r="E535" s="7" t="s">
        <v>17</v>
      </c>
      <c r="F535" s="7" t="s">
        <v>24</v>
      </c>
      <c r="G535" s="7" t="s">
        <v>19</v>
      </c>
      <c r="H535">
        <v>5</v>
      </c>
      <c r="I535">
        <v>91483.86</v>
      </c>
      <c r="J535">
        <v>0</v>
      </c>
      <c r="K535">
        <v>457419.3</v>
      </c>
      <c r="L535">
        <v>342255.89</v>
      </c>
      <c r="M535">
        <v>115163.41</v>
      </c>
      <c r="N535" s="7" t="s">
        <v>26</v>
      </c>
      <c r="O535" s="9">
        <f>IFERROR(RawSalesTable_[[#This Row],[Profit]]/RawSalesTable_[[#This Row],[Revenue]],0)</f>
        <v>0.25176771071968324</v>
      </c>
    </row>
    <row r="536" spans="1:15">
      <c r="A536" s="7" t="s">
        <v>642</v>
      </c>
      <c r="B536" s="8">
        <v>45898</v>
      </c>
      <c r="C536" s="7" t="s">
        <v>28</v>
      </c>
      <c r="D536" s="7" t="s">
        <v>29</v>
      </c>
      <c r="E536" s="7" t="s">
        <v>17</v>
      </c>
      <c r="F536" s="7" t="s">
        <v>18</v>
      </c>
      <c r="G536" s="7" t="s">
        <v>70</v>
      </c>
      <c r="H536">
        <v>1</v>
      </c>
      <c r="I536">
        <v>15436.32</v>
      </c>
      <c r="J536">
        <v>0.1</v>
      </c>
      <c r="K536">
        <v>13892.69</v>
      </c>
      <c r="L536">
        <v>8400.8700000000008</v>
      </c>
      <c r="M536">
        <v>5491.82</v>
      </c>
      <c r="N536" s="7" t="s">
        <v>20</v>
      </c>
      <c r="O536" s="9">
        <f>IFERROR(RawSalesTable_[[#This Row],[Profit]]/RawSalesTable_[[#This Row],[Revenue]],0)</f>
        <v>0.39530285351504996</v>
      </c>
    </row>
    <row r="537" spans="1:15">
      <c r="A537" s="7" t="s">
        <v>644</v>
      </c>
      <c r="B537" s="8">
        <v>45676</v>
      </c>
      <c r="C537" s="7" t="s">
        <v>15</v>
      </c>
      <c r="D537" s="7" t="s">
        <v>43</v>
      </c>
      <c r="E537" s="7" t="s">
        <v>30</v>
      </c>
      <c r="F537" s="7" t="s">
        <v>40</v>
      </c>
      <c r="G537" s="7" t="s">
        <v>58</v>
      </c>
      <c r="H537">
        <v>6</v>
      </c>
      <c r="I537">
        <v>26305.48</v>
      </c>
      <c r="J537">
        <v>0.05</v>
      </c>
      <c r="K537">
        <v>149941.24</v>
      </c>
      <c r="L537">
        <v>93875.19</v>
      </c>
      <c r="M537">
        <v>56066.05</v>
      </c>
      <c r="N537" s="7" t="s">
        <v>59</v>
      </c>
      <c r="O537" s="9">
        <f>IFERROR(RawSalesTable_[[#This Row],[Profit]]/RawSalesTable_[[#This Row],[Revenue]],0)</f>
        <v>0.37392014365093956</v>
      </c>
    </row>
    <row r="538" spans="1:15">
      <c r="A538" s="7" t="s">
        <v>645</v>
      </c>
      <c r="B538" s="8">
        <v>45977</v>
      </c>
      <c r="C538" s="7" t="s">
        <v>22</v>
      </c>
      <c r="D538" s="7" t="s">
        <v>37</v>
      </c>
      <c r="E538" s="7" t="s">
        <v>49</v>
      </c>
      <c r="F538" s="7" t="s">
        <v>1590</v>
      </c>
      <c r="G538" s="7" t="s">
        <v>64</v>
      </c>
      <c r="H538">
        <v>1</v>
      </c>
      <c r="I538">
        <v>4305.05</v>
      </c>
      <c r="J538">
        <v>0.05</v>
      </c>
      <c r="K538">
        <v>4089.8</v>
      </c>
      <c r="L538">
        <v>2155.91</v>
      </c>
      <c r="M538">
        <v>1933.89</v>
      </c>
      <c r="N538" s="7" t="s">
        <v>59</v>
      </c>
      <c r="O538" s="9">
        <f>IFERROR(RawSalesTable_[[#This Row],[Profit]]/RawSalesTable_[[#This Row],[Revenue]],0)</f>
        <v>0.47285686341630395</v>
      </c>
    </row>
    <row r="539" spans="1:15">
      <c r="A539" s="7" t="s">
        <v>646</v>
      </c>
      <c r="B539" s="8">
        <v>45789</v>
      </c>
      <c r="C539" s="7" t="s">
        <v>28</v>
      </c>
      <c r="D539" s="7" t="s">
        <v>52</v>
      </c>
      <c r="E539" s="7" t="s">
        <v>44</v>
      </c>
      <c r="F539" s="7" t="s">
        <v>80</v>
      </c>
      <c r="G539" s="7" t="s">
        <v>64</v>
      </c>
      <c r="H539">
        <v>5</v>
      </c>
      <c r="I539">
        <v>41294.11</v>
      </c>
      <c r="J539">
        <v>0.1</v>
      </c>
      <c r="K539">
        <v>185823.49</v>
      </c>
      <c r="L539">
        <v>153398.54999999999</v>
      </c>
      <c r="M539">
        <v>32424.94</v>
      </c>
      <c r="N539" s="7" t="s">
        <v>33</v>
      </c>
      <c r="O539" s="9">
        <f>IFERROR(RawSalesTable_[[#This Row],[Profit]]/RawSalesTable_[[#This Row],[Revenue]],0)</f>
        <v>0.17449322472632497</v>
      </c>
    </row>
    <row r="540" spans="1:15">
      <c r="A540" s="7" t="s">
        <v>647</v>
      </c>
      <c r="B540" s="8">
        <v>45778</v>
      </c>
      <c r="C540" s="7" t="s">
        <v>15</v>
      </c>
      <c r="D540" s="7" t="s">
        <v>16</v>
      </c>
      <c r="E540" s="7" t="s">
        <v>44</v>
      </c>
      <c r="F540" s="7" t="s">
        <v>53</v>
      </c>
      <c r="G540" s="7" t="s">
        <v>70</v>
      </c>
      <c r="H540">
        <v>6</v>
      </c>
      <c r="I540">
        <v>8918.66</v>
      </c>
      <c r="J540">
        <v>0.05</v>
      </c>
      <c r="K540">
        <v>50836.36</v>
      </c>
      <c r="L540">
        <v>30128.44</v>
      </c>
      <c r="M540">
        <v>20707.919999999998</v>
      </c>
      <c r="N540" s="7" t="s">
        <v>26</v>
      </c>
      <c r="O540" s="9">
        <f>IFERROR(RawSalesTable_[[#This Row],[Profit]]/RawSalesTable_[[#This Row],[Revenue]],0)</f>
        <v>0.40734466433080568</v>
      </c>
    </row>
    <row r="541" spans="1:15">
      <c r="A541" s="7" t="s">
        <v>648</v>
      </c>
      <c r="B541" s="8">
        <v>45869</v>
      </c>
      <c r="C541" s="7" t="s">
        <v>15</v>
      </c>
      <c r="D541" s="7" t="s">
        <v>16</v>
      </c>
      <c r="E541" s="7" t="s">
        <v>30</v>
      </c>
      <c r="F541" s="7" t="s">
        <v>31</v>
      </c>
      <c r="G541" s="7" t="s">
        <v>25</v>
      </c>
      <c r="H541">
        <v>3</v>
      </c>
      <c r="I541">
        <v>137063.75</v>
      </c>
      <c r="J541">
        <v>0</v>
      </c>
      <c r="K541">
        <v>411191.25</v>
      </c>
      <c r="L541">
        <v>311675.8</v>
      </c>
      <c r="M541">
        <v>99515.45</v>
      </c>
      <c r="N541" s="7" t="s">
        <v>26</v>
      </c>
      <c r="O541" s="9">
        <f>IFERROR(RawSalesTable_[[#This Row],[Profit]]/RawSalesTable_[[#This Row],[Revenue]],0)</f>
        <v>0.24201743106158022</v>
      </c>
    </row>
    <row r="542" spans="1:15">
      <c r="A542" s="7" t="s">
        <v>649</v>
      </c>
      <c r="B542" s="8">
        <v>45717</v>
      </c>
      <c r="C542" s="7" t="s">
        <v>15</v>
      </c>
      <c r="D542" s="7" t="s">
        <v>63</v>
      </c>
      <c r="E542" s="7" t="s">
        <v>44</v>
      </c>
      <c r="F542" s="7" t="s">
        <v>45</v>
      </c>
      <c r="G542" s="7" t="s">
        <v>64</v>
      </c>
      <c r="H542">
        <v>6</v>
      </c>
      <c r="I542">
        <v>26467.73</v>
      </c>
      <c r="J542">
        <v>0.05</v>
      </c>
      <c r="K542">
        <v>150866.06</v>
      </c>
      <c r="L542">
        <v>116608.76</v>
      </c>
      <c r="M542">
        <v>34257.300000000003</v>
      </c>
      <c r="N542" s="7" t="s">
        <v>26</v>
      </c>
      <c r="O542" s="9">
        <f>IFERROR(RawSalesTable_[[#This Row],[Profit]]/RawSalesTable_[[#This Row],[Revenue]],0)</f>
        <v>0.22707095287038054</v>
      </c>
    </row>
    <row r="543" spans="1:15">
      <c r="A543" s="7" t="s">
        <v>650</v>
      </c>
      <c r="B543" s="8">
        <v>46007</v>
      </c>
      <c r="C543" s="7" t="s">
        <v>28</v>
      </c>
      <c r="D543" s="7" t="s">
        <v>56</v>
      </c>
      <c r="E543" s="7" t="s">
        <v>49</v>
      </c>
      <c r="F543" s="7" t="s">
        <v>57</v>
      </c>
      <c r="G543" s="7" t="s">
        <v>25</v>
      </c>
      <c r="H543">
        <v>8</v>
      </c>
      <c r="I543">
        <v>11952.92</v>
      </c>
      <c r="J543">
        <v>0.1</v>
      </c>
      <c r="K543">
        <v>86061.02</v>
      </c>
      <c r="L543">
        <v>51290.53</v>
      </c>
      <c r="M543">
        <v>34770.49</v>
      </c>
      <c r="N543" s="7" t="s">
        <v>20</v>
      </c>
      <c r="O543" s="9">
        <f>IFERROR(RawSalesTable_[[#This Row],[Profit]]/RawSalesTable_[[#This Row],[Revenue]],0)</f>
        <v>0.40402135600995659</v>
      </c>
    </row>
    <row r="544" spans="1:15">
      <c r="A544" s="7" t="s">
        <v>651</v>
      </c>
      <c r="B544" s="8">
        <v>45819</v>
      </c>
      <c r="C544" s="7" t="s">
        <v>28</v>
      </c>
      <c r="D544" s="7" t="s">
        <v>52</v>
      </c>
      <c r="E544" s="7" t="s">
        <v>49</v>
      </c>
      <c r="F544" s="7" t="s">
        <v>91</v>
      </c>
      <c r="G544" s="7" t="s">
        <v>64</v>
      </c>
      <c r="H544">
        <v>5</v>
      </c>
      <c r="I544">
        <v>6944.31</v>
      </c>
      <c r="J544">
        <v>0.05</v>
      </c>
      <c r="K544">
        <v>32985.47</v>
      </c>
      <c r="L544">
        <v>17941.330000000002</v>
      </c>
      <c r="M544">
        <v>15044.14</v>
      </c>
      <c r="N544" s="7" t="s">
        <v>33</v>
      </c>
      <c r="O544" s="9">
        <f>IFERROR(RawSalesTable_[[#This Row],[Profit]]/RawSalesTable_[[#This Row],[Revenue]],0)</f>
        <v>0.45608384540223312</v>
      </c>
    </row>
    <row r="545" spans="1:15">
      <c r="A545" s="7" t="s">
        <v>652</v>
      </c>
      <c r="B545" s="8">
        <v>45788</v>
      </c>
      <c r="C545" s="7" t="s">
        <v>15</v>
      </c>
      <c r="D545" s="7" t="s">
        <v>43</v>
      </c>
      <c r="E545" s="7" t="s">
        <v>30</v>
      </c>
      <c r="F545" s="7" t="s">
        <v>40</v>
      </c>
      <c r="G545" s="7" t="s">
        <v>25</v>
      </c>
      <c r="H545">
        <v>5</v>
      </c>
      <c r="I545">
        <v>23853.07</v>
      </c>
      <c r="J545">
        <v>0.05</v>
      </c>
      <c r="K545">
        <v>113302.08</v>
      </c>
      <c r="L545">
        <v>81066.81</v>
      </c>
      <c r="M545">
        <v>32235.27</v>
      </c>
      <c r="N545" s="7" t="s">
        <v>20</v>
      </c>
      <c r="O545" s="9">
        <f>IFERROR(RawSalesTable_[[#This Row],[Profit]]/RawSalesTable_[[#This Row],[Revenue]],0)</f>
        <v>0.28450731001584439</v>
      </c>
    </row>
    <row r="546" spans="1:15">
      <c r="A546" s="7" t="s">
        <v>653</v>
      </c>
      <c r="B546" s="8">
        <v>45663</v>
      </c>
      <c r="C546" s="7" t="s">
        <v>15</v>
      </c>
      <c r="D546" s="7" t="s">
        <v>43</v>
      </c>
      <c r="E546" s="7" t="s">
        <v>44</v>
      </c>
      <c r="F546" s="7" t="s">
        <v>45</v>
      </c>
      <c r="G546" s="7" t="s">
        <v>64</v>
      </c>
      <c r="H546">
        <v>6</v>
      </c>
      <c r="I546">
        <v>29310.39</v>
      </c>
      <c r="J546">
        <v>0</v>
      </c>
      <c r="K546">
        <v>175862.34</v>
      </c>
      <c r="L546">
        <v>113079.89</v>
      </c>
      <c r="M546">
        <v>62782.45</v>
      </c>
      <c r="N546" s="7" t="s">
        <v>33</v>
      </c>
      <c r="O546" s="9">
        <f>IFERROR(RawSalesTable_[[#This Row],[Profit]]/RawSalesTable_[[#This Row],[Revenue]],0)</f>
        <v>0.35699769490159178</v>
      </c>
    </row>
    <row r="547" spans="1:15">
      <c r="A547" s="7" t="s">
        <v>654</v>
      </c>
      <c r="B547" s="8">
        <v>45756</v>
      </c>
      <c r="C547" s="7" t="s">
        <v>22</v>
      </c>
      <c r="D547" s="7" t="s">
        <v>35</v>
      </c>
      <c r="E547" s="7" t="s">
        <v>17</v>
      </c>
      <c r="F547" s="7" t="s">
        <v>75</v>
      </c>
      <c r="G547" s="7" t="s">
        <v>64</v>
      </c>
      <c r="H547">
        <v>8</v>
      </c>
      <c r="I547">
        <v>180604.89</v>
      </c>
      <c r="J547">
        <v>0.15</v>
      </c>
      <c r="K547">
        <v>1228113.25</v>
      </c>
      <c r="L547">
        <v>1124447.78</v>
      </c>
      <c r="M547">
        <v>103665.47</v>
      </c>
      <c r="N547" s="7" t="s">
        <v>33</v>
      </c>
      <c r="O547" s="9">
        <f>IFERROR(RawSalesTable_[[#This Row],[Profit]]/RawSalesTable_[[#This Row],[Revenue]],0)</f>
        <v>8.4410350592667244E-2</v>
      </c>
    </row>
    <row r="548" spans="1:15">
      <c r="A548" s="7" t="s">
        <v>655</v>
      </c>
      <c r="B548" s="8">
        <v>45967</v>
      </c>
      <c r="C548" s="7" t="s">
        <v>15</v>
      </c>
      <c r="D548" s="7" t="s">
        <v>16</v>
      </c>
      <c r="E548" s="7" t="s">
        <v>17</v>
      </c>
      <c r="F548" s="7" t="s">
        <v>24</v>
      </c>
      <c r="G548" s="7" t="s">
        <v>61</v>
      </c>
      <c r="H548">
        <v>2</v>
      </c>
      <c r="I548">
        <v>95062.87</v>
      </c>
      <c r="J548">
        <v>0</v>
      </c>
      <c r="K548">
        <v>190125.74</v>
      </c>
      <c r="L548">
        <v>132742.39999999999</v>
      </c>
      <c r="M548">
        <v>57383.34</v>
      </c>
      <c r="N548" s="7" t="s">
        <v>20</v>
      </c>
      <c r="O548" s="9">
        <f>IFERROR(RawSalesTable_[[#This Row],[Profit]]/RawSalesTable_[[#This Row],[Revenue]],0)</f>
        <v>0.30181783907849613</v>
      </c>
    </row>
    <row r="549" spans="1:15">
      <c r="A549" s="7" t="s">
        <v>656</v>
      </c>
      <c r="B549" s="8">
        <v>45696</v>
      </c>
      <c r="C549" s="7" t="s">
        <v>15</v>
      </c>
      <c r="D549" s="7" t="s">
        <v>43</v>
      </c>
      <c r="E549" s="7" t="s">
        <v>44</v>
      </c>
      <c r="F549" s="7" t="s">
        <v>80</v>
      </c>
      <c r="G549" s="7" t="s">
        <v>70</v>
      </c>
      <c r="H549">
        <v>3</v>
      </c>
      <c r="I549">
        <v>41302.949999999997</v>
      </c>
      <c r="J549">
        <v>0.05</v>
      </c>
      <c r="K549">
        <v>117713.41</v>
      </c>
      <c r="L549">
        <v>94509.71</v>
      </c>
      <c r="M549">
        <v>23203.7</v>
      </c>
      <c r="N549" s="7" t="s">
        <v>59</v>
      </c>
      <c r="O549" s="9">
        <f>IFERROR(RawSalesTable_[[#This Row],[Profit]]/RawSalesTable_[[#This Row],[Revenue]],0)</f>
        <v>0.1971202771205082</v>
      </c>
    </row>
    <row r="550" spans="1:15">
      <c r="A550" s="7" t="s">
        <v>657</v>
      </c>
      <c r="B550" s="8">
        <v>45853</v>
      </c>
      <c r="C550" s="7" t="s">
        <v>28</v>
      </c>
      <c r="D550" s="7" t="s">
        <v>29</v>
      </c>
      <c r="E550" s="7" t="s">
        <v>30</v>
      </c>
      <c r="F550" s="7" t="s">
        <v>38</v>
      </c>
      <c r="G550" s="7" t="s">
        <v>25</v>
      </c>
      <c r="H550">
        <v>3</v>
      </c>
      <c r="I550">
        <v>28212.76</v>
      </c>
      <c r="J550">
        <v>0.05</v>
      </c>
      <c r="K550">
        <v>80406.37</v>
      </c>
      <c r="L550">
        <v>55317.46</v>
      </c>
      <c r="M550">
        <v>25088.91</v>
      </c>
      <c r="N550" s="7" t="s">
        <v>59</v>
      </c>
      <c r="O550" s="9">
        <f>IFERROR(RawSalesTable_[[#This Row],[Profit]]/RawSalesTable_[[#This Row],[Revenue]],0)</f>
        <v>0.31202639790852393</v>
      </c>
    </row>
    <row r="551" spans="1:15">
      <c r="A551" s="7" t="s">
        <v>658</v>
      </c>
      <c r="B551" s="8">
        <v>45749</v>
      </c>
      <c r="C551" s="7" t="s">
        <v>22</v>
      </c>
      <c r="D551" s="7" t="s">
        <v>35</v>
      </c>
      <c r="E551" s="7" t="s">
        <v>30</v>
      </c>
      <c r="F551" s="7" t="s">
        <v>86</v>
      </c>
      <c r="G551" s="7" t="s">
        <v>70</v>
      </c>
      <c r="H551">
        <v>8</v>
      </c>
      <c r="I551">
        <v>30726.42</v>
      </c>
      <c r="J551">
        <v>0</v>
      </c>
      <c r="K551">
        <v>245811.36</v>
      </c>
      <c r="L551">
        <v>182289.8</v>
      </c>
      <c r="M551">
        <v>63521.56</v>
      </c>
      <c r="N551" s="7" t="s">
        <v>33</v>
      </c>
      <c r="O551" s="9">
        <f>IFERROR(RawSalesTable_[[#This Row],[Profit]]/RawSalesTable_[[#This Row],[Revenue]],0)</f>
        <v>0.25841588444081676</v>
      </c>
    </row>
    <row r="552" spans="1:15">
      <c r="A552" s="7" t="s">
        <v>659</v>
      </c>
      <c r="B552" s="8">
        <v>45675</v>
      </c>
      <c r="C552" s="7" t="s">
        <v>22</v>
      </c>
      <c r="D552" s="7" t="s">
        <v>37</v>
      </c>
      <c r="E552" s="7" t="s">
        <v>49</v>
      </c>
      <c r="F552" s="7" t="s">
        <v>1590</v>
      </c>
      <c r="G552" s="7" t="s">
        <v>19</v>
      </c>
      <c r="H552">
        <v>2</v>
      </c>
      <c r="I552">
        <v>4477.2700000000004</v>
      </c>
      <c r="J552">
        <v>0.15</v>
      </c>
      <c r="K552">
        <v>7611.36</v>
      </c>
      <c r="L552">
        <v>4150.1400000000003</v>
      </c>
      <c r="M552">
        <v>3461.22</v>
      </c>
      <c r="N552" s="7" t="s">
        <v>33</v>
      </c>
      <c r="O552" s="9">
        <f>IFERROR(RawSalesTable_[[#This Row],[Profit]]/RawSalesTable_[[#This Row],[Revenue]],0)</f>
        <v>0.45474396165731223</v>
      </c>
    </row>
    <row r="553" spans="1:15">
      <c r="A553" s="7" t="s">
        <v>660</v>
      </c>
      <c r="B553" s="8">
        <v>45658</v>
      </c>
      <c r="C553" s="7" t="s">
        <v>15</v>
      </c>
      <c r="D553" s="7" t="s">
        <v>43</v>
      </c>
      <c r="E553" s="7" t="s">
        <v>30</v>
      </c>
      <c r="F553" s="7" t="s">
        <v>40</v>
      </c>
      <c r="G553" s="7" t="s">
        <v>64</v>
      </c>
      <c r="H553">
        <v>1</v>
      </c>
      <c r="I553">
        <v>26054.33</v>
      </c>
      <c r="J553">
        <v>0</v>
      </c>
      <c r="K553">
        <v>26054.33</v>
      </c>
      <c r="L553">
        <v>16048.07</v>
      </c>
      <c r="M553">
        <v>10006.26</v>
      </c>
      <c r="N553" s="7" t="s">
        <v>20</v>
      </c>
      <c r="O553" s="9">
        <f>IFERROR(RawSalesTable_[[#This Row],[Profit]]/RawSalesTable_[[#This Row],[Revenue]],0)</f>
        <v>0.38405362947348864</v>
      </c>
    </row>
    <row r="554" spans="1:15">
      <c r="A554" s="7" t="s">
        <v>661</v>
      </c>
      <c r="B554" s="8">
        <v>45864</v>
      </c>
      <c r="C554" s="7" t="s">
        <v>28</v>
      </c>
      <c r="D554" s="7" t="s">
        <v>52</v>
      </c>
      <c r="E554" s="7" t="s">
        <v>30</v>
      </c>
      <c r="F554" s="7" t="s">
        <v>40</v>
      </c>
      <c r="G554" s="7" t="s">
        <v>19</v>
      </c>
      <c r="H554">
        <v>1</v>
      </c>
      <c r="I554">
        <v>24560.3</v>
      </c>
      <c r="J554">
        <v>0.05</v>
      </c>
      <c r="K554">
        <v>23332.28</v>
      </c>
      <c r="L554">
        <v>15854.82</v>
      </c>
      <c r="M554">
        <v>7477.46</v>
      </c>
      <c r="N554" s="7" t="s">
        <v>26</v>
      </c>
      <c r="O554" s="9">
        <f>IFERROR(RawSalesTable_[[#This Row],[Profit]]/RawSalesTable_[[#This Row],[Revenue]],0)</f>
        <v>0.32047703867774602</v>
      </c>
    </row>
    <row r="555" spans="1:15">
      <c r="A555" s="7" t="s">
        <v>662</v>
      </c>
      <c r="B555" s="8">
        <v>45981</v>
      </c>
      <c r="C555" s="7" t="s">
        <v>22</v>
      </c>
      <c r="D555" s="7" t="s">
        <v>35</v>
      </c>
      <c r="E555" s="7" t="s">
        <v>49</v>
      </c>
      <c r="F555" s="7" t="s">
        <v>91</v>
      </c>
      <c r="G555" s="7" t="s">
        <v>19</v>
      </c>
      <c r="H555">
        <v>6</v>
      </c>
      <c r="I555">
        <v>6326.78</v>
      </c>
      <c r="J555">
        <v>0.05</v>
      </c>
      <c r="K555">
        <v>36062.65</v>
      </c>
      <c r="L555">
        <v>21557.73</v>
      </c>
      <c r="M555">
        <v>14504.92</v>
      </c>
      <c r="N555" s="7" t="s">
        <v>59</v>
      </c>
      <c r="O555" s="9">
        <f>IFERROR(RawSalesTable_[[#This Row],[Profit]]/RawSalesTable_[[#This Row],[Revenue]],0)</f>
        <v>0.40221447952382866</v>
      </c>
    </row>
    <row r="556" spans="1:15">
      <c r="A556" s="7" t="s">
        <v>663</v>
      </c>
      <c r="B556" s="8">
        <v>45854</v>
      </c>
      <c r="C556" s="7" t="s">
        <v>15</v>
      </c>
      <c r="D556" s="7" t="s">
        <v>63</v>
      </c>
      <c r="E556" s="7" t="s">
        <v>17</v>
      </c>
      <c r="F556" s="7" t="s">
        <v>114</v>
      </c>
      <c r="G556" s="7" t="s">
        <v>47</v>
      </c>
      <c r="H556">
        <v>5</v>
      </c>
      <c r="I556">
        <v>53229.63</v>
      </c>
      <c r="J556">
        <v>0</v>
      </c>
      <c r="K556">
        <v>266148.15000000002</v>
      </c>
      <c r="L556">
        <v>184108.42</v>
      </c>
      <c r="M556">
        <v>82039.73</v>
      </c>
      <c r="N556" s="7" t="s">
        <v>59</v>
      </c>
      <c r="O556" s="9">
        <f>IFERROR(RawSalesTable_[[#This Row],[Profit]]/RawSalesTable_[[#This Row],[Revenue]],0)</f>
        <v>0.30824835716498494</v>
      </c>
    </row>
    <row r="557" spans="1:15">
      <c r="A557" s="7" t="s">
        <v>664</v>
      </c>
      <c r="B557" s="8">
        <v>45755</v>
      </c>
      <c r="C557" s="7" t="s">
        <v>15</v>
      </c>
      <c r="D557" s="7" t="s">
        <v>63</v>
      </c>
      <c r="E557" s="7" t="s">
        <v>17</v>
      </c>
      <c r="F557" s="7" t="s">
        <v>18</v>
      </c>
      <c r="G557" s="7" t="s">
        <v>61</v>
      </c>
      <c r="H557">
        <v>8</v>
      </c>
      <c r="I557">
        <v>13536.88</v>
      </c>
      <c r="J557">
        <v>0.15</v>
      </c>
      <c r="K557">
        <v>92050.78</v>
      </c>
      <c r="L557">
        <v>65643.22</v>
      </c>
      <c r="M557">
        <v>26407.56</v>
      </c>
      <c r="N557" s="7" t="s">
        <v>33</v>
      </c>
      <c r="O557" s="9">
        <f>IFERROR(RawSalesTable_[[#This Row],[Profit]]/RawSalesTable_[[#This Row],[Revenue]],0)</f>
        <v>0.28688035017193775</v>
      </c>
    </row>
    <row r="558" spans="1:15">
      <c r="A558" s="7" t="s">
        <v>665</v>
      </c>
      <c r="B558" s="8">
        <v>45913</v>
      </c>
      <c r="C558" s="7" t="s">
        <v>22</v>
      </c>
      <c r="D558" s="7" t="s">
        <v>23</v>
      </c>
      <c r="E558" s="7" t="s">
        <v>44</v>
      </c>
      <c r="F558" s="7" t="s">
        <v>53</v>
      </c>
      <c r="G558" s="7" t="s">
        <v>70</v>
      </c>
      <c r="H558">
        <v>7</v>
      </c>
      <c r="I558">
        <v>7905.67</v>
      </c>
      <c r="J558">
        <v>0.1</v>
      </c>
      <c r="K558">
        <v>49805.72</v>
      </c>
      <c r="L558">
        <v>34815.82</v>
      </c>
      <c r="M558">
        <v>14989.9</v>
      </c>
      <c r="N558" s="7" t="s">
        <v>33</v>
      </c>
      <c r="O558" s="9">
        <f>IFERROR(RawSalesTable_[[#This Row],[Profit]]/RawSalesTable_[[#This Row],[Revenue]],0)</f>
        <v>0.30096743908129425</v>
      </c>
    </row>
    <row r="559" spans="1:15">
      <c r="A559" s="7" t="s">
        <v>666</v>
      </c>
      <c r="B559" s="8">
        <v>45999</v>
      </c>
      <c r="C559" s="7" t="s">
        <v>22</v>
      </c>
      <c r="D559" s="7" t="s">
        <v>35</v>
      </c>
      <c r="E559" s="7" t="s">
        <v>17</v>
      </c>
      <c r="F559" s="7" t="s">
        <v>18</v>
      </c>
      <c r="G559" s="7" t="s">
        <v>70</v>
      </c>
      <c r="H559">
        <v>1</v>
      </c>
      <c r="I559">
        <v>14280.78</v>
      </c>
      <c r="J559">
        <v>0</v>
      </c>
      <c r="K559">
        <v>14280.78</v>
      </c>
      <c r="L559">
        <v>8417.2800000000007</v>
      </c>
      <c r="M559">
        <v>5863.5</v>
      </c>
      <c r="N559" s="7" t="s">
        <v>26</v>
      </c>
      <c r="O559" s="9">
        <f>IFERROR(RawSalesTable_[[#This Row],[Profit]]/RawSalesTable_[[#This Row],[Revenue]],0)</f>
        <v>0.4105868166864835</v>
      </c>
    </row>
    <row r="560" spans="1:15">
      <c r="A560" s="7" t="s">
        <v>667</v>
      </c>
      <c r="B560" s="8">
        <v>45899</v>
      </c>
      <c r="C560" s="7" t="s">
        <v>15</v>
      </c>
      <c r="D560" s="7" t="s">
        <v>43</v>
      </c>
      <c r="E560" s="7" t="s">
        <v>44</v>
      </c>
      <c r="F560" s="7" t="s">
        <v>80</v>
      </c>
      <c r="G560" s="7" t="s">
        <v>64</v>
      </c>
      <c r="H560">
        <v>1</v>
      </c>
      <c r="I560">
        <v>44619.96</v>
      </c>
      <c r="J560">
        <v>0.05</v>
      </c>
      <c r="K560">
        <v>42388.959999999999</v>
      </c>
      <c r="L560">
        <v>31488.81</v>
      </c>
      <c r="M560">
        <v>10900.15</v>
      </c>
      <c r="N560" s="7" t="s">
        <v>26</v>
      </c>
      <c r="O560" s="9">
        <f>IFERROR(RawSalesTable_[[#This Row],[Profit]]/RawSalesTable_[[#This Row],[Revenue]],0)</f>
        <v>0.25714596442092469</v>
      </c>
    </row>
    <row r="561" spans="1:15">
      <c r="A561" s="7" t="s">
        <v>668</v>
      </c>
      <c r="B561" s="8">
        <v>45707</v>
      </c>
      <c r="C561" s="7" t="s">
        <v>15</v>
      </c>
      <c r="D561" s="7" t="s">
        <v>43</v>
      </c>
      <c r="E561" s="7" t="s">
        <v>44</v>
      </c>
      <c r="F561" s="7" t="s">
        <v>80</v>
      </c>
      <c r="G561" s="7" t="s">
        <v>70</v>
      </c>
      <c r="H561">
        <v>3</v>
      </c>
      <c r="I561">
        <v>43912.71</v>
      </c>
      <c r="J561">
        <v>0.05</v>
      </c>
      <c r="K561">
        <v>125151.22</v>
      </c>
      <c r="L561">
        <v>95553.01</v>
      </c>
      <c r="M561">
        <v>29598.21</v>
      </c>
      <c r="N561" s="7" t="s">
        <v>26</v>
      </c>
      <c r="O561" s="9">
        <f>IFERROR(RawSalesTable_[[#This Row],[Profit]]/RawSalesTable_[[#This Row],[Revenue]],0)</f>
        <v>0.23649957227744164</v>
      </c>
    </row>
    <row r="562" spans="1:15">
      <c r="A562" s="7" t="s">
        <v>669</v>
      </c>
      <c r="B562" s="8">
        <v>45761</v>
      </c>
      <c r="C562" s="7" t="s">
        <v>15</v>
      </c>
      <c r="D562" s="7" t="s">
        <v>16</v>
      </c>
      <c r="E562" s="7" t="s">
        <v>17</v>
      </c>
      <c r="F562" s="7" t="s">
        <v>75</v>
      </c>
      <c r="G562" s="7" t="s">
        <v>25</v>
      </c>
      <c r="H562">
        <v>8</v>
      </c>
      <c r="I562">
        <v>187811.33</v>
      </c>
      <c r="J562">
        <v>0.1</v>
      </c>
      <c r="K562">
        <v>1352241.58</v>
      </c>
      <c r="L562">
        <v>1119459.93</v>
      </c>
      <c r="M562">
        <v>232781.65</v>
      </c>
      <c r="N562" s="7" t="s">
        <v>59</v>
      </c>
      <c r="O562" s="9">
        <f>IFERROR(RawSalesTable_[[#This Row],[Profit]]/RawSalesTable_[[#This Row],[Revenue]],0)</f>
        <v>0.17214501716475838</v>
      </c>
    </row>
    <row r="563" spans="1:15">
      <c r="A563" s="7" t="s">
        <v>670</v>
      </c>
      <c r="B563" s="8">
        <v>45822</v>
      </c>
      <c r="C563" s="7" t="s">
        <v>15</v>
      </c>
      <c r="D563" s="7" t="s">
        <v>43</v>
      </c>
      <c r="E563" s="7" t="s">
        <v>49</v>
      </c>
      <c r="F563" s="7" t="s">
        <v>57</v>
      </c>
      <c r="G563" s="7" t="s">
        <v>47</v>
      </c>
      <c r="H563">
        <v>2</v>
      </c>
      <c r="I563">
        <v>12375.57</v>
      </c>
      <c r="J563">
        <v>0.1</v>
      </c>
      <c r="K563">
        <v>22276.03</v>
      </c>
      <c r="L563">
        <v>13106.76</v>
      </c>
      <c r="M563">
        <v>9169.27</v>
      </c>
      <c r="N563" s="7" t="s">
        <v>33</v>
      </c>
      <c r="O563" s="9">
        <f>IFERROR(RawSalesTable_[[#This Row],[Profit]]/RawSalesTable_[[#This Row],[Revenue]],0)</f>
        <v>0.41162047276826264</v>
      </c>
    </row>
    <row r="564" spans="1:15">
      <c r="A564" s="7" t="s">
        <v>671</v>
      </c>
      <c r="B564" s="8">
        <v>45847</v>
      </c>
      <c r="C564" s="7" t="s">
        <v>15</v>
      </c>
      <c r="D564" s="7" t="s">
        <v>16</v>
      </c>
      <c r="E564" s="7" t="s">
        <v>30</v>
      </c>
      <c r="F564" s="7" t="s">
        <v>31</v>
      </c>
      <c r="G564" s="7" t="s">
        <v>61</v>
      </c>
      <c r="H564">
        <v>2</v>
      </c>
      <c r="I564">
        <v>130116.1</v>
      </c>
      <c r="J564">
        <v>0.05</v>
      </c>
      <c r="K564">
        <v>247220.59</v>
      </c>
      <c r="L564">
        <v>198316.24</v>
      </c>
      <c r="M564">
        <v>48904.35</v>
      </c>
      <c r="N564" s="7" t="s">
        <v>20</v>
      </c>
      <c r="O564" s="9">
        <f>IFERROR(RawSalesTable_[[#This Row],[Profit]]/RawSalesTable_[[#This Row],[Revenue]],0)</f>
        <v>0.19781665434905724</v>
      </c>
    </row>
    <row r="565" spans="1:15">
      <c r="A565" s="7" t="s">
        <v>672</v>
      </c>
      <c r="B565" s="8">
        <v>45738</v>
      </c>
      <c r="C565" s="7" t="s">
        <v>22</v>
      </c>
      <c r="D565" s="7" t="s">
        <v>37</v>
      </c>
      <c r="E565" s="7" t="s">
        <v>17</v>
      </c>
      <c r="F565" s="7" t="s">
        <v>24</v>
      </c>
      <c r="G565" s="7" t="s">
        <v>64</v>
      </c>
      <c r="H565">
        <v>2</v>
      </c>
      <c r="I565">
        <v>96284.29</v>
      </c>
      <c r="J565">
        <v>0.15</v>
      </c>
      <c r="K565">
        <v>163683.29</v>
      </c>
      <c r="L565">
        <v>137750.44</v>
      </c>
      <c r="M565">
        <v>25932.85</v>
      </c>
      <c r="N565" s="7" t="s">
        <v>20</v>
      </c>
      <c r="O565" s="9">
        <f>IFERROR(RawSalesTable_[[#This Row],[Profit]]/RawSalesTable_[[#This Row],[Revenue]],0)</f>
        <v>0.15843309356746188</v>
      </c>
    </row>
    <row r="566" spans="1:15">
      <c r="A566" s="7" t="s">
        <v>673</v>
      </c>
      <c r="B566" s="8">
        <v>45871</v>
      </c>
      <c r="C566" s="7" t="s">
        <v>22</v>
      </c>
      <c r="D566" s="7" t="s">
        <v>23</v>
      </c>
      <c r="E566" s="7" t="s">
        <v>17</v>
      </c>
      <c r="F566" s="7" t="s">
        <v>24</v>
      </c>
      <c r="G566" s="7" t="s">
        <v>70</v>
      </c>
      <c r="H566">
        <v>2</v>
      </c>
      <c r="I566">
        <v>95043.23</v>
      </c>
      <c r="J566">
        <v>0.1</v>
      </c>
      <c r="K566">
        <v>171077.81</v>
      </c>
      <c r="L566">
        <v>140363.43</v>
      </c>
      <c r="M566">
        <v>30714.38</v>
      </c>
      <c r="N566" s="7" t="s">
        <v>26</v>
      </c>
      <c r="O566" s="9">
        <f>IFERROR(RawSalesTable_[[#This Row],[Profit]]/RawSalesTable_[[#This Row],[Revenue]],0)</f>
        <v>0.17953456383384847</v>
      </c>
    </row>
    <row r="567" spans="1:15">
      <c r="A567" s="7" t="s">
        <v>674</v>
      </c>
      <c r="B567" s="8">
        <v>45677</v>
      </c>
      <c r="C567" s="7" t="s">
        <v>22</v>
      </c>
      <c r="D567" s="7" t="s">
        <v>23</v>
      </c>
      <c r="E567" s="7" t="s">
        <v>30</v>
      </c>
      <c r="F567" s="7" t="s">
        <v>40</v>
      </c>
      <c r="G567" s="7" t="s">
        <v>61</v>
      </c>
      <c r="H567">
        <v>7</v>
      </c>
      <c r="I567">
        <v>23477.87</v>
      </c>
      <c r="J567">
        <v>0</v>
      </c>
      <c r="K567">
        <v>164345.09</v>
      </c>
      <c r="L567">
        <v>112008.79</v>
      </c>
      <c r="M567">
        <v>52336.3</v>
      </c>
      <c r="N567" s="7" t="s">
        <v>20</v>
      </c>
      <c r="O567" s="9">
        <f>IFERROR(RawSalesTable_[[#This Row],[Profit]]/RawSalesTable_[[#This Row],[Revenue]],0)</f>
        <v>0.3184536879075609</v>
      </c>
    </row>
    <row r="568" spans="1:15">
      <c r="A568" s="7" t="s">
        <v>675</v>
      </c>
      <c r="B568" s="8">
        <v>45929</v>
      </c>
      <c r="C568" s="7" t="s">
        <v>15</v>
      </c>
      <c r="D568" s="7" t="s">
        <v>16</v>
      </c>
      <c r="E568" s="7" t="s">
        <v>30</v>
      </c>
      <c r="F568" s="7" t="s">
        <v>38</v>
      </c>
      <c r="G568" s="7" t="s">
        <v>19</v>
      </c>
      <c r="H568">
        <v>7</v>
      </c>
      <c r="I568">
        <v>24859.74</v>
      </c>
      <c r="J568">
        <v>0</v>
      </c>
      <c r="K568">
        <v>174018.18</v>
      </c>
      <c r="L568">
        <v>123912.58</v>
      </c>
      <c r="M568">
        <v>50105.599999999999</v>
      </c>
      <c r="N568" s="7" t="s">
        <v>59</v>
      </c>
      <c r="O568" s="9">
        <f>IFERROR(RawSalesTable_[[#This Row],[Profit]]/RawSalesTable_[[#This Row],[Revenue]],0)</f>
        <v>0.28793313434263018</v>
      </c>
    </row>
    <row r="569" spans="1:15">
      <c r="A569" s="7" t="s">
        <v>676</v>
      </c>
      <c r="B569" s="8">
        <v>45734</v>
      </c>
      <c r="C569" s="7" t="s">
        <v>15</v>
      </c>
      <c r="D569" s="7" t="s">
        <v>43</v>
      </c>
      <c r="E569" s="7" t="s">
        <v>44</v>
      </c>
      <c r="F569" s="7" t="s">
        <v>53</v>
      </c>
      <c r="G569" s="7" t="s">
        <v>70</v>
      </c>
      <c r="H569">
        <v>4</v>
      </c>
      <c r="I569">
        <v>8195.94</v>
      </c>
      <c r="J569">
        <v>0</v>
      </c>
      <c r="K569">
        <v>32783.760000000002</v>
      </c>
      <c r="L569">
        <v>19166.599999999999</v>
      </c>
      <c r="M569">
        <v>13617.16</v>
      </c>
      <c r="N569" s="7" t="s">
        <v>20</v>
      </c>
      <c r="O569" s="9">
        <f>IFERROR(RawSalesTable_[[#This Row],[Profit]]/RawSalesTable_[[#This Row],[Revenue]],0)</f>
        <v>0.41536297239852898</v>
      </c>
    </row>
    <row r="570" spans="1:15">
      <c r="A570" s="7" t="s">
        <v>677</v>
      </c>
      <c r="B570" s="8">
        <v>45973</v>
      </c>
      <c r="C570" s="7" t="s">
        <v>22</v>
      </c>
      <c r="D570" s="7" t="s">
        <v>23</v>
      </c>
      <c r="E570" s="7" t="s">
        <v>17</v>
      </c>
      <c r="F570" s="7" t="s">
        <v>75</v>
      </c>
      <c r="G570" s="7" t="s">
        <v>70</v>
      </c>
      <c r="H570">
        <v>6</v>
      </c>
      <c r="I570">
        <v>178637.91</v>
      </c>
      <c r="J570">
        <v>0.05</v>
      </c>
      <c r="K570">
        <v>1018236.09</v>
      </c>
      <c r="L570">
        <v>841432.41</v>
      </c>
      <c r="M570">
        <v>176803.68</v>
      </c>
      <c r="N570" s="7" t="s">
        <v>33</v>
      </c>
      <c r="O570" s="9">
        <f>IFERROR(RawSalesTable_[[#This Row],[Profit]]/RawSalesTable_[[#This Row],[Revenue]],0)</f>
        <v>0.17363721609985361</v>
      </c>
    </row>
    <row r="571" spans="1:15">
      <c r="A571" s="7" t="s">
        <v>678</v>
      </c>
      <c r="B571" s="8">
        <v>45694</v>
      </c>
      <c r="C571" s="7" t="s">
        <v>22</v>
      </c>
      <c r="D571" s="7" t="s">
        <v>37</v>
      </c>
      <c r="E571" s="7" t="s">
        <v>17</v>
      </c>
      <c r="F571" s="7" t="s">
        <v>24</v>
      </c>
      <c r="G571" s="7" t="s">
        <v>47</v>
      </c>
      <c r="H571">
        <v>3</v>
      </c>
      <c r="I571">
        <v>96202.44</v>
      </c>
      <c r="J571">
        <v>0.05</v>
      </c>
      <c r="K571">
        <v>274176.95</v>
      </c>
      <c r="L571">
        <v>205232.83</v>
      </c>
      <c r="M571">
        <v>68944.12</v>
      </c>
      <c r="N571" s="7" t="s">
        <v>20</v>
      </c>
      <c r="O571" s="9">
        <f>IFERROR(RawSalesTable_[[#This Row],[Profit]]/RawSalesTable_[[#This Row],[Revenue]],0)</f>
        <v>0.25145848328971487</v>
      </c>
    </row>
    <row r="572" spans="1:15">
      <c r="A572" s="7" t="s">
        <v>679</v>
      </c>
      <c r="B572" s="8">
        <v>45714</v>
      </c>
      <c r="C572" s="7" t="s">
        <v>15</v>
      </c>
      <c r="D572" s="7" t="s">
        <v>43</v>
      </c>
      <c r="E572" s="7" t="s">
        <v>30</v>
      </c>
      <c r="F572" s="7" t="s">
        <v>40</v>
      </c>
      <c r="G572" s="7" t="s">
        <v>32</v>
      </c>
      <c r="H572">
        <v>4</v>
      </c>
      <c r="I572">
        <v>25468.58</v>
      </c>
      <c r="J572">
        <v>0.05</v>
      </c>
      <c r="K572">
        <v>96780.6</v>
      </c>
      <c r="L572">
        <v>62321.8</v>
      </c>
      <c r="M572">
        <v>34458.800000000003</v>
      </c>
      <c r="N572" s="7" t="s">
        <v>26</v>
      </c>
      <c r="O572" s="9">
        <f>IFERROR(RawSalesTable_[[#This Row],[Profit]]/RawSalesTable_[[#This Row],[Revenue]],0)</f>
        <v>0.35605069611058415</v>
      </c>
    </row>
    <row r="573" spans="1:15">
      <c r="A573" s="7" t="s">
        <v>680</v>
      </c>
      <c r="B573" s="8">
        <v>45906</v>
      </c>
      <c r="C573" s="7" t="s">
        <v>22</v>
      </c>
      <c r="D573" s="7" t="s">
        <v>23</v>
      </c>
      <c r="E573" s="7" t="s">
        <v>49</v>
      </c>
      <c r="F573" s="7" t="s">
        <v>1590</v>
      </c>
      <c r="G573" s="7" t="s">
        <v>64</v>
      </c>
      <c r="H573">
        <v>7</v>
      </c>
      <c r="I573">
        <v>4463</v>
      </c>
      <c r="J573">
        <v>0</v>
      </c>
      <c r="K573">
        <v>31241</v>
      </c>
      <c r="L573">
        <v>14743.65</v>
      </c>
      <c r="M573">
        <v>16497.349999999999</v>
      </c>
      <c r="N573" s="7" t="s">
        <v>20</v>
      </c>
      <c r="O573" s="9">
        <f>IFERROR(RawSalesTable_[[#This Row],[Profit]]/RawSalesTable_[[#This Row],[Revenue]],0)</f>
        <v>0.52806728337761266</v>
      </c>
    </row>
    <row r="574" spans="1:15">
      <c r="A574" s="7" t="s">
        <v>681</v>
      </c>
      <c r="B574" s="8">
        <v>45981</v>
      </c>
      <c r="C574" s="7" t="s">
        <v>22</v>
      </c>
      <c r="D574" s="7" t="s">
        <v>23</v>
      </c>
      <c r="E574" s="7" t="s">
        <v>49</v>
      </c>
      <c r="F574" s="7" t="s">
        <v>1590</v>
      </c>
      <c r="G574" s="7" t="s">
        <v>32</v>
      </c>
      <c r="H574">
        <v>7</v>
      </c>
      <c r="I574">
        <v>4114.9799999999996</v>
      </c>
      <c r="J574">
        <v>0.05</v>
      </c>
      <c r="K574">
        <v>27364.62</v>
      </c>
      <c r="L574">
        <v>14999.7</v>
      </c>
      <c r="M574">
        <v>12364.92</v>
      </c>
      <c r="N574" s="7" t="s">
        <v>59</v>
      </c>
      <c r="O574" s="9">
        <f>IFERROR(RawSalesTable_[[#This Row],[Profit]]/RawSalesTable_[[#This Row],[Revenue]],0)</f>
        <v>0.45185790995818692</v>
      </c>
    </row>
    <row r="575" spans="1:15">
      <c r="A575" s="7" t="s">
        <v>682</v>
      </c>
      <c r="B575" s="8">
        <v>45892</v>
      </c>
      <c r="C575" s="7" t="s">
        <v>22</v>
      </c>
      <c r="D575" s="7" t="s">
        <v>35</v>
      </c>
      <c r="E575" s="7" t="s">
        <v>44</v>
      </c>
      <c r="F575" s="7" t="s">
        <v>80</v>
      </c>
      <c r="G575" s="7" t="s">
        <v>25</v>
      </c>
      <c r="H575">
        <v>1</v>
      </c>
      <c r="I575">
        <v>41490.559999999998</v>
      </c>
      <c r="J575">
        <v>0</v>
      </c>
      <c r="K575">
        <v>41490.559999999998</v>
      </c>
      <c r="L575">
        <v>31918.080000000002</v>
      </c>
      <c r="M575">
        <v>9572.48</v>
      </c>
      <c r="N575" s="7" t="s">
        <v>26</v>
      </c>
      <c r="O575" s="9">
        <f>IFERROR(RawSalesTable_[[#This Row],[Profit]]/RawSalesTable_[[#This Row],[Revenue]],0)</f>
        <v>0.23071464930817998</v>
      </c>
    </row>
    <row r="576" spans="1:15">
      <c r="A576" s="7" t="s">
        <v>683</v>
      </c>
      <c r="B576" s="8">
        <v>45702</v>
      </c>
      <c r="C576" s="7" t="s">
        <v>28</v>
      </c>
      <c r="D576" s="7" t="s">
        <v>52</v>
      </c>
      <c r="E576" s="7" t="s">
        <v>30</v>
      </c>
      <c r="F576" s="7" t="s">
        <v>86</v>
      </c>
      <c r="G576" s="7" t="s">
        <v>25</v>
      </c>
      <c r="H576">
        <v>3</v>
      </c>
      <c r="I576">
        <v>33412.480000000003</v>
      </c>
      <c r="J576">
        <v>0.1</v>
      </c>
      <c r="K576">
        <v>90213.7</v>
      </c>
      <c r="L576">
        <v>69514.89</v>
      </c>
      <c r="M576">
        <v>20698.810000000001</v>
      </c>
      <c r="N576" s="7" t="s">
        <v>20</v>
      </c>
      <c r="O576" s="9">
        <f>IFERROR(RawSalesTable_[[#This Row],[Profit]]/RawSalesTable_[[#This Row],[Revenue]],0)</f>
        <v>0.2294419805417581</v>
      </c>
    </row>
    <row r="577" spans="1:15">
      <c r="A577" s="7" t="s">
        <v>684</v>
      </c>
      <c r="B577" s="8">
        <v>45784</v>
      </c>
      <c r="C577" s="7" t="s">
        <v>22</v>
      </c>
      <c r="D577" s="7" t="s">
        <v>37</v>
      </c>
      <c r="E577" s="7" t="s">
        <v>49</v>
      </c>
      <c r="F577" s="7" t="s">
        <v>107</v>
      </c>
      <c r="G577" s="7" t="s">
        <v>47</v>
      </c>
      <c r="H577">
        <v>5</v>
      </c>
      <c r="I577">
        <v>4796.07</v>
      </c>
      <c r="J577">
        <v>0.05</v>
      </c>
      <c r="K577">
        <v>22781.33</v>
      </c>
      <c r="L577">
        <v>13790.69</v>
      </c>
      <c r="M577">
        <v>8990.64</v>
      </c>
      <c r="N577" s="7" t="s">
        <v>59</v>
      </c>
      <c r="O577" s="9">
        <f>IFERROR(RawSalesTable_[[#This Row],[Profit]]/RawSalesTable_[[#This Row],[Revenue]],0)</f>
        <v>0.39464947832281955</v>
      </c>
    </row>
    <row r="578" spans="1:15">
      <c r="A578" s="7" t="s">
        <v>685</v>
      </c>
      <c r="B578" s="8">
        <v>45898</v>
      </c>
      <c r="C578" s="7" t="s">
        <v>28</v>
      </c>
      <c r="D578" s="7" t="s">
        <v>29</v>
      </c>
      <c r="E578" s="7" t="s">
        <v>44</v>
      </c>
      <c r="F578" s="7" t="s">
        <v>45</v>
      </c>
      <c r="G578" s="7" t="s">
        <v>64</v>
      </c>
      <c r="H578">
        <v>1</v>
      </c>
      <c r="I578">
        <v>28125.040000000001</v>
      </c>
      <c r="J578">
        <v>0</v>
      </c>
      <c r="K578">
        <v>28125.040000000001</v>
      </c>
      <c r="L578">
        <v>18483.28</v>
      </c>
      <c r="M578">
        <v>9641.76</v>
      </c>
      <c r="N578" s="7" t="s">
        <v>20</v>
      </c>
      <c r="O578" s="9">
        <f>IFERROR(RawSalesTable_[[#This Row],[Profit]]/RawSalesTable_[[#This Row],[Revenue]],0)</f>
        <v>0.34281764577045937</v>
      </c>
    </row>
    <row r="579" spans="1:15">
      <c r="A579" s="7" t="s">
        <v>686</v>
      </c>
      <c r="B579" s="8">
        <v>45664</v>
      </c>
      <c r="C579" s="7" t="s">
        <v>15</v>
      </c>
      <c r="D579" s="7" t="s">
        <v>63</v>
      </c>
      <c r="E579" s="7" t="s">
        <v>49</v>
      </c>
      <c r="F579" s="7" t="s">
        <v>91</v>
      </c>
      <c r="G579" s="7" t="s">
        <v>25</v>
      </c>
      <c r="H579">
        <v>8</v>
      </c>
      <c r="I579">
        <v>6495.1</v>
      </c>
      <c r="J579">
        <v>0</v>
      </c>
      <c r="K579">
        <v>51960.800000000003</v>
      </c>
      <c r="L579">
        <v>29061.91</v>
      </c>
      <c r="M579">
        <v>22898.89</v>
      </c>
      <c r="N579" s="7" t="s">
        <v>26</v>
      </c>
      <c r="O579" s="9">
        <f>IFERROR(RawSalesTable_[[#This Row],[Profit]]/RawSalesTable_[[#This Row],[Revenue]],0)</f>
        <v>0.44069548582777784</v>
      </c>
    </row>
    <row r="580" spans="1:15">
      <c r="A580" s="7" t="s">
        <v>687</v>
      </c>
      <c r="B580" s="8">
        <v>46018</v>
      </c>
      <c r="C580" s="7" t="s">
        <v>22</v>
      </c>
      <c r="D580" s="7" t="s">
        <v>35</v>
      </c>
      <c r="E580" s="7" t="s">
        <v>30</v>
      </c>
      <c r="F580" s="7" t="s">
        <v>86</v>
      </c>
      <c r="G580" s="7" t="s">
        <v>70</v>
      </c>
      <c r="H580">
        <v>2</v>
      </c>
      <c r="I580">
        <v>30444.11</v>
      </c>
      <c r="J580">
        <v>0.15</v>
      </c>
      <c r="K580">
        <v>51754.99</v>
      </c>
      <c r="L580">
        <v>44610.239999999998</v>
      </c>
      <c r="M580">
        <v>7144.75</v>
      </c>
      <c r="N580" s="7" t="s">
        <v>33</v>
      </c>
      <c r="O580" s="9">
        <f>IFERROR(RawSalesTable_[[#This Row],[Profit]]/RawSalesTable_[[#This Row],[Revenue]],0)</f>
        <v>0.13804949049357368</v>
      </c>
    </row>
    <row r="581" spans="1:15">
      <c r="A581" s="7" t="s">
        <v>688</v>
      </c>
      <c r="B581" s="8">
        <v>46018</v>
      </c>
      <c r="C581" s="7" t="s">
        <v>28</v>
      </c>
      <c r="D581" s="7" t="s">
        <v>56</v>
      </c>
      <c r="E581" s="7" t="s">
        <v>44</v>
      </c>
      <c r="F581" s="7" t="s">
        <v>53</v>
      </c>
      <c r="G581" s="7" t="s">
        <v>64</v>
      </c>
      <c r="H581">
        <v>3</v>
      </c>
      <c r="I581">
        <v>8894.2099999999991</v>
      </c>
      <c r="J581">
        <v>0.05</v>
      </c>
      <c r="K581">
        <v>25348.5</v>
      </c>
      <c r="L581">
        <v>14903.99</v>
      </c>
      <c r="M581">
        <v>10444.51</v>
      </c>
      <c r="N581" s="7" t="s">
        <v>33</v>
      </c>
      <c r="O581" s="9">
        <f>IFERROR(RawSalesTable_[[#This Row],[Profit]]/RawSalesTable_[[#This Row],[Revenue]],0)</f>
        <v>0.41203660966132122</v>
      </c>
    </row>
    <row r="582" spans="1:15">
      <c r="A582" s="7" t="s">
        <v>689</v>
      </c>
      <c r="B582" s="8">
        <v>45971</v>
      </c>
      <c r="C582" s="7" t="s">
        <v>28</v>
      </c>
      <c r="D582" s="7" t="s">
        <v>29</v>
      </c>
      <c r="E582" s="7" t="s">
        <v>30</v>
      </c>
      <c r="F582" s="7" t="s">
        <v>31</v>
      </c>
      <c r="G582" s="7" t="s">
        <v>47</v>
      </c>
      <c r="H582">
        <v>5</v>
      </c>
      <c r="I582">
        <v>133399.49</v>
      </c>
      <c r="J582">
        <v>0.05</v>
      </c>
      <c r="K582">
        <v>633647.57999999996</v>
      </c>
      <c r="L582">
        <v>514526.24</v>
      </c>
      <c r="M582">
        <v>119121.34</v>
      </c>
      <c r="N582" s="7" t="s">
        <v>33</v>
      </c>
      <c r="O582" s="9">
        <f>IFERROR(RawSalesTable_[[#This Row],[Profit]]/RawSalesTable_[[#This Row],[Revenue]],0)</f>
        <v>0.1879930481230592</v>
      </c>
    </row>
    <row r="583" spans="1:15">
      <c r="A583" s="7" t="s">
        <v>690</v>
      </c>
      <c r="B583" s="8">
        <v>45678</v>
      </c>
      <c r="C583" s="7" t="s">
        <v>15</v>
      </c>
      <c r="D583" s="7" t="s">
        <v>63</v>
      </c>
      <c r="E583" s="7" t="s">
        <v>17</v>
      </c>
      <c r="F583" s="7" t="s">
        <v>18</v>
      </c>
      <c r="G583" s="7" t="s">
        <v>32</v>
      </c>
      <c r="H583">
        <v>1</v>
      </c>
      <c r="I583">
        <v>13597.44</v>
      </c>
      <c r="J583">
        <v>0.05</v>
      </c>
      <c r="K583">
        <v>12917.57</v>
      </c>
      <c r="L583">
        <v>8221.11</v>
      </c>
      <c r="M583">
        <v>4696.46</v>
      </c>
      <c r="N583" s="7" t="s">
        <v>59</v>
      </c>
      <c r="O583" s="9">
        <f>IFERROR(RawSalesTable_[[#This Row],[Profit]]/RawSalesTable_[[#This Row],[Revenue]],0)</f>
        <v>0.36357147667866324</v>
      </c>
    </row>
    <row r="584" spans="1:15">
      <c r="A584" s="7" t="s">
        <v>691</v>
      </c>
      <c r="B584" s="8">
        <v>45990</v>
      </c>
      <c r="C584" s="7" t="s">
        <v>22</v>
      </c>
      <c r="D584" s="7" t="s">
        <v>37</v>
      </c>
      <c r="E584" s="7" t="s">
        <v>17</v>
      </c>
      <c r="F584" s="7" t="s">
        <v>24</v>
      </c>
      <c r="G584" s="7" t="s">
        <v>70</v>
      </c>
      <c r="H584">
        <v>3</v>
      </c>
      <c r="I584">
        <v>99084.02</v>
      </c>
      <c r="J584">
        <v>0</v>
      </c>
      <c r="K584">
        <v>297252.06</v>
      </c>
      <c r="L584">
        <v>205585.97</v>
      </c>
      <c r="M584">
        <v>91666.09</v>
      </c>
      <c r="N584" s="7" t="s">
        <v>26</v>
      </c>
      <c r="O584" s="9">
        <f>IFERROR(RawSalesTable_[[#This Row],[Profit]]/RawSalesTable_[[#This Row],[Revenue]],0)</f>
        <v>0.30837831704177254</v>
      </c>
    </row>
    <row r="585" spans="1:15">
      <c r="A585" s="7" t="s">
        <v>692</v>
      </c>
      <c r="B585" s="8">
        <v>45690</v>
      </c>
      <c r="C585" s="7" t="s">
        <v>15</v>
      </c>
      <c r="D585" s="7" t="s">
        <v>16</v>
      </c>
      <c r="E585" s="7" t="s">
        <v>30</v>
      </c>
      <c r="F585" s="7" t="s">
        <v>38</v>
      </c>
      <c r="G585" s="7" t="s">
        <v>32</v>
      </c>
      <c r="H585">
        <v>5</v>
      </c>
      <c r="I585">
        <v>27015.4</v>
      </c>
      <c r="J585">
        <v>0.05</v>
      </c>
      <c r="K585">
        <v>128323.15</v>
      </c>
      <c r="L585">
        <v>89046.02</v>
      </c>
      <c r="M585">
        <v>39277.129999999997</v>
      </c>
      <c r="N585" s="7" t="s">
        <v>59</v>
      </c>
      <c r="O585" s="9">
        <f>IFERROR(RawSalesTable_[[#This Row],[Profit]]/RawSalesTable_[[#This Row],[Revenue]],0)</f>
        <v>0.30607984607609773</v>
      </c>
    </row>
    <row r="586" spans="1:15">
      <c r="A586" s="7" t="s">
        <v>693</v>
      </c>
      <c r="B586" s="8">
        <v>46012</v>
      </c>
      <c r="C586" s="7" t="s">
        <v>28</v>
      </c>
      <c r="D586" s="7" t="s">
        <v>56</v>
      </c>
      <c r="E586" s="7" t="s">
        <v>17</v>
      </c>
      <c r="F586" s="7" t="s">
        <v>114</v>
      </c>
      <c r="G586" s="7" t="s">
        <v>19</v>
      </c>
      <c r="H586">
        <v>5</v>
      </c>
      <c r="I586">
        <v>51600.46</v>
      </c>
      <c r="J586">
        <v>0.05</v>
      </c>
      <c r="K586">
        <v>245102.18</v>
      </c>
      <c r="L586">
        <v>187243.77</v>
      </c>
      <c r="M586">
        <v>57858.41</v>
      </c>
      <c r="N586" s="7" t="s">
        <v>26</v>
      </c>
      <c r="O586" s="9">
        <f>IFERROR(RawSalesTable_[[#This Row],[Profit]]/RawSalesTable_[[#This Row],[Revenue]],0)</f>
        <v>0.23605832473623858</v>
      </c>
    </row>
    <row r="587" spans="1:15">
      <c r="A587" s="7" t="s">
        <v>694</v>
      </c>
      <c r="B587" s="8">
        <v>45799</v>
      </c>
      <c r="C587" s="7" t="s">
        <v>28</v>
      </c>
      <c r="D587" s="7" t="s">
        <v>52</v>
      </c>
      <c r="E587" s="7" t="s">
        <v>17</v>
      </c>
      <c r="F587" s="7" t="s">
        <v>114</v>
      </c>
      <c r="G587" s="7" t="s">
        <v>19</v>
      </c>
      <c r="H587">
        <v>3</v>
      </c>
      <c r="I587">
        <v>50239.26</v>
      </c>
      <c r="J587">
        <v>0</v>
      </c>
      <c r="K587">
        <v>150717.78</v>
      </c>
      <c r="L587">
        <v>107053.28</v>
      </c>
      <c r="M587">
        <v>43664.5</v>
      </c>
      <c r="N587" s="7" t="s">
        <v>26</v>
      </c>
      <c r="O587" s="9">
        <f>IFERROR(RawSalesTable_[[#This Row],[Profit]]/RawSalesTable_[[#This Row],[Revenue]],0)</f>
        <v>0.28971034472508816</v>
      </c>
    </row>
    <row r="588" spans="1:15">
      <c r="A588" s="7" t="s">
        <v>695</v>
      </c>
      <c r="B588" s="8">
        <v>45725</v>
      </c>
      <c r="C588" s="7" t="s">
        <v>28</v>
      </c>
      <c r="D588" s="7" t="s">
        <v>52</v>
      </c>
      <c r="E588" s="7" t="s">
        <v>44</v>
      </c>
      <c r="F588" s="7" t="s">
        <v>80</v>
      </c>
      <c r="G588" s="7" t="s">
        <v>70</v>
      </c>
      <c r="H588">
        <v>5</v>
      </c>
      <c r="I588">
        <v>42425.77</v>
      </c>
      <c r="J588">
        <v>0.15</v>
      </c>
      <c r="K588">
        <v>180309.52</v>
      </c>
      <c r="L588">
        <v>156224.57</v>
      </c>
      <c r="M588">
        <v>24084.95</v>
      </c>
      <c r="N588" s="7" t="s">
        <v>59</v>
      </c>
      <c r="O588" s="9">
        <f>IFERROR(RawSalesTable_[[#This Row],[Profit]]/RawSalesTable_[[#This Row],[Revenue]],0)</f>
        <v>0.1335755871348335</v>
      </c>
    </row>
    <row r="589" spans="1:15">
      <c r="A589" s="7" t="s">
        <v>696</v>
      </c>
      <c r="B589" s="8">
        <v>45924</v>
      </c>
      <c r="C589" s="7" t="s">
        <v>28</v>
      </c>
      <c r="D589" s="7" t="s">
        <v>56</v>
      </c>
      <c r="E589" s="7" t="s">
        <v>17</v>
      </c>
      <c r="F589" s="7" t="s">
        <v>18</v>
      </c>
      <c r="G589" s="7" t="s">
        <v>32</v>
      </c>
      <c r="H589">
        <v>4</v>
      </c>
      <c r="I589">
        <v>13486.04</v>
      </c>
      <c r="J589">
        <v>0</v>
      </c>
      <c r="K589">
        <v>53944.160000000003</v>
      </c>
      <c r="L589">
        <v>33733.040000000001</v>
      </c>
      <c r="M589">
        <v>20211.12</v>
      </c>
      <c r="N589" s="7" t="s">
        <v>20</v>
      </c>
      <c r="O589" s="9">
        <f>IFERROR(RawSalesTable_[[#This Row],[Profit]]/RawSalesTable_[[#This Row],[Revenue]],0)</f>
        <v>0.37466743387977491</v>
      </c>
    </row>
    <row r="590" spans="1:15">
      <c r="A590" s="7" t="s">
        <v>697</v>
      </c>
      <c r="B590" s="8">
        <v>45814</v>
      </c>
      <c r="C590" s="7" t="s">
        <v>15</v>
      </c>
      <c r="D590" s="7" t="s">
        <v>63</v>
      </c>
      <c r="E590" s="7" t="s">
        <v>30</v>
      </c>
      <c r="F590" s="7" t="s">
        <v>40</v>
      </c>
      <c r="G590" s="7" t="s">
        <v>61</v>
      </c>
      <c r="H590">
        <v>8</v>
      </c>
      <c r="I590">
        <v>24335.39</v>
      </c>
      <c r="J590">
        <v>0.1</v>
      </c>
      <c r="K590">
        <v>175214.81</v>
      </c>
      <c r="L590">
        <v>123775.53</v>
      </c>
      <c r="M590">
        <v>51439.28</v>
      </c>
      <c r="N590" s="7" t="s">
        <v>59</v>
      </c>
      <c r="O590" s="9">
        <f>IFERROR(RawSalesTable_[[#This Row],[Profit]]/RawSalesTable_[[#This Row],[Revenue]],0)</f>
        <v>0.29357837959017274</v>
      </c>
    </row>
    <row r="591" spans="1:15">
      <c r="A591" s="7" t="s">
        <v>698</v>
      </c>
      <c r="B591" s="8">
        <v>45743</v>
      </c>
      <c r="C591" s="7" t="s">
        <v>22</v>
      </c>
      <c r="D591" s="7" t="s">
        <v>35</v>
      </c>
      <c r="E591" s="7" t="s">
        <v>30</v>
      </c>
      <c r="F591" s="7" t="s">
        <v>38</v>
      </c>
      <c r="G591" s="7" t="s">
        <v>61</v>
      </c>
      <c r="H591">
        <v>1</v>
      </c>
      <c r="I591">
        <v>25480.82</v>
      </c>
      <c r="J591">
        <v>0.05</v>
      </c>
      <c r="K591">
        <v>24206.78</v>
      </c>
      <c r="L591">
        <v>18034.47</v>
      </c>
      <c r="M591">
        <v>6172.31</v>
      </c>
      <c r="N591" s="7" t="s">
        <v>59</v>
      </c>
      <c r="O591" s="9">
        <f>IFERROR(RawSalesTable_[[#This Row],[Profit]]/RawSalesTable_[[#This Row],[Revenue]],0)</f>
        <v>0.25498269493092435</v>
      </c>
    </row>
    <row r="592" spans="1:15">
      <c r="A592" s="7" t="s">
        <v>699</v>
      </c>
      <c r="B592" s="8">
        <v>45883</v>
      </c>
      <c r="C592" s="7" t="s">
        <v>22</v>
      </c>
      <c r="D592" s="7" t="s">
        <v>23</v>
      </c>
      <c r="E592" s="7" t="s">
        <v>44</v>
      </c>
      <c r="F592" s="7" t="s">
        <v>45</v>
      </c>
      <c r="G592" s="7" t="s">
        <v>58</v>
      </c>
      <c r="H592">
        <v>4</v>
      </c>
      <c r="I592">
        <v>26753.14</v>
      </c>
      <c r="J592">
        <v>0.05</v>
      </c>
      <c r="K592">
        <v>101661.93</v>
      </c>
      <c r="L592">
        <v>76776.47</v>
      </c>
      <c r="M592">
        <v>24885.46</v>
      </c>
      <c r="N592" s="7" t="s">
        <v>59</v>
      </c>
      <c r="O592" s="9">
        <f>IFERROR(RawSalesTable_[[#This Row],[Profit]]/RawSalesTable_[[#This Row],[Revenue]],0)</f>
        <v>0.24478642103292747</v>
      </c>
    </row>
    <row r="593" spans="1:15">
      <c r="A593" s="7" t="s">
        <v>700</v>
      </c>
      <c r="B593" s="8">
        <v>45741</v>
      </c>
      <c r="C593" s="7" t="s">
        <v>22</v>
      </c>
      <c r="D593" s="7" t="s">
        <v>23</v>
      </c>
      <c r="E593" s="7" t="s">
        <v>17</v>
      </c>
      <c r="F593" s="7" t="s">
        <v>18</v>
      </c>
      <c r="G593" s="7" t="s">
        <v>58</v>
      </c>
      <c r="H593">
        <v>6</v>
      </c>
      <c r="I593">
        <v>13683.23</v>
      </c>
      <c r="J593">
        <v>0.05</v>
      </c>
      <c r="K593">
        <v>77994.41</v>
      </c>
      <c r="L593">
        <v>49583.3</v>
      </c>
      <c r="M593">
        <v>28411.11</v>
      </c>
      <c r="N593" s="7" t="s">
        <v>33</v>
      </c>
      <c r="O593" s="9">
        <f>IFERROR(RawSalesTable_[[#This Row],[Profit]]/RawSalesTable_[[#This Row],[Revenue]],0)</f>
        <v>0.36427110609593688</v>
      </c>
    </row>
    <row r="594" spans="1:15">
      <c r="A594" s="7" t="s">
        <v>701</v>
      </c>
      <c r="B594" s="8">
        <v>45937</v>
      </c>
      <c r="C594" s="7" t="s">
        <v>22</v>
      </c>
      <c r="D594" s="7" t="s">
        <v>35</v>
      </c>
      <c r="E594" s="7" t="s">
        <v>49</v>
      </c>
      <c r="F594" s="7" t="s">
        <v>1590</v>
      </c>
      <c r="G594" s="7" t="s">
        <v>32</v>
      </c>
      <c r="H594">
        <v>8</v>
      </c>
      <c r="I594">
        <v>4487.49</v>
      </c>
      <c r="J594">
        <v>0</v>
      </c>
      <c r="K594">
        <v>35899.919999999998</v>
      </c>
      <c r="L594">
        <v>16301.05</v>
      </c>
      <c r="M594">
        <v>19598.87</v>
      </c>
      <c r="N594" s="7" t="s">
        <v>59</v>
      </c>
      <c r="O594" s="9">
        <f>IFERROR(RawSalesTable_[[#This Row],[Profit]]/RawSalesTable_[[#This Row],[Revenue]],0)</f>
        <v>0.54593074302115441</v>
      </c>
    </row>
    <row r="595" spans="1:15">
      <c r="A595" s="7" t="s">
        <v>702</v>
      </c>
      <c r="B595" s="8">
        <v>45678</v>
      </c>
      <c r="C595" s="7" t="s">
        <v>28</v>
      </c>
      <c r="D595" s="7" t="s">
        <v>56</v>
      </c>
      <c r="E595" s="7" t="s">
        <v>44</v>
      </c>
      <c r="F595" s="7" t="s">
        <v>53</v>
      </c>
      <c r="G595" s="7" t="s">
        <v>61</v>
      </c>
      <c r="H595">
        <v>6</v>
      </c>
      <c r="I595">
        <v>8757.24</v>
      </c>
      <c r="J595">
        <v>0.15</v>
      </c>
      <c r="K595">
        <v>44661.919999999998</v>
      </c>
      <c r="L595">
        <v>29503.74</v>
      </c>
      <c r="M595">
        <v>15158.18</v>
      </c>
      <c r="N595" s="7" t="s">
        <v>33</v>
      </c>
      <c r="O595" s="9">
        <f>IFERROR(RawSalesTable_[[#This Row],[Profit]]/RawSalesTable_[[#This Row],[Revenue]],0)</f>
        <v>0.33939830620806272</v>
      </c>
    </row>
    <row r="596" spans="1:15">
      <c r="A596" s="7" t="s">
        <v>703</v>
      </c>
      <c r="B596" s="8">
        <v>45986</v>
      </c>
      <c r="C596" s="7" t="s">
        <v>28</v>
      </c>
      <c r="D596" s="7" t="s">
        <v>52</v>
      </c>
      <c r="E596" s="7" t="s">
        <v>49</v>
      </c>
      <c r="F596" s="7" t="s">
        <v>1590</v>
      </c>
      <c r="G596" s="7" t="s">
        <v>47</v>
      </c>
      <c r="H596">
        <v>8</v>
      </c>
      <c r="I596">
        <v>4104.17</v>
      </c>
      <c r="J596">
        <v>0.05</v>
      </c>
      <c r="K596">
        <v>31191.69</v>
      </c>
      <c r="L596">
        <v>16360.72</v>
      </c>
      <c r="M596">
        <v>14830.97</v>
      </c>
      <c r="N596" s="7" t="s">
        <v>26</v>
      </c>
      <c r="O596" s="9">
        <f>IFERROR(RawSalesTable_[[#This Row],[Profit]]/RawSalesTable_[[#This Row],[Revenue]],0)</f>
        <v>0.47547824436572689</v>
      </c>
    </row>
    <row r="597" spans="1:15">
      <c r="A597" s="7" t="s">
        <v>705</v>
      </c>
      <c r="B597" s="8">
        <v>45848</v>
      </c>
      <c r="C597" s="7" t="s">
        <v>28</v>
      </c>
      <c r="D597" s="7" t="s">
        <v>29</v>
      </c>
      <c r="E597" s="7" t="s">
        <v>17</v>
      </c>
      <c r="F597" s="7" t="s">
        <v>18</v>
      </c>
      <c r="G597" s="7" t="s">
        <v>64</v>
      </c>
      <c r="H597">
        <v>7</v>
      </c>
      <c r="I597">
        <v>13683.23</v>
      </c>
      <c r="J597">
        <v>0.05</v>
      </c>
      <c r="K597">
        <v>90993.48</v>
      </c>
      <c r="L597">
        <v>57163.17</v>
      </c>
      <c r="M597">
        <v>33830.31</v>
      </c>
      <c r="N597" s="7" t="s">
        <v>59</v>
      </c>
      <c r="O597" s="9">
        <f>IFERROR(RawSalesTable_[[#This Row],[Profit]]/RawSalesTable_[[#This Row],[Revenue]],0)</f>
        <v>0.37178828636952888</v>
      </c>
    </row>
    <row r="598" spans="1:15">
      <c r="A598" s="7" t="s">
        <v>706</v>
      </c>
      <c r="B598" s="8">
        <v>45870</v>
      </c>
      <c r="C598" s="7" t="s">
        <v>28</v>
      </c>
      <c r="D598" s="7" t="s">
        <v>56</v>
      </c>
      <c r="E598" s="7" t="s">
        <v>30</v>
      </c>
      <c r="F598" s="7" t="s">
        <v>40</v>
      </c>
      <c r="G598" s="7" t="s">
        <v>70</v>
      </c>
      <c r="H598">
        <v>2</v>
      </c>
      <c r="I598">
        <v>23385.53</v>
      </c>
      <c r="J598">
        <v>0.05</v>
      </c>
      <c r="K598">
        <v>44432.51</v>
      </c>
      <c r="L598">
        <v>32292.26</v>
      </c>
      <c r="M598">
        <v>12140.25</v>
      </c>
      <c r="N598" s="7" t="s">
        <v>59</v>
      </c>
      <c r="O598" s="9">
        <f>IFERROR(RawSalesTable_[[#This Row],[Profit]]/RawSalesTable_[[#This Row],[Revenue]],0)</f>
        <v>0.27322899381556431</v>
      </c>
    </row>
    <row r="599" spans="1:15">
      <c r="A599" s="7" t="s">
        <v>707</v>
      </c>
      <c r="B599" s="8">
        <v>45764</v>
      </c>
      <c r="C599" s="7" t="s">
        <v>22</v>
      </c>
      <c r="D599" s="7" t="s">
        <v>37</v>
      </c>
      <c r="E599" s="7" t="s">
        <v>49</v>
      </c>
      <c r="F599" s="7" t="s">
        <v>107</v>
      </c>
      <c r="G599" s="7" t="s">
        <v>58</v>
      </c>
      <c r="H599">
        <v>3</v>
      </c>
      <c r="I599">
        <v>5479.15</v>
      </c>
      <c r="J599">
        <v>0.1</v>
      </c>
      <c r="K599">
        <v>14793.7</v>
      </c>
      <c r="L599">
        <v>7905.81</v>
      </c>
      <c r="M599">
        <v>6887.89</v>
      </c>
      <c r="N599" s="7" t="s">
        <v>20</v>
      </c>
      <c r="O599" s="9">
        <f>IFERROR(RawSalesTable_[[#This Row],[Profit]]/RawSalesTable_[[#This Row],[Revenue]],0)</f>
        <v>0.46559616593549957</v>
      </c>
    </row>
    <row r="600" spans="1:15">
      <c r="A600" s="7" t="s">
        <v>708</v>
      </c>
      <c r="B600" s="8">
        <v>45870</v>
      </c>
      <c r="C600" s="7" t="s">
        <v>15</v>
      </c>
      <c r="D600" s="7" t="s">
        <v>63</v>
      </c>
      <c r="E600" s="7" t="s">
        <v>17</v>
      </c>
      <c r="F600" s="7" t="s">
        <v>114</v>
      </c>
      <c r="G600" s="7" t="s">
        <v>61</v>
      </c>
      <c r="H600">
        <v>2</v>
      </c>
      <c r="I600">
        <v>47895.07</v>
      </c>
      <c r="J600">
        <v>0.15</v>
      </c>
      <c r="K600">
        <v>81421.62</v>
      </c>
      <c r="L600">
        <v>75482.64</v>
      </c>
      <c r="M600">
        <v>5938.98</v>
      </c>
      <c r="N600" s="7" t="s">
        <v>20</v>
      </c>
      <c r="O600" s="9">
        <f>IFERROR(RawSalesTable_[[#This Row],[Profit]]/RawSalesTable_[[#This Row],[Revenue]],0)</f>
        <v>7.2941068969150938E-2</v>
      </c>
    </row>
    <row r="601" spans="1:15">
      <c r="A601" s="7" t="s">
        <v>709</v>
      </c>
      <c r="B601" s="8">
        <v>45679</v>
      </c>
      <c r="C601" s="7" t="s">
        <v>15</v>
      </c>
      <c r="D601" s="7" t="s">
        <v>43</v>
      </c>
      <c r="E601" s="7" t="s">
        <v>44</v>
      </c>
      <c r="F601" s="7" t="s">
        <v>45</v>
      </c>
      <c r="G601" s="7" t="s">
        <v>58</v>
      </c>
      <c r="H601">
        <v>3</v>
      </c>
      <c r="I601">
        <v>30015.21</v>
      </c>
      <c r="J601">
        <v>0.05</v>
      </c>
      <c r="K601">
        <v>85543.35</v>
      </c>
      <c r="L601">
        <v>57499.93</v>
      </c>
      <c r="M601">
        <v>28043.42</v>
      </c>
      <c r="N601" s="7" t="s">
        <v>59</v>
      </c>
      <c r="O601" s="9">
        <f>IFERROR(RawSalesTable_[[#This Row],[Profit]]/RawSalesTable_[[#This Row],[Revenue]],0)</f>
        <v>0.32782700233273537</v>
      </c>
    </row>
    <row r="602" spans="1:15">
      <c r="A602" s="7" t="s">
        <v>710</v>
      </c>
      <c r="B602" s="8">
        <v>45985</v>
      </c>
      <c r="C602" s="7" t="s">
        <v>28</v>
      </c>
      <c r="D602" s="7" t="s">
        <v>29</v>
      </c>
      <c r="E602" s="7" t="s">
        <v>49</v>
      </c>
      <c r="F602" s="7" t="s">
        <v>1590</v>
      </c>
      <c r="G602" s="7" t="s">
        <v>70</v>
      </c>
      <c r="H602">
        <v>1</v>
      </c>
      <c r="I602">
        <v>4395.7</v>
      </c>
      <c r="J602">
        <v>0</v>
      </c>
      <c r="K602">
        <v>4395.7</v>
      </c>
      <c r="L602">
        <v>2075.61</v>
      </c>
      <c r="M602">
        <v>2320.09</v>
      </c>
      <c r="N602" s="7" t="s">
        <v>33</v>
      </c>
      <c r="O602" s="9">
        <f>IFERROR(RawSalesTable_[[#This Row],[Profit]]/RawSalesTable_[[#This Row],[Revenue]],0)</f>
        <v>0.52780899515435542</v>
      </c>
    </row>
    <row r="603" spans="1:15">
      <c r="A603" s="7" t="s">
        <v>711</v>
      </c>
      <c r="B603" s="8">
        <v>45672</v>
      </c>
      <c r="C603" s="7" t="s">
        <v>15</v>
      </c>
      <c r="D603" s="7" t="s">
        <v>43</v>
      </c>
      <c r="E603" s="7" t="s">
        <v>30</v>
      </c>
      <c r="F603" s="7" t="s">
        <v>40</v>
      </c>
      <c r="G603" s="7" t="s">
        <v>19</v>
      </c>
      <c r="H603">
        <v>3</v>
      </c>
      <c r="I603">
        <v>24468.2</v>
      </c>
      <c r="J603">
        <v>0.15</v>
      </c>
      <c r="K603">
        <v>62393.91</v>
      </c>
      <c r="L603">
        <v>48117.4</v>
      </c>
      <c r="M603">
        <v>14276.51</v>
      </c>
      <c r="N603" s="7" t="s">
        <v>59</v>
      </c>
      <c r="O603" s="9">
        <f>IFERROR(RawSalesTable_[[#This Row],[Profit]]/RawSalesTable_[[#This Row],[Revenue]],0)</f>
        <v>0.2288125555843511</v>
      </c>
    </row>
    <row r="604" spans="1:15">
      <c r="A604" s="7" t="s">
        <v>712</v>
      </c>
      <c r="B604" s="8">
        <v>46013</v>
      </c>
      <c r="C604" s="7" t="s">
        <v>28</v>
      </c>
      <c r="D604" s="7" t="s">
        <v>52</v>
      </c>
      <c r="E604" s="7" t="s">
        <v>30</v>
      </c>
      <c r="F604" s="7" t="s">
        <v>40</v>
      </c>
      <c r="G604" s="7" t="s">
        <v>19</v>
      </c>
      <c r="H604">
        <v>7</v>
      </c>
      <c r="I604">
        <v>25943.919999999998</v>
      </c>
      <c r="J604">
        <v>0.15</v>
      </c>
      <c r="K604">
        <v>154366.32</v>
      </c>
      <c r="L604">
        <v>112592.34</v>
      </c>
      <c r="M604">
        <v>41773.980000000003</v>
      </c>
      <c r="N604" s="7" t="s">
        <v>59</v>
      </c>
      <c r="O604" s="9">
        <f>IFERROR(RawSalesTable_[[#This Row],[Profit]]/RawSalesTable_[[#This Row],[Revenue]],0)</f>
        <v>0.2706158960063309</v>
      </c>
    </row>
    <row r="605" spans="1:15">
      <c r="A605" s="7" t="s">
        <v>713</v>
      </c>
      <c r="B605" s="8">
        <v>46012</v>
      </c>
      <c r="C605" s="7" t="s">
        <v>15</v>
      </c>
      <c r="D605" s="7" t="s">
        <v>43</v>
      </c>
      <c r="E605" s="7" t="s">
        <v>17</v>
      </c>
      <c r="F605" s="7" t="s">
        <v>18</v>
      </c>
      <c r="G605" s="7" t="s">
        <v>61</v>
      </c>
      <c r="H605">
        <v>3</v>
      </c>
      <c r="I605">
        <v>14689.44</v>
      </c>
      <c r="J605">
        <v>0</v>
      </c>
      <c r="K605">
        <v>44068.32</v>
      </c>
      <c r="L605">
        <v>24412.49</v>
      </c>
      <c r="M605">
        <v>19655.830000000002</v>
      </c>
      <c r="N605" s="7" t="s">
        <v>59</v>
      </c>
      <c r="O605" s="9">
        <f>IFERROR(RawSalesTable_[[#This Row],[Profit]]/RawSalesTable_[[#This Row],[Revenue]],0)</f>
        <v>0.44603084483365835</v>
      </c>
    </row>
    <row r="606" spans="1:15">
      <c r="A606" s="7" t="s">
        <v>714</v>
      </c>
      <c r="B606" s="8">
        <v>45807</v>
      </c>
      <c r="C606" s="7" t="s">
        <v>22</v>
      </c>
      <c r="D606" s="7" t="s">
        <v>23</v>
      </c>
      <c r="E606" s="7" t="s">
        <v>30</v>
      </c>
      <c r="F606" s="7" t="s">
        <v>38</v>
      </c>
      <c r="G606" s="7" t="s">
        <v>19</v>
      </c>
      <c r="H606">
        <v>7</v>
      </c>
      <c r="I606">
        <v>27588.59</v>
      </c>
      <c r="J606">
        <v>0.05</v>
      </c>
      <c r="K606">
        <v>183464.12</v>
      </c>
      <c r="L606">
        <v>122649.67</v>
      </c>
      <c r="M606">
        <v>60814.45</v>
      </c>
      <c r="N606" s="7" t="s">
        <v>26</v>
      </c>
      <c r="O606" s="9">
        <f>IFERROR(RawSalesTable_[[#This Row],[Profit]]/RawSalesTable_[[#This Row],[Revenue]],0)</f>
        <v>0.3314787109326881</v>
      </c>
    </row>
    <row r="607" spans="1:15">
      <c r="A607" s="7" t="s">
        <v>715</v>
      </c>
      <c r="B607" s="8">
        <v>45796</v>
      </c>
      <c r="C607" s="7" t="s">
        <v>15</v>
      </c>
      <c r="D607" s="7" t="s">
        <v>16</v>
      </c>
      <c r="E607" s="7" t="s">
        <v>17</v>
      </c>
      <c r="F607" s="7" t="s">
        <v>24</v>
      </c>
      <c r="G607" s="7" t="s">
        <v>32</v>
      </c>
      <c r="H607">
        <v>6</v>
      </c>
      <c r="I607">
        <v>97482.36</v>
      </c>
      <c r="J607">
        <v>0.15</v>
      </c>
      <c r="K607">
        <v>497160.04</v>
      </c>
      <c r="L607">
        <v>418604.49</v>
      </c>
      <c r="M607">
        <v>78555.55</v>
      </c>
      <c r="N607" s="7" t="s">
        <v>33</v>
      </c>
      <c r="O607" s="9">
        <f>IFERROR(RawSalesTable_[[#This Row],[Profit]]/RawSalesTable_[[#This Row],[Revenue]],0)</f>
        <v>0.15800857607139948</v>
      </c>
    </row>
    <row r="608" spans="1:15">
      <c r="A608" s="7" t="s">
        <v>716</v>
      </c>
      <c r="B608" s="8">
        <v>45906</v>
      </c>
      <c r="C608" s="7" t="s">
        <v>15</v>
      </c>
      <c r="D608" s="7" t="s">
        <v>43</v>
      </c>
      <c r="E608" s="7" t="s">
        <v>30</v>
      </c>
      <c r="F608" s="7" t="s">
        <v>86</v>
      </c>
      <c r="G608" s="7" t="s">
        <v>25</v>
      </c>
      <c r="H608">
        <v>1</v>
      </c>
      <c r="I608">
        <v>31083.09</v>
      </c>
      <c r="J608">
        <v>0.05</v>
      </c>
      <c r="K608">
        <v>29528.94</v>
      </c>
      <c r="L608">
        <v>22412.5</v>
      </c>
      <c r="M608">
        <v>7116.44</v>
      </c>
      <c r="N608" s="7" t="s">
        <v>59</v>
      </c>
      <c r="O608" s="9">
        <f>IFERROR(RawSalesTable_[[#This Row],[Profit]]/RawSalesTable_[[#This Row],[Revenue]],0)</f>
        <v>0.24099883030003785</v>
      </c>
    </row>
    <row r="609" spans="1:15">
      <c r="A609" s="7" t="s">
        <v>717</v>
      </c>
      <c r="B609" s="8">
        <v>45927</v>
      </c>
      <c r="C609" s="7" t="s">
        <v>22</v>
      </c>
      <c r="D609" s="7" t="s">
        <v>23</v>
      </c>
      <c r="E609" s="7" t="s">
        <v>44</v>
      </c>
      <c r="F609" s="7" t="s">
        <v>45</v>
      </c>
      <c r="G609" s="7" t="s">
        <v>19</v>
      </c>
      <c r="H609">
        <v>4</v>
      </c>
      <c r="I609">
        <v>30011.98</v>
      </c>
      <c r="J609">
        <v>0.1</v>
      </c>
      <c r="K609">
        <v>108043.13</v>
      </c>
      <c r="L609">
        <v>76983.44</v>
      </c>
      <c r="M609">
        <v>31059.69</v>
      </c>
      <c r="N609" s="7" t="s">
        <v>20</v>
      </c>
      <c r="O609" s="9">
        <f>IFERROR(RawSalesTable_[[#This Row],[Profit]]/RawSalesTable_[[#This Row],[Revenue]],0)</f>
        <v>0.28747491858112584</v>
      </c>
    </row>
    <row r="610" spans="1:15">
      <c r="A610" s="7" t="s">
        <v>718</v>
      </c>
      <c r="B610" s="8">
        <v>45729</v>
      </c>
      <c r="C610" s="7" t="s">
        <v>28</v>
      </c>
      <c r="D610" s="7" t="s">
        <v>52</v>
      </c>
      <c r="E610" s="7" t="s">
        <v>17</v>
      </c>
      <c r="F610" s="7" t="s">
        <v>24</v>
      </c>
      <c r="G610" s="7" t="s">
        <v>70</v>
      </c>
      <c r="H610">
        <v>1</v>
      </c>
      <c r="I610">
        <v>91698.51</v>
      </c>
      <c r="J610">
        <v>0.05</v>
      </c>
      <c r="K610">
        <v>87113.58</v>
      </c>
      <c r="L610">
        <v>69249.399999999994</v>
      </c>
      <c r="M610">
        <v>17864.18</v>
      </c>
      <c r="N610" s="7" t="s">
        <v>59</v>
      </c>
      <c r="O610" s="9">
        <f>IFERROR(RawSalesTable_[[#This Row],[Profit]]/RawSalesTable_[[#This Row],[Revenue]],0)</f>
        <v>0.20506768290317079</v>
      </c>
    </row>
    <row r="611" spans="1:15">
      <c r="A611" s="7" t="s">
        <v>719</v>
      </c>
      <c r="B611" s="8">
        <v>45774</v>
      </c>
      <c r="C611" s="7" t="s">
        <v>22</v>
      </c>
      <c r="D611" s="7" t="s">
        <v>37</v>
      </c>
      <c r="E611" s="7" t="s">
        <v>30</v>
      </c>
      <c r="F611" s="7" t="s">
        <v>31</v>
      </c>
      <c r="G611" s="7" t="s">
        <v>58</v>
      </c>
      <c r="H611">
        <v>2</v>
      </c>
      <c r="I611">
        <v>129002.93</v>
      </c>
      <c r="J611">
        <v>0.15</v>
      </c>
      <c r="K611">
        <v>219304.98</v>
      </c>
      <c r="L611">
        <v>197952.96</v>
      </c>
      <c r="M611">
        <v>21352.02</v>
      </c>
      <c r="N611" s="7" t="s">
        <v>26</v>
      </c>
      <c r="O611" s="9">
        <f>IFERROR(RawSalesTable_[[#This Row],[Profit]]/RawSalesTable_[[#This Row],[Revenue]],0)</f>
        <v>9.7362221323017833E-2</v>
      </c>
    </row>
    <row r="612" spans="1:15">
      <c r="A612" s="7" t="s">
        <v>720</v>
      </c>
      <c r="B612" s="8">
        <v>45679</v>
      </c>
      <c r="C612" s="7" t="s">
        <v>22</v>
      </c>
      <c r="D612" s="7" t="s">
        <v>23</v>
      </c>
      <c r="E612" s="7" t="s">
        <v>17</v>
      </c>
      <c r="F612" s="7" t="s">
        <v>114</v>
      </c>
      <c r="G612" s="7" t="s">
        <v>47</v>
      </c>
      <c r="H612">
        <v>2</v>
      </c>
      <c r="I612">
        <v>48486.76</v>
      </c>
      <c r="J612">
        <v>0.05</v>
      </c>
      <c r="K612">
        <v>92124.84</v>
      </c>
      <c r="L612">
        <v>74679.98</v>
      </c>
      <c r="M612">
        <v>17444.86</v>
      </c>
      <c r="N612" s="7" t="s">
        <v>33</v>
      </c>
      <c r="O612" s="9">
        <f>IFERROR(RawSalesTable_[[#This Row],[Profit]]/RawSalesTable_[[#This Row],[Revenue]],0)</f>
        <v>0.18936108871396684</v>
      </c>
    </row>
    <row r="613" spans="1:15">
      <c r="A613" s="7" t="s">
        <v>721</v>
      </c>
      <c r="B613" s="8">
        <v>45999</v>
      </c>
      <c r="C613" s="7" t="s">
        <v>22</v>
      </c>
      <c r="D613" s="7" t="s">
        <v>37</v>
      </c>
      <c r="E613" s="7" t="s">
        <v>17</v>
      </c>
      <c r="F613" s="7" t="s">
        <v>114</v>
      </c>
      <c r="G613" s="7" t="s">
        <v>64</v>
      </c>
      <c r="H613">
        <v>2</v>
      </c>
      <c r="I613">
        <v>55398.96</v>
      </c>
      <c r="J613">
        <v>0</v>
      </c>
      <c r="K613">
        <v>110797.92</v>
      </c>
      <c r="L613">
        <v>71148.52</v>
      </c>
      <c r="M613">
        <v>39649.4</v>
      </c>
      <c r="N613" s="7" t="s">
        <v>33</v>
      </c>
      <c r="O613" s="9">
        <f>IFERROR(RawSalesTable_[[#This Row],[Profit]]/RawSalesTable_[[#This Row],[Revenue]],0)</f>
        <v>0.35785328822057311</v>
      </c>
    </row>
    <row r="614" spans="1:15">
      <c r="A614" s="7" t="s">
        <v>722</v>
      </c>
      <c r="B614" s="8">
        <v>45800</v>
      </c>
      <c r="C614" s="7" t="s">
        <v>22</v>
      </c>
      <c r="D614" s="7" t="s">
        <v>37</v>
      </c>
      <c r="E614" s="7" t="s">
        <v>44</v>
      </c>
      <c r="F614" s="7" t="s">
        <v>45</v>
      </c>
      <c r="G614" s="7" t="s">
        <v>32</v>
      </c>
      <c r="H614">
        <v>3</v>
      </c>
      <c r="I614">
        <v>29277.94</v>
      </c>
      <c r="J614">
        <v>0</v>
      </c>
      <c r="K614">
        <v>87833.82</v>
      </c>
      <c r="L614">
        <v>55652.21</v>
      </c>
      <c r="M614">
        <v>32181.61</v>
      </c>
      <c r="N614" s="7" t="s">
        <v>59</v>
      </c>
      <c r="O614" s="9">
        <f>IFERROR(RawSalesTable_[[#This Row],[Profit]]/RawSalesTable_[[#This Row],[Revenue]],0)</f>
        <v>0.36639201164198482</v>
      </c>
    </row>
    <row r="615" spans="1:15">
      <c r="A615" s="7" t="s">
        <v>723</v>
      </c>
      <c r="B615" s="8">
        <v>45756</v>
      </c>
      <c r="C615" s="7" t="s">
        <v>22</v>
      </c>
      <c r="D615" s="7" t="s">
        <v>37</v>
      </c>
      <c r="E615" s="7" t="s">
        <v>44</v>
      </c>
      <c r="F615" s="7" t="s">
        <v>80</v>
      </c>
      <c r="G615" s="7" t="s">
        <v>58</v>
      </c>
      <c r="H615">
        <v>2</v>
      </c>
      <c r="I615">
        <v>45198.76</v>
      </c>
      <c r="J615">
        <v>0</v>
      </c>
      <c r="K615">
        <v>90397.52</v>
      </c>
      <c r="L615">
        <v>62435.16</v>
      </c>
      <c r="M615">
        <v>27962.36</v>
      </c>
      <c r="N615" s="7" t="s">
        <v>26</v>
      </c>
      <c r="O615" s="9">
        <f>IFERROR(RawSalesTable_[[#This Row],[Profit]]/RawSalesTable_[[#This Row],[Revenue]],0)</f>
        <v>0.30932662754464946</v>
      </c>
    </row>
    <row r="616" spans="1:15">
      <c r="A616" s="7" t="s">
        <v>725</v>
      </c>
      <c r="B616" s="8">
        <v>45714</v>
      </c>
      <c r="C616" s="7" t="s">
        <v>28</v>
      </c>
      <c r="D616" s="7" t="s">
        <v>56</v>
      </c>
      <c r="E616" s="7" t="s">
        <v>49</v>
      </c>
      <c r="F616" s="7" t="s">
        <v>1590</v>
      </c>
      <c r="G616" s="7" t="s">
        <v>61</v>
      </c>
      <c r="H616">
        <v>4</v>
      </c>
      <c r="I616">
        <v>4137.8900000000003</v>
      </c>
      <c r="J616">
        <v>0.05</v>
      </c>
      <c r="K616">
        <v>15723.98</v>
      </c>
      <c r="L616">
        <v>8220.69</v>
      </c>
      <c r="M616">
        <v>7503.29</v>
      </c>
      <c r="N616" s="7" t="s">
        <v>20</v>
      </c>
      <c r="O616" s="9">
        <f>IFERROR(RawSalesTable_[[#This Row],[Profit]]/RawSalesTable_[[#This Row],[Revenue]],0)</f>
        <v>0.47718770947304689</v>
      </c>
    </row>
    <row r="617" spans="1:15">
      <c r="A617" s="7" t="s">
        <v>726</v>
      </c>
      <c r="B617" s="8">
        <v>45891</v>
      </c>
      <c r="C617" s="7" t="s">
        <v>28</v>
      </c>
      <c r="D617" s="7" t="s">
        <v>29</v>
      </c>
      <c r="E617" s="7" t="s">
        <v>30</v>
      </c>
      <c r="F617" s="7" t="s">
        <v>31</v>
      </c>
      <c r="G617" s="7" t="s">
        <v>58</v>
      </c>
      <c r="H617">
        <v>2</v>
      </c>
      <c r="I617">
        <v>131287.29</v>
      </c>
      <c r="J617">
        <v>0</v>
      </c>
      <c r="K617">
        <v>262574.58</v>
      </c>
      <c r="L617">
        <v>201380.8</v>
      </c>
      <c r="M617">
        <v>61193.78</v>
      </c>
      <c r="N617" s="7" t="s">
        <v>20</v>
      </c>
      <c r="O617" s="9">
        <f>IFERROR(RawSalesTable_[[#This Row],[Profit]]/RawSalesTable_[[#This Row],[Revenue]],0)</f>
        <v>0.23305294823284112</v>
      </c>
    </row>
    <row r="618" spans="1:15">
      <c r="A618" s="7" t="s">
        <v>727</v>
      </c>
      <c r="B618" s="8">
        <v>45901</v>
      </c>
      <c r="C618" s="7" t="s">
        <v>22</v>
      </c>
      <c r="D618" s="7" t="s">
        <v>37</v>
      </c>
      <c r="E618" s="7" t="s">
        <v>49</v>
      </c>
      <c r="F618" s="7" t="s">
        <v>57</v>
      </c>
      <c r="G618" s="7" t="s">
        <v>32</v>
      </c>
      <c r="H618">
        <v>7</v>
      </c>
      <c r="I618">
        <v>10927.36</v>
      </c>
      <c r="J618">
        <v>0</v>
      </c>
      <c r="K618">
        <v>76491.520000000004</v>
      </c>
      <c r="L618">
        <v>46984.79</v>
      </c>
      <c r="M618">
        <v>29506.73</v>
      </c>
      <c r="N618" s="7" t="s">
        <v>26</v>
      </c>
      <c r="O618" s="9">
        <f>IFERROR(RawSalesTable_[[#This Row],[Profit]]/RawSalesTable_[[#This Row],[Revenue]],0)</f>
        <v>0.38575164933315481</v>
      </c>
    </row>
    <row r="619" spans="1:15">
      <c r="A619" s="7" t="s">
        <v>728</v>
      </c>
      <c r="B619" s="8">
        <v>45719</v>
      </c>
      <c r="C619" s="7" t="s">
        <v>22</v>
      </c>
      <c r="D619" s="7" t="s">
        <v>37</v>
      </c>
      <c r="E619" s="7" t="s">
        <v>49</v>
      </c>
      <c r="F619" s="7" t="s">
        <v>91</v>
      </c>
      <c r="G619" s="7" t="s">
        <v>61</v>
      </c>
      <c r="H619">
        <v>7</v>
      </c>
      <c r="I619">
        <v>6435.58</v>
      </c>
      <c r="J619">
        <v>0.15</v>
      </c>
      <c r="K619">
        <v>38291.699999999997</v>
      </c>
      <c r="L619">
        <v>25637.38</v>
      </c>
      <c r="M619">
        <v>12654.32</v>
      </c>
      <c r="N619" s="7" t="s">
        <v>20</v>
      </c>
      <c r="O619" s="9">
        <f>IFERROR(RawSalesTable_[[#This Row],[Profit]]/RawSalesTable_[[#This Row],[Revenue]],0)</f>
        <v>0.3304716165644252</v>
      </c>
    </row>
    <row r="620" spans="1:15">
      <c r="A620" s="7" t="s">
        <v>729</v>
      </c>
      <c r="B620" s="8">
        <v>45962</v>
      </c>
      <c r="C620" s="7" t="s">
        <v>28</v>
      </c>
      <c r="D620" s="7" t="s">
        <v>29</v>
      </c>
      <c r="E620" s="7" t="s">
        <v>17</v>
      </c>
      <c r="F620" s="7" t="s">
        <v>24</v>
      </c>
      <c r="G620" s="7" t="s">
        <v>25</v>
      </c>
      <c r="H620">
        <v>2</v>
      </c>
      <c r="I620">
        <v>89993.81</v>
      </c>
      <c r="J620">
        <v>0</v>
      </c>
      <c r="K620">
        <v>179987.62</v>
      </c>
      <c r="L620">
        <v>135143.76999999999</v>
      </c>
      <c r="M620">
        <v>44843.85</v>
      </c>
      <c r="N620" s="7" t="s">
        <v>33</v>
      </c>
      <c r="O620" s="9">
        <f>IFERROR(RawSalesTable_[[#This Row],[Profit]]/RawSalesTable_[[#This Row],[Revenue]],0)</f>
        <v>0.24914963595829534</v>
      </c>
    </row>
    <row r="621" spans="1:15">
      <c r="A621" s="7" t="s">
        <v>731</v>
      </c>
      <c r="B621" s="8">
        <v>45776</v>
      </c>
      <c r="C621" s="7" t="s">
        <v>28</v>
      </c>
      <c r="D621" s="7" t="s">
        <v>29</v>
      </c>
      <c r="E621" s="7" t="s">
        <v>30</v>
      </c>
      <c r="F621" s="7" t="s">
        <v>86</v>
      </c>
      <c r="G621" s="7" t="s">
        <v>61</v>
      </c>
      <c r="H621">
        <v>8</v>
      </c>
      <c r="I621">
        <v>30930.43</v>
      </c>
      <c r="J621">
        <v>0.05</v>
      </c>
      <c r="K621">
        <v>235071.27</v>
      </c>
      <c r="L621">
        <v>180765.7</v>
      </c>
      <c r="M621">
        <v>54305.57</v>
      </c>
      <c r="N621" s="7" t="s">
        <v>33</v>
      </c>
      <c r="O621" s="9">
        <f>IFERROR(RawSalesTable_[[#This Row],[Profit]]/RawSalesTable_[[#This Row],[Revenue]],0)</f>
        <v>0.23101746972311846</v>
      </c>
    </row>
    <row r="622" spans="1:15">
      <c r="A622" s="7" t="s">
        <v>732</v>
      </c>
      <c r="B622" s="8">
        <v>46005</v>
      </c>
      <c r="C622" s="7" t="s">
        <v>22</v>
      </c>
      <c r="D622" s="7" t="s">
        <v>37</v>
      </c>
      <c r="E622" s="7" t="s">
        <v>17</v>
      </c>
      <c r="F622" s="7" t="s">
        <v>75</v>
      </c>
      <c r="G622" s="7" t="s">
        <v>32</v>
      </c>
      <c r="H622">
        <v>8</v>
      </c>
      <c r="I622">
        <v>190271.98</v>
      </c>
      <c r="J622">
        <v>0</v>
      </c>
      <c r="K622">
        <v>1522175.84</v>
      </c>
      <c r="L622">
        <v>1132346.97</v>
      </c>
      <c r="M622">
        <v>389828.87</v>
      </c>
      <c r="N622" s="7" t="s">
        <v>26</v>
      </c>
      <c r="O622" s="9">
        <f>IFERROR(RawSalesTable_[[#This Row],[Profit]]/RawSalesTable_[[#This Row],[Revenue]],0)</f>
        <v>0.25609976177259519</v>
      </c>
    </row>
    <row r="623" spans="1:15">
      <c r="A623" s="7" t="s">
        <v>733</v>
      </c>
      <c r="B623" s="8">
        <v>45912</v>
      </c>
      <c r="C623" s="7" t="s">
        <v>28</v>
      </c>
      <c r="D623" s="7" t="s">
        <v>29</v>
      </c>
      <c r="E623" s="7" t="s">
        <v>17</v>
      </c>
      <c r="F623" s="7" t="s">
        <v>75</v>
      </c>
      <c r="G623" s="7" t="s">
        <v>70</v>
      </c>
      <c r="H623">
        <v>8</v>
      </c>
      <c r="I623">
        <v>193664.85</v>
      </c>
      <c r="J623">
        <v>0</v>
      </c>
      <c r="K623">
        <v>1549318.8</v>
      </c>
      <c r="L623">
        <v>1125264.1200000001</v>
      </c>
      <c r="M623">
        <v>424054.68</v>
      </c>
      <c r="N623" s="7" t="s">
        <v>59</v>
      </c>
      <c r="O623" s="9">
        <f>IFERROR(RawSalesTable_[[#This Row],[Profit]]/RawSalesTable_[[#This Row],[Revenue]],0)</f>
        <v>0.27370395298888772</v>
      </c>
    </row>
    <row r="624" spans="1:15">
      <c r="A624" s="7" t="s">
        <v>734</v>
      </c>
      <c r="B624" s="8">
        <v>45819</v>
      </c>
      <c r="C624" s="7" t="s">
        <v>15</v>
      </c>
      <c r="D624" s="7" t="s">
        <v>63</v>
      </c>
      <c r="E624" s="7" t="s">
        <v>17</v>
      </c>
      <c r="F624" s="7" t="s">
        <v>75</v>
      </c>
      <c r="G624" s="7" t="s">
        <v>25</v>
      </c>
      <c r="H624">
        <v>7</v>
      </c>
      <c r="I624">
        <v>196251.72</v>
      </c>
      <c r="J624">
        <v>0</v>
      </c>
      <c r="K624">
        <v>1373762.04</v>
      </c>
      <c r="L624">
        <v>990872.97</v>
      </c>
      <c r="M624">
        <v>382889.07</v>
      </c>
      <c r="N624" s="7" t="s">
        <v>20</v>
      </c>
      <c r="O624" s="9">
        <f>IFERROR(RawSalesTable_[[#This Row],[Profit]]/RawSalesTable_[[#This Row],[Revenue]],0)</f>
        <v>0.27871571556890595</v>
      </c>
    </row>
    <row r="625" spans="1:15">
      <c r="A625" s="7" t="s">
        <v>735</v>
      </c>
      <c r="B625" s="8">
        <v>45726</v>
      </c>
      <c r="C625" s="7" t="s">
        <v>28</v>
      </c>
      <c r="D625" s="7" t="s">
        <v>52</v>
      </c>
      <c r="E625" s="7" t="s">
        <v>17</v>
      </c>
      <c r="F625" s="7" t="s">
        <v>24</v>
      </c>
      <c r="G625" s="7" t="s">
        <v>58</v>
      </c>
      <c r="H625">
        <v>5</v>
      </c>
      <c r="I625">
        <v>97662.79</v>
      </c>
      <c r="J625">
        <v>0</v>
      </c>
      <c r="K625">
        <v>488313.95</v>
      </c>
      <c r="L625">
        <v>341497.21</v>
      </c>
      <c r="M625">
        <v>146816.74</v>
      </c>
      <c r="N625" s="7" t="s">
        <v>20</v>
      </c>
      <c r="O625" s="9">
        <f>IFERROR(RawSalesTable_[[#This Row],[Profit]]/RawSalesTable_[[#This Row],[Revenue]],0)</f>
        <v>0.30066054840333761</v>
      </c>
    </row>
    <row r="626" spans="1:15">
      <c r="A626" s="7" t="s">
        <v>736</v>
      </c>
      <c r="B626" s="8">
        <v>45858</v>
      </c>
      <c r="C626" s="7" t="s">
        <v>28</v>
      </c>
      <c r="D626" s="7" t="s">
        <v>52</v>
      </c>
      <c r="E626" s="7" t="s">
        <v>49</v>
      </c>
      <c r="F626" s="7" t="s">
        <v>107</v>
      </c>
      <c r="G626" s="7" t="s">
        <v>58</v>
      </c>
      <c r="H626">
        <v>8</v>
      </c>
      <c r="I626">
        <v>5251.8</v>
      </c>
      <c r="J626">
        <v>0</v>
      </c>
      <c r="K626">
        <v>42014.400000000001</v>
      </c>
      <c r="L626">
        <v>21718.11</v>
      </c>
      <c r="M626">
        <v>20296.29</v>
      </c>
      <c r="N626" s="7" t="s">
        <v>20</v>
      </c>
      <c r="O626" s="9">
        <f>IFERROR(RawSalesTable_[[#This Row],[Profit]]/RawSalesTable_[[#This Row],[Revenue]],0)</f>
        <v>0.48307937278647323</v>
      </c>
    </row>
    <row r="627" spans="1:15">
      <c r="A627" s="7" t="s">
        <v>737</v>
      </c>
      <c r="B627" s="8">
        <v>45845</v>
      </c>
      <c r="C627" s="7" t="s">
        <v>15</v>
      </c>
      <c r="D627" s="7" t="s">
        <v>63</v>
      </c>
      <c r="E627" s="7" t="s">
        <v>30</v>
      </c>
      <c r="F627" s="7" t="s">
        <v>38</v>
      </c>
      <c r="G627" s="7" t="s">
        <v>32</v>
      </c>
      <c r="H627">
        <v>6</v>
      </c>
      <c r="I627">
        <v>25105.35</v>
      </c>
      <c r="J627">
        <v>0.1</v>
      </c>
      <c r="K627">
        <v>135568.89000000001</v>
      </c>
      <c r="L627">
        <v>105101.1</v>
      </c>
      <c r="M627">
        <v>30467.79</v>
      </c>
      <c r="N627" s="7" t="s">
        <v>33</v>
      </c>
      <c r="O627" s="9">
        <f>IFERROR(RawSalesTable_[[#This Row],[Profit]]/RawSalesTable_[[#This Row],[Revenue]],0)</f>
        <v>0.22474027780267286</v>
      </c>
    </row>
    <row r="628" spans="1:15">
      <c r="A628" s="7" t="s">
        <v>738</v>
      </c>
      <c r="B628" s="8">
        <v>45686</v>
      </c>
      <c r="C628" s="7" t="s">
        <v>15</v>
      </c>
      <c r="D628" s="7" t="s">
        <v>63</v>
      </c>
      <c r="E628" s="7" t="s">
        <v>49</v>
      </c>
      <c r="F628" s="7" t="s">
        <v>91</v>
      </c>
      <c r="G628" s="7" t="s">
        <v>47</v>
      </c>
      <c r="H628">
        <v>7</v>
      </c>
      <c r="I628">
        <v>6338.95</v>
      </c>
      <c r="J628">
        <v>0.05</v>
      </c>
      <c r="K628">
        <v>42154.02</v>
      </c>
      <c r="L628">
        <v>25170.639999999999</v>
      </c>
      <c r="M628">
        <v>16983.38</v>
      </c>
      <c r="N628" s="7" t="s">
        <v>59</v>
      </c>
      <c r="O628" s="9">
        <f>IFERROR(RawSalesTable_[[#This Row],[Profit]]/RawSalesTable_[[#This Row],[Revenue]],0)</f>
        <v>0.40288873991140117</v>
      </c>
    </row>
    <row r="629" spans="1:15">
      <c r="A629" s="7" t="s">
        <v>739</v>
      </c>
      <c r="B629" s="8">
        <v>45668</v>
      </c>
      <c r="C629" s="7" t="s">
        <v>22</v>
      </c>
      <c r="D629" s="7" t="s">
        <v>37</v>
      </c>
      <c r="E629" s="7" t="s">
        <v>30</v>
      </c>
      <c r="F629" s="7" t="s">
        <v>31</v>
      </c>
      <c r="G629" s="7" t="s">
        <v>32</v>
      </c>
      <c r="H629">
        <v>2</v>
      </c>
      <c r="I629">
        <v>142969.1</v>
      </c>
      <c r="J629">
        <v>0</v>
      </c>
      <c r="K629">
        <v>285938.2</v>
      </c>
      <c r="L629">
        <v>200713.58</v>
      </c>
      <c r="M629">
        <v>85224.62</v>
      </c>
      <c r="N629" s="7" t="s">
        <v>33</v>
      </c>
      <c r="O629" s="9">
        <f>IFERROR(RawSalesTable_[[#This Row],[Profit]]/RawSalesTable_[[#This Row],[Revenue]],0)</f>
        <v>0.29805258618820429</v>
      </c>
    </row>
    <row r="630" spans="1:15">
      <c r="A630" s="7" t="s">
        <v>740</v>
      </c>
      <c r="B630" s="8">
        <v>45820</v>
      </c>
      <c r="C630" s="7" t="s">
        <v>28</v>
      </c>
      <c r="D630" s="7" t="s">
        <v>29</v>
      </c>
      <c r="E630" s="7" t="s">
        <v>49</v>
      </c>
      <c r="F630" s="7" t="s">
        <v>107</v>
      </c>
      <c r="G630" s="7" t="s">
        <v>25</v>
      </c>
      <c r="H630">
        <v>5</v>
      </c>
      <c r="I630">
        <v>4800.97</v>
      </c>
      <c r="J630">
        <v>0.05</v>
      </c>
      <c r="K630">
        <v>22804.61</v>
      </c>
      <c r="L630">
        <v>13650.65</v>
      </c>
      <c r="M630">
        <v>9153.9599999999991</v>
      </c>
      <c r="N630" s="7" t="s">
        <v>20</v>
      </c>
      <c r="O630" s="9">
        <f>IFERROR(RawSalesTable_[[#This Row],[Profit]]/RawSalesTable_[[#This Row],[Revenue]],0)</f>
        <v>0.40140831174047698</v>
      </c>
    </row>
    <row r="631" spans="1:15">
      <c r="A631" s="7" t="s">
        <v>741</v>
      </c>
      <c r="B631" s="8">
        <v>45915</v>
      </c>
      <c r="C631" s="7" t="s">
        <v>28</v>
      </c>
      <c r="D631" s="7" t="s">
        <v>29</v>
      </c>
      <c r="E631" s="7" t="s">
        <v>17</v>
      </c>
      <c r="F631" s="7" t="s">
        <v>114</v>
      </c>
      <c r="G631" s="7" t="s">
        <v>32</v>
      </c>
      <c r="H631">
        <v>2</v>
      </c>
      <c r="I631">
        <v>53587.99</v>
      </c>
      <c r="J631">
        <v>0</v>
      </c>
      <c r="K631">
        <v>107175.98</v>
      </c>
      <c r="L631">
        <v>72526.789999999994</v>
      </c>
      <c r="M631">
        <v>34649.19</v>
      </c>
      <c r="N631" s="7" t="s">
        <v>26</v>
      </c>
      <c r="O631" s="9">
        <f>IFERROR(RawSalesTable_[[#This Row],[Profit]]/RawSalesTable_[[#This Row],[Revenue]],0)</f>
        <v>0.32329249520274977</v>
      </c>
    </row>
    <row r="632" spans="1:15">
      <c r="A632" s="7" t="s">
        <v>742</v>
      </c>
      <c r="B632" s="8">
        <v>45932</v>
      </c>
      <c r="C632" s="7" t="s">
        <v>15</v>
      </c>
      <c r="D632" s="7" t="s">
        <v>63</v>
      </c>
      <c r="E632" s="7" t="s">
        <v>30</v>
      </c>
      <c r="F632" s="7" t="s">
        <v>40</v>
      </c>
      <c r="G632" s="7" t="s">
        <v>47</v>
      </c>
      <c r="H632">
        <v>4</v>
      </c>
      <c r="I632">
        <v>24488.05</v>
      </c>
      <c r="J632">
        <v>0</v>
      </c>
      <c r="K632">
        <v>97952.2</v>
      </c>
      <c r="L632">
        <v>65021.84</v>
      </c>
      <c r="M632">
        <v>32930.36</v>
      </c>
      <c r="N632" s="7" t="s">
        <v>59</v>
      </c>
      <c r="O632" s="9">
        <f>IFERROR(RawSalesTable_[[#This Row],[Profit]]/RawSalesTable_[[#This Row],[Revenue]],0)</f>
        <v>0.33618805907371146</v>
      </c>
    </row>
    <row r="633" spans="1:15">
      <c r="A633" s="7" t="s">
        <v>743</v>
      </c>
      <c r="B633" s="8">
        <v>45954</v>
      </c>
      <c r="C633" s="7" t="s">
        <v>28</v>
      </c>
      <c r="D633" s="7" t="s">
        <v>52</v>
      </c>
      <c r="E633" s="7" t="s">
        <v>30</v>
      </c>
      <c r="F633" s="7" t="s">
        <v>40</v>
      </c>
      <c r="G633" s="7" t="s">
        <v>19</v>
      </c>
      <c r="H633">
        <v>4</v>
      </c>
      <c r="I633">
        <v>24988.32</v>
      </c>
      <c r="J633">
        <v>0</v>
      </c>
      <c r="K633">
        <v>99953.279999999999</v>
      </c>
      <c r="L633">
        <v>64479.14</v>
      </c>
      <c r="M633">
        <v>35474.14</v>
      </c>
      <c r="N633" s="7" t="s">
        <v>59</v>
      </c>
      <c r="O633" s="9">
        <f>IFERROR(RawSalesTable_[[#This Row],[Profit]]/RawSalesTable_[[#This Row],[Revenue]],0)</f>
        <v>0.35490721264974995</v>
      </c>
    </row>
    <row r="634" spans="1:15">
      <c r="A634" s="7" t="s">
        <v>744</v>
      </c>
      <c r="B634" s="8">
        <v>45812</v>
      </c>
      <c r="C634" s="7" t="s">
        <v>28</v>
      </c>
      <c r="D634" s="7" t="s">
        <v>52</v>
      </c>
      <c r="E634" s="7" t="s">
        <v>49</v>
      </c>
      <c r="F634" s="7" t="s">
        <v>107</v>
      </c>
      <c r="G634" s="7" t="s">
        <v>58</v>
      </c>
      <c r="H634">
        <v>4</v>
      </c>
      <c r="I634">
        <v>5072.97</v>
      </c>
      <c r="J634">
        <v>0</v>
      </c>
      <c r="K634">
        <v>20291.88</v>
      </c>
      <c r="L634">
        <v>10968.56</v>
      </c>
      <c r="M634">
        <v>9323.32</v>
      </c>
      <c r="N634" s="7" t="s">
        <v>20</v>
      </c>
      <c r="O634" s="9">
        <f>IFERROR(RawSalesTable_[[#This Row],[Profit]]/RawSalesTable_[[#This Row],[Revenue]],0)</f>
        <v>0.45946063154325767</v>
      </c>
    </row>
    <row r="635" spans="1:15">
      <c r="A635" s="7" t="s">
        <v>745</v>
      </c>
      <c r="B635" s="8">
        <v>46001</v>
      </c>
      <c r="C635" s="7" t="s">
        <v>15</v>
      </c>
      <c r="D635" s="7" t="s">
        <v>43</v>
      </c>
      <c r="E635" s="7" t="s">
        <v>30</v>
      </c>
      <c r="F635" s="7" t="s">
        <v>86</v>
      </c>
      <c r="G635" s="7" t="s">
        <v>61</v>
      </c>
      <c r="H635">
        <v>7</v>
      </c>
      <c r="I635">
        <v>32484.15</v>
      </c>
      <c r="J635">
        <v>0.1</v>
      </c>
      <c r="K635">
        <v>204650.15</v>
      </c>
      <c r="L635">
        <v>158456.95000000001</v>
      </c>
      <c r="M635">
        <v>46193.2</v>
      </c>
      <c r="N635" s="7" t="s">
        <v>33</v>
      </c>
      <c r="O635" s="9">
        <f>IFERROR(RawSalesTable_[[#This Row],[Profit]]/RawSalesTable_[[#This Row],[Revenue]],0)</f>
        <v>0.22571788977432949</v>
      </c>
    </row>
    <row r="636" spans="1:15">
      <c r="A636" s="7" t="s">
        <v>746</v>
      </c>
      <c r="B636" s="8">
        <v>45795</v>
      </c>
      <c r="C636" s="7" t="s">
        <v>15</v>
      </c>
      <c r="D636" s="7" t="s">
        <v>43</v>
      </c>
      <c r="E636" s="7" t="s">
        <v>44</v>
      </c>
      <c r="F636" s="7" t="s">
        <v>53</v>
      </c>
      <c r="G636" s="7" t="s">
        <v>25</v>
      </c>
      <c r="H636">
        <v>4</v>
      </c>
      <c r="I636">
        <v>8718.7000000000007</v>
      </c>
      <c r="J636">
        <v>0.15</v>
      </c>
      <c r="K636">
        <v>29643.58</v>
      </c>
      <c r="L636">
        <v>20299.080000000002</v>
      </c>
      <c r="M636">
        <v>9344.5</v>
      </c>
      <c r="N636" s="7" t="s">
        <v>33</v>
      </c>
      <c r="O636" s="9">
        <f>IFERROR(RawSalesTable_[[#This Row],[Profit]]/RawSalesTable_[[#This Row],[Revenue]],0)</f>
        <v>0.31522845756146861</v>
      </c>
    </row>
    <row r="637" spans="1:15">
      <c r="A637" s="7" t="s">
        <v>747</v>
      </c>
      <c r="B637" s="8">
        <v>45811</v>
      </c>
      <c r="C637" s="7" t="s">
        <v>15</v>
      </c>
      <c r="D637" s="7" t="s">
        <v>16</v>
      </c>
      <c r="E637" s="7" t="s">
        <v>30</v>
      </c>
      <c r="F637" s="7" t="s">
        <v>40</v>
      </c>
      <c r="G637" s="7" t="s">
        <v>25</v>
      </c>
      <c r="H637">
        <v>3</v>
      </c>
      <c r="I637">
        <v>23482.27</v>
      </c>
      <c r="J637">
        <v>0.15</v>
      </c>
      <c r="K637">
        <v>59879.79</v>
      </c>
      <c r="L637">
        <v>48251.85</v>
      </c>
      <c r="M637">
        <v>11627.94</v>
      </c>
      <c r="N637" s="7" t="s">
        <v>20</v>
      </c>
      <c r="O637" s="9">
        <f>IFERROR(RawSalesTable_[[#This Row],[Profit]]/RawSalesTable_[[#This Row],[Revenue]],0)</f>
        <v>0.19418805576973466</v>
      </c>
    </row>
    <row r="638" spans="1:15">
      <c r="A638" s="7" t="s">
        <v>748</v>
      </c>
      <c r="B638" s="8">
        <v>46009</v>
      </c>
      <c r="C638" s="7" t="s">
        <v>28</v>
      </c>
      <c r="D638" s="7" t="s">
        <v>52</v>
      </c>
      <c r="E638" s="7" t="s">
        <v>44</v>
      </c>
      <c r="F638" s="7" t="s">
        <v>53</v>
      </c>
      <c r="G638" s="7" t="s">
        <v>47</v>
      </c>
      <c r="H638">
        <v>5</v>
      </c>
      <c r="I638">
        <v>8940.25</v>
      </c>
      <c r="J638">
        <v>0.15</v>
      </c>
      <c r="K638">
        <v>37996.06</v>
      </c>
      <c r="L638">
        <v>24040.400000000001</v>
      </c>
      <c r="M638">
        <v>13955.66</v>
      </c>
      <c r="N638" s="7" t="s">
        <v>20</v>
      </c>
      <c r="O638" s="9">
        <f>IFERROR(RawSalesTable_[[#This Row],[Profit]]/RawSalesTable_[[#This Row],[Revenue]],0)</f>
        <v>0.36729229293774146</v>
      </c>
    </row>
    <row r="639" spans="1:15">
      <c r="A639" s="7" t="s">
        <v>749</v>
      </c>
      <c r="B639" s="8">
        <v>45944</v>
      </c>
      <c r="C639" s="7" t="s">
        <v>22</v>
      </c>
      <c r="D639" s="7" t="s">
        <v>23</v>
      </c>
      <c r="E639" s="7" t="s">
        <v>44</v>
      </c>
      <c r="F639" s="7" t="s">
        <v>45</v>
      </c>
      <c r="G639" s="7" t="s">
        <v>25</v>
      </c>
      <c r="H639">
        <v>1</v>
      </c>
      <c r="I639">
        <v>27339.87</v>
      </c>
      <c r="J639">
        <v>0.05</v>
      </c>
      <c r="K639">
        <v>25972.880000000001</v>
      </c>
      <c r="L639">
        <v>19047.330000000002</v>
      </c>
      <c r="M639">
        <v>6925.55</v>
      </c>
      <c r="N639" s="7" t="s">
        <v>20</v>
      </c>
      <c r="O639" s="9">
        <f>IFERROR(RawSalesTable_[[#This Row],[Profit]]/RawSalesTable_[[#This Row],[Revenue]],0)</f>
        <v>0.2666454393967862</v>
      </c>
    </row>
    <row r="640" spans="1:15">
      <c r="A640" s="7" t="s">
        <v>750</v>
      </c>
      <c r="B640" s="8">
        <v>45800</v>
      </c>
      <c r="C640" s="7" t="s">
        <v>15</v>
      </c>
      <c r="D640" s="7" t="s">
        <v>16</v>
      </c>
      <c r="E640" s="7" t="s">
        <v>44</v>
      </c>
      <c r="F640" s="7" t="s">
        <v>45</v>
      </c>
      <c r="G640" s="7" t="s">
        <v>61</v>
      </c>
      <c r="H640">
        <v>5</v>
      </c>
      <c r="I640">
        <v>26842.12</v>
      </c>
      <c r="J640">
        <v>0.05</v>
      </c>
      <c r="K640">
        <v>127500.07</v>
      </c>
      <c r="L640">
        <v>97401.3</v>
      </c>
      <c r="M640">
        <v>30098.77</v>
      </c>
      <c r="N640" s="7" t="s">
        <v>33</v>
      </c>
      <c r="O640" s="9">
        <f>IFERROR(RawSalesTable_[[#This Row],[Profit]]/RawSalesTable_[[#This Row],[Revenue]],0)</f>
        <v>0.23606865470740526</v>
      </c>
    </row>
    <row r="641" spans="1:15">
      <c r="A641" s="7" t="s">
        <v>751</v>
      </c>
      <c r="B641" s="8">
        <v>45866</v>
      </c>
      <c r="C641" s="7" t="s">
        <v>15</v>
      </c>
      <c r="D641" s="7" t="s">
        <v>63</v>
      </c>
      <c r="E641" s="7" t="s">
        <v>17</v>
      </c>
      <c r="F641" s="7" t="s">
        <v>75</v>
      </c>
      <c r="G641" s="7" t="s">
        <v>32</v>
      </c>
      <c r="H641">
        <v>2</v>
      </c>
      <c r="I641">
        <v>179491.58</v>
      </c>
      <c r="J641">
        <v>0.05</v>
      </c>
      <c r="K641">
        <v>341034</v>
      </c>
      <c r="L641">
        <v>292719.37</v>
      </c>
      <c r="M641">
        <v>48314.63</v>
      </c>
      <c r="N641" s="7" t="s">
        <v>33</v>
      </c>
      <c r="O641" s="9">
        <f>IFERROR(RawSalesTable_[[#This Row],[Profit]]/RawSalesTable_[[#This Row],[Revenue]],0)</f>
        <v>0.14167100640991806</v>
      </c>
    </row>
    <row r="642" spans="1:15">
      <c r="A642" s="7" t="s">
        <v>752</v>
      </c>
      <c r="B642" s="8">
        <v>45925</v>
      </c>
      <c r="C642" s="7" t="s">
        <v>28</v>
      </c>
      <c r="D642" s="7" t="s">
        <v>29</v>
      </c>
      <c r="E642" s="7" t="s">
        <v>44</v>
      </c>
      <c r="F642" s="7" t="s">
        <v>45</v>
      </c>
      <c r="G642" s="7" t="s">
        <v>58</v>
      </c>
      <c r="H642">
        <v>2</v>
      </c>
      <c r="I642">
        <v>28823.64</v>
      </c>
      <c r="J642">
        <v>0.1</v>
      </c>
      <c r="K642">
        <v>51882.55</v>
      </c>
      <c r="L642">
        <v>39341.61</v>
      </c>
      <c r="M642">
        <v>12540.94</v>
      </c>
      <c r="N642" s="7" t="s">
        <v>20</v>
      </c>
      <c r="O642" s="9">
        <f>IFERROR(RawSalesTable_[[#This Row],[Profit]]/RawSalesTable_[[#This Row],[Revenue]],0)</f>
        <v>0.24171788009648715</v>
      </c>
    </row>
    <row r="643" spans="1:15">
      <c r="A643" s="7" t="s">
        <v>754</v>
      </c>
      <c r="B643" s="8">
        <v>45686</v>
      </c>
      <c r="C643" s="7" t="s">
        <v>22</v>
      </c>
      <c r="D643" s="7" t="s">
        <v>23</v>
      </c>
      <c r="E643" s="7" t="s">
        <v>44</v>
      </c>
      <c r="F643" s="7" t="s">
        <v>45</v>
      </c>
      <c r="G643" s="7" t="s">
        <v>70</v>
      </c>
      <c r="H643">
        <v>5</v>
      </c>
      <c r="I643">
        <v>28224.01</v>
      </c>
      <c r="J643">
        <v>0.05</v>
      </c>
      <c r="K643">
        <v>134064.04999999999</v>
      </c>
      <c r="L643">
        <v>97888.28</v>
      </c>
      <c r="M643">
        <v>36175.769999999997</v>
      </c>
      <c r="N643" s="7" t="s">
        <v>59</v>
      </c>
      <c r="O643" s="9">
        <f>IFERROR(RawSalesTable_[[#This Row],[Profit]]/RawSalesTable_[[#This Row],[Revenue]],0)</f>
        <v>0.26983945360445249</v>
      </c>
    </row>
    <row r="644" spans="1:15">
      <c r="A644" s="7" t="s">
        <v>755</v>
      </c>
      <c r="B644" s="8">
        <v>45732</v>
      </c>
      <c r="C644" s="7" t="s">
        <v>15</v>
      </c>
      <c r="D644" s="7" t="s">
        <v>16</v>
      </c>
      <c r="E644" s="7" t="s">
        <v>30</v>
      </c>
      <c r="F644" s="7" t="s">
        <v>40</v>
      </c>
      <c r="G644" s="7" t="s">
        <v>32</v>
      </c>
      <c r="H644">
        <v>8</v>
      </c>
      <c r="I644">
        <v>25216.33</v>
      </c>
      <c r="J644">
        <v>0.05</v>
      </c>
      <c r="K644">
        <v>191644.11</v>
      </c>
      <c r="L644">
        <v>130389.23</v>
      </c>
      <c r="M644">
        <v>61254.879999999997</v>
      </c>
      <c r="N644" s="7" t="s">
        <v>20</v>
      </c>
      <c r="O644" s="9">
        <f>IFERROR(RawSalesTable_[[#This Row],[Profit]]/RawSalesTable_[[#This Row],[Revenue]],0)</f>
        <v>0.31962829434204892</v>
      </c>
    </row>
    <row r="645" spans="1:15">
      <c r="A645" s="7" t="s">
        <v>757</v>
      </c>
      <c r="B645" s="8">
        <v>45685</v>
      </c>
      <c r="C645" s="7" t="s">
        <v>15</v>
      </c>
      <c r="D645" s="7" t="s">
        <v>63</v>
      </c>
      <c r="E645" s="7" t="s">
        <v>30</v>
      </c>
      <c r="F645" s="7" t="s">
        <v>31</v>
      </c>
      <c r="G645" s="7" t="s">
        <v>47</v>
      </c>
      <c r="H645">
        <v>1</v>
      </c>
      <c r="I645">
        <v>142375.82</v>
      </c>
      <c r="J645">
        <v>0.15</v>
      </c>
      <c r="K645">
        <v>121019.45</v>
      </c>
      <c r="L645">
        <v>103618.52</v>
      </c>
      <c r="M645">
        <v>17400.93</v>
      </c>
      <c r="N645" s="7" t="s">
        <v>59</v>
      </c>
      <c r="O645" s="9">
        <f>IFERROR(RawSalesTable_[[#This Row],[Profit]]/RawSalesTable_[[#This Row],[Revenue]],0)</f>
        <v>0.14378622609836683</v>
      </c>
    </row>
    <row r="646" spans="1:15">
      <c r="A646" s="7" t="s">
        <v>758</v>
      </c>
      <c r="B646" s="8">
        <v>45856</v>
      </c>
      <c r="C646" s="7" t="s">
        <v>15</v>
      </c>
      <c r="D646" s="7" t="s">
        <v>63</v>
      </c>
      <c r="E646" s="7" t="s">
        <v>30</v>
      </c>
      <c r="F646" s="7" t="s">
        <v>38</v>
      </c>
      <c r="G646" s="7" t="s">
        <v>64</v>
      </c>
      <c r="H646">
        <v>2</v>
      </c>
      <c r="I646">
        <v>27150.81</v>
      </c>
      <c r="J646">
        <v>0</v>
      </c>
      <c r="K646">
        <v>54301.62</v>
      </c>
      <c r="L646">
        <v>37081.269999999997</v>
      </c>
      <c r="M646">
        <v>17220.349999999999</v>
      </c>
      <c r="N646" s="7" t="s">
        <v>20</v>
      </c>
      <c r="O646" s="9">
        <f>IFERROR(RawSalesTable_[[#This Row],[Profit]]/RawSalesTable_[[#This Row],[Revenue]],0)</f>
        <v>0.31712405633570412</v>
      </c>
    </row>
    <row r="647" spans="1:15">
      <c r="A647" s="7" t="s">
        <v>759</v>
      </c>
      <c r="B647" s="8">
        <v>45981</v>
      </c>
      <c r="C647" s="7" t="s">
        <v>28</v>
      </c>
      <c r="D647" s="7" t="s">
        <v>56</v>
      </c>
      <c r="E647" s="7" t="s">
        <v>17</v>
      </c>
      <c r="F647" s="7" t="s">
        <v>24</v>
      </c>
      <c r="G647" s="7" t="s">
        <v>32</v>
      </c>
      <c r="H647">
        <v>5</v>
      </c>
      <c r="I647">
        <v>87736.89</v>
      </c>
      <c r="J647">
        <v>0</v>
      </c>
      <c r="K647">
        <v>438684.45</v>
      </c>
      <c r="L647">
        <v>351598.2</v>
      </c>
      <c r="M647">
        <v>87086.25</v>
      </c>
      <c r="N647" s="7" t="s">
        <v>20</v>
      </c>
      <c r="O647" s="9">
        <f>IFERROR(RawSalesTable_[[#This Row],[Profit]]/RawSalesTable_[[#This Row],[Revenue]],0)</f>
        <v>0.19851683824215788</v>
      </c>
    </row>
    <row r="648" spans="1:15">
      <c r="A648" s="7" t="s">
        <v>760</v>
      </c>
      <c r="B648" s="8">
        <v>45709</v>
      </c>
      <c r="C648" s="7" t="s">
        <v>22</v>
      </c>
      <c r="D648" s="7" t="s">
        <v>35</v>
      </c>
      <c r="E648" s="7" t="s">
        <v>17</v>
      </c>
      <c r="F648" s="7" t="s">
        <v>114</v>
      </c>
      <c r="G648" s="7" t="s">
        <v>61</v>
      </c>
      <c r="H648">
        <v>8</v>
      </c>
      <c r="I648">
        <v>53971.360000000001</v>
      </c>
      <c r="J648">
        <v>0.05</v>
      </c>
      <c r="K648">
        <v>410182.34</v>
      </c>
      <c r="L648">
        <v>297903.37</v>
      </c>
      <c r="M648">
        <v>112278.97</v>
      </c>
      <c r="N648" s="7" t="s">
        <v>59</v>
      </c>
      <c r="O648" s="9">
        <f>IFERROR(RawSalesTable_[[#This Row],[Profit]]/RawSalesTable_[[#This Row],[Revenue]],0)</f>
        <v>0.27372941019352515</v>
      </c>
    </row>
    <row r="649" spans="1:15">
      <c r="A649" s="7" t="s">
        <v>761</v>
      </c>
      <c r="B649" s="8">
        <v>45986</v>
      </c>
      <c r="C649" s="7" t="s">
        <v>15</v>
      </c>
      <c r="D649" s="7" t="s">
        <v>16</v>
      </c>
      <c r="E649" s="7" t="s">
        <v>30</v>
      </c>
      <c r="F649" s="7" t="s">
        <v>40</v>
      </c>
      <c r="G649" s="7" t="s">
        <v>61</v>
      </c>
      <c r="H649">
        <v>6</v>
      </c>
      <c r="I649">
        <v>24316.79</v>
      </c>
      <c r="J649">
        <v>0</v>
      </c>
      <c r="K649">
        <v>145900.74</v>
      </c>
      <c r="L649">
        <v>97012.47</v>
      </c>
      <c r="M649">
        <v>48888.27</v>
      </c>
      <c r="N649" s="7" t="s">
        <v>20</v>
      </c>
      <c r="O649" s="9">
        <f>IFERROR(RawSalesTable_[[#This Row],[Profit]]/RawSalesTable_[[#This Row],[Revenue]],0)</f>
        <v>0.33507897218341731</v>
      </c>
    </row>
    <row r="650" spans="1:15">
      <c r="A650" s="7" t="s">
        <v>762</v>
      </c>
      <c r="B650" s="8">
        <v>45714</v>
      </c>
      <c r="C650" s="7" t="s">
        <v>15</v>
      </c>
      <c r="D650" s="7" t="s">
        <v>16</v>
      </c>
      <c r="E650" s="7" t="s">
        <v>17</v>
      </c>
      <c r="F650" s="7" t="s">
        <v>114</v>
      </c>
      <c r="G650" s="7" t="s">
        <v>61</v>
      </c>
      <c r="H650">
        <v>4</v>
      </c>
      <c r="I650">
        <v>53067.42</v>
      </c>
      <c r="J650">
        <v>0.05</v>
      </c>
      <c r="K650">
        <v>201656.2</v>
      </c>
      <c r="L650">
        <v>147504.76999999999</v>
      </c>
      <c r="M650">
        <v>54151.43</v>
      </c>
      <c r="N650" s="7" t="s">
        <v>26</v>
      </c>
      <c r="O650" s="9">
        <f>IFERROR(RawSalesTable_[[#This Row],[Profit]]/RawSalesTable_[[#This Row],[Revenue]],0)</f>
        <v>0.26853342470997665</v>
      </c>
    </row>
    <row r="651" spans="1:15">
      <c r="A651" s="7" t="s">
        <v>763</v>
      </c>
      <c r="B651" s="8">
        <v>45746</v>
      </c>
      <c r="C651" s="7" t="s">
        <v>15</v>
      </c>
      <c r="D651" s="7" t="s">
        <v>43</v>
      </c>
      <c r="E651" s="7" t="s">
        <v>44</v>
      </c>
      <c r="F651" s="7" t="s">
        <v>53</v>
      </c>
      <c r="G651" s="7" t="s">
        <v>32</v>
      </c>
      <c r="H651">
        <v>6</v>
      </c>
      <c r="I651">
        <v>8434.0300000000007</v>
      </c>
      <c r="J651">
        <v>0.15</v>
      </c>
      <c r="K651">
        <v>43013.55</v>
      </c>
      <c r="L651">
        <v>28792.76</v>
      </c>
      <c r="M651">
        <v>14220.79</v>
      </c>
      <c r="N651" s="7" t="s">
        <v>59</v>
      </c>
      <c r="O651" s="9">
        <f>IFERROR(RawSalesTable_[[#This Row],[Profit]]/RawSalesTable_[[#This Row],[Revenue]],0)</f>
        <v>0.33061186533080855</v>
      </c>
    </row>
    <row r="652" spans="1:15">
      <c r="A652" s="7" t="s">
        <v>764</v>
      </c>
      <c r="B652" s="8">
        <v>45950</v>
      </c>
      <c r="C652" s="7" t="s">
        <v>22</v>
      </c>
      <c r="D652" s="7" t="s">
        <v>23</v>
      </c>
      <c r="E652" s="7" t="s">
        <v>49</v>
      </c>
      <c r="F652" s="7" t="s">
        <v>57</v>
      </c>
      <c r="G652" s="7" t="s">
        <v>47</v>
      </c>
      <c r="H652">
        <v>3</v>
      </c>
      <c r="I652">
        <v>11304.03</v>
      </c>
      <c r="J652">
        <v>0.05</v>
      </c>
      <c r="K652">
        <v>32216.49</v>
      </c>
      <c r="L652">
        <v>20204.59</v>
      </c>
      <c r="M652">
        <v>12011.9</v>
      </c>
      <c r="N652" s="7" t="s">
        <v>33</v>
      </c>
      <c r="O652" s="9">
        <f>IFERROR(RawSalesTable_[[#This Row],[Profit]]/RawSalesTable_[[#This Row],[Revenue]],0)</f>
        <v>0.37284943207655458</v>
      </c>
    </row>
    <row r="653" spans="1:15">
      <c r="A653" s="7" t="s">
        <v>765</v>
      </c>
      <c r="B653" s="8">
        <v>45683</v>
      </c>
      <c r="C653" s="7" t="s">
        <v>22</v>
      </c>
      <c r="D653" s="7" t="s">
        <v>37</v>
      </c>
      <c r="E653" s="7" t="s">
        <v>44</v>
      </c>
      <c r="F653" s="7" t="s">
        <v>80</v>
      </c>
      <c r="G653" s="7" t="s">
        <v>25</v>
      </c>
      <c r="H653">
        <v>8</v>
      </c>
      <c r="I653">
        <v>40924.07</v>
      </c>
      <c r="J653">
        <v>0.15</v>
      </c>
      <c r="K653">
        <v>278283.68</v>
      </c>
      <c r="L653">
        <v>255347.78</v>
      </c>
      <c r="M653">
        <v>22935.9</v>
      </c>
      <c r="N653" s="7" t="s">
        <v>20</v>
      </c>
      <c r="O653" s="9">
        <f>IFERROR(RawSalesTable_[[#This Row],[Profit]]/RawSalesTable_[[#This Row],[Revenue]],0)</f>
        <v>8.2419134316464415E-2</v>
      </c>
    </row>
    <row r="654" spans="1:15">
      <c r="A654" s="7" t="s">
        <v>766</v>
      </c>
      <c r="B654" s="8">
        <v>45927</v>
      </c>
      <c r="C654" s="7" t="s">
        <v>15</v>
      </c>
      <c r="D654" s="7" t="s">
        <v>63</v>
      </c>
      <c r="E654" s="7" t="s">
        <v>44</v>
      </c>
      <c r="F654" s="7" t="s">
        <v>80</v>
      </c>
      <c r="G654" s="7" t="s">
        <v>25</v>
      </c>
      <c r="H654">
        <v>6</v>
      </c>
      <c r="I654">
        <v>40730.449999999997</v>
      </c>
      <c r="J654">
        <v>0.1</v>
      </c>
      <c r="K654">
        <v>219944.43</v>
      </c>
      <c r="L654">
        <v>181947.9</v>
      </c>
      <c r="M654">
        <v>37996.53</v>
      </c>
      <c r="N654" s="7" t="s">
        <v>20</v>
      </c>
      <c r="O654" s="9">
        <f>IFERROR(RawSalesTable_[[#This Row],[Profit]]/RawSalesTable_[[#This Row],[Revenue]],0)</f>
        <v>0.17275513637694759</v>
      </c>
    </row>
    <row r="655" spans="1:15">
      <c r="A655" s="7" t="s">
        <v>767</v>
      </c>
      <c r="B655" s="8">
        <v>45911</v>
      </c>
      <c r="C655" s="7" t="s">
        <v>15</v>
      </c>
      <c r="D655" s="7" t="s">
        <v>63</v>
      </c>
      <c r="E655" s="7" t="s">
        <v>17</v>
      </c>
      <c r="F655" s="7" t="s">
        <v>24</v>
      </c>
      <c r="G655" s="7" t="s">
        <v>25</v>
      </c>
      <c r="H655">
        <v>4</v>
      </c>
      <c r="I655">
        <v>87444.81</v>
      </c>
      <c r="J655">
        <v>0.05</v>
      </c>
      <c r="K655">
        <v>332290.28000000003</v>
      </c>
      <c r="L655">
        <v>269322.8</v>
      </c>
      <c r="M655">
        <v>62967.48</v>
      </c>
      <c r="N655" s="7" t="s">
        <v>26</v>
      </c>
      <c r="O655" s="9">
        <f>IFERROR(RawSalesTable_[[#This Row],[Profit]]/RawSalesTable_[[#This Row],[Revenue]],0)</f>
        <v>0.18949540143033974</v>
      </c>
    </row>
    <row r="656" spans="1:15">
      <c r="A656" s="7" t="s">
        <v>768</v>
      </c>
      <c r="B656" s="8">
        <v>45672</v>
      </c>
      <c r="C656" s="7" t="s">
        <v>28</v>
      </c>
      <c r="D656" s="7" t="s">
        <v>52</v>
      </c>
      <c r="E656" s="7" t="s">
        <v>44</v>
      </c>
      <c r="F656" s="7" t="s">
        <v>69</v>
      </c>
      <c r="G656" s="7" t="s">
        <v>58</v>
      </c>
      <c r="H656">
        <v>4</v>
      </c>
      <c r="I656">
        <v>37503.449999999997</v>
      </c>
      <c r="J656">
        <v>0.05</v>
      </c>
      <c r="K656">
        <v>142513.10999999999</v>
      </c>
      <c r="L656">
        <v>106649.13</v>
      </c>
      <c r="M656">
        <v>35863.980000000003</v>
      </c>
      <c r="N656" s="7" t="s">
        <v>59</v>
      </c>
      <c r="O656" s="9">
        <f>IFERROR(RawSalesTable_[[#This Row],[Profit]]/RawSalesTable_[[#This Row],[Revenue]],0)</f>
        <v>0.2516539004727355</v>
      </c>
    </row>
    <row r="657" spans="1:15">
      <c r="A657" s="7" t="s">
        <v>769</v>
      </c>
      <c r="B657" s="8">
        <v>45663</v>
      </c>
      <c r="C657" s="7" t="s">
        <v>22</v>
      </c>
      <c r="D657" s="7" t="s">
        <v>37</v>
      </c>
      <c r="E657" s="7" t="s">
        <v>49</v>
      </c>
      <c r="F657" s="7" t="s">
        <v>1590</v>
      </c>
      <c r="G657" s="7" t="s">
        <v>70</v>
      </c>
      <c r="H657">
        <v>6</v>
      </c>
      <c r="I657">
        <v>4255.71</v>
      </c>
      <c r="J657">
        <v>0.15</v>
      </c>
      <c r="K657">
        <v>21704.12</v>
      </c>
      <c r="L657">
        <v>12626.1</v>
      </c>
      <c r="M657">
        <v>9078.02</v>
      </c>
      <c r="N657" s="7" t="s">
        <v>26</v>
      </c>
      <c r="O657" s="9">
        <f>IFERROR(RawSalesTable_[[#This Row],[Profit]]/RawSalesTable_[[#This Row],[Revenue]],0)</f>
        <v>0.41826252342873155</v>
      </c>
    </row>
    <row r="658" spans="1:15">
      <c r="A658" s="7" t="s">
        <v>770</v>
      </c>
      <c r="B658" s="8">
        <v>45695</v>
      </c>
      <c r="C658" s="7" t="s">
        <v>28</v>
      </c>
      <c r="D658" s="7" t="s">
        <v>29</v>
      </c>
      <c r="E658" s="7" t="s">
        <v>49</v>
      </c>
      <c r="F658" s="7" t="s">
        <v>1590</v>
      </c>
      <c r="G658" s="7" t="s">
        <v>19</v>
      </c>
      <c r="H658">
        <v>7</v>
      </c>
      <c r="I658">
        <v>4340.08</v>
      </c>
      <c r="J658">
        <v>0.15</v>
      </c>
      <c r="K658">
        <v>25823.48</v>
      </c>
      <c r="L658">
        <v>14873.51</v>
      </c>
      <c r="M658">
        <v>10949.97</v>
      </c>
      <c r="N658" s="7" t="s">
        <v>33</v>
      </c>
      <c r="O658" s="9">
        <f>IFERROR(RawSalesTable_[[#This Row],[Profit]]/RawSalesTable_[[#This Row],[Revenue]],0)</f>
        <v>0.42403154028814083</v>
      </c>
    </row>
    <row r="659" spans="1:15">
      <c r="A659" s="7" t="s">
        <v>771</v>
      </c>
      <c r="B659" s="8">
        <v>45964</v>
      </c>
      <c r="C659" s="7" t="s">
        <v>22</v>
      </c>
      <c r="D659" s="7" t="s">
        <v>35</v>
      </c>
      <c r="E659" s="7" t="s">
        <v>44</v>
      </c>
      <c r="F659" s="7" t="s">
        <v>53</v>
      </c>
      <c r="G659" s="7" t="s">
        <v>64</v>
      </c>
      <c r="H659">
        <v>6</v>
      </c>
      <c r="I659">
        <v>9175.57</v>
      </c>
      <c r="J659">
        <v>0.15</v>
      </c>
      <c r="K659">
        <v>46795.41</v>
      </c>
      <c r="L659">
        <v>30508.52</v>
      </c>
      <c r="M659">
        <v>16286.89</v>
      </c>
      <c r="N659" s="7" t="s">
        <v>33</v>
      </c>
      <c r="O659" s="9">
        <f>IFERROR(RawSalesTable_[[#This Row],[Profit]]/RawSalesTable_[[#This Row],[Revenue]],0)</f>
        <v>0.34804460522944447</v>
      </c>
    </row>
    <row r="660" spans="1:15">
      <c r="A660" s="7" t="s">
        <v>772</v>
      </c>
      <c r="B660" s="8">
        <v>45944</v>
      </c>
      <c r="C660" s="7" t="s">
        <v>28</v>
      </c>
      <c r="D660" s="7" t="s">
        <v>29</v>
      </c>
      <c r="E660" s="7" t="s">
        <v>49</v>
      </c>
      <c r="F660" s="7" t="s">
        <v>57</v>
      </c>
      <c r="G660" s="7" t="s">
        <v>64</v>
      </c>
      <c r="H660">
        <v>7</v>
      </c>
      <c r="I660">
        <v>11815.12</v>
      </c>
      <c r="J660">
        <v>0</v>
      </c>
      <c r="K660">
        <v>82705.84</v>
      </c>
      <c r="L660">
        <v>47218.26</v>
      </c>
      <c r="M660">
        <v>35487.58</v>
      </c>
      <c r="N660" s="7" t="s">
        <v>26</v>
      </c>
      <c r="O660" s="9">
        <f>IFERROR(RawSalesTable_[[#This Row],[Profit]]/RawSalesTable_[[#This Row],[Revenue]],0)</f>
        <v>0.4290819124743791</v>
      </c>
    </row>
    <row r="661" spans="1:15">
      <c r="A661" s="7" t="s">
        <v>773</v>
      </c>
      <c r="B661" s="8">
        <v>45879</v>
      </c>
      <c r="C661" s="7" t="s">
        <v>28</v>
      </c>
      <c r="D661" s="7" t="s">
        <v>52</v>
      </c>
      <c r="E661" s="7" t="s">
        <v>49</v>
      </c>
      <c r="F661" s="7" t="s">
        <v>57</v>
      </c>
      <c r="G661" s="7" t="s">
        <v>61</v>
      </c>
      <c r="H661">
        <v>8</v>
      </c>
      <c r="I661">
        <v>10822.73</v>
      </c>
      <c r="J661">
        <v>0.05</v>
      </c>
      <c r="K661">
        <v>82252.75</v>
      </c>
      <c r="L661">
        <v>53025.33</v>
      </c>
      <c r="M661">
        <v>29227.42</v>
      </c>
      <c r="N661" s="7" t="s">
        <v>59</v>
      </c>
      <c r="O661" s="9">
        <f>IFERROR(RawSalesTable_[[#This Row],[Profit]]/RawSalesTable_[[#This Row],[Revenue]],0)</f>
        <v>0.355336690870518</v>
      </c>
    </row>
    <row r="662" spans="1:15">
      <c r="A662" s="7" t="s">
        <v>774</v>
      </c>
      <c r="B662" s="8">
        <v>45878</v>
      </c>
      <c r="C662" s="7" t="s">
        <v>22</v>
      </c>
      <c r="D662" s="7" t="s">
        <v>35</v>
      </c>
      <c r="E662" s="7" t="s">
        <v>17</v>
      </c>
      <c r="F662" s="7" t="s">
        <v>24</v>
      </c>
      <c r="G662" s="7" t="s">
        <v>58</v>
      </c>
      <c r="H662">
        <v>8</v>
      </c>
      <c r="I662">
        <v>97471.12</v>
      </c>
      <c r="J662">
        <v>0.05</v>
      </c>
      <c r="K662">
        <v>740780.51</v>
      </c>
      <c r="L662">
        <v>556157.11</v>
      </c>
      <c r="M662">
        <v>184623.4</v>
      </c>
      <c r="N662" s="7" t="s">
        <v>59</v>
      </c>
      <c r="O662" s="9">
        <f>IFERROR(RawSalesTable_[[#This Row],[Profit]]/RawSalesTable_[[#This Row],[Revenue]],0)</f>
        <v>0.24922820931128439</v>
      </c>
    </row>
    <row r="663" spans="1:15">
      <c r="A663" s="7" t="s">
        <v>775</v>
      </c>
      <c r="B663" s="8">
        <v>45735</v>
      </c>
      <c r="C663" s="7" t="s">
        <v>15</v>
      </c>
      <c r="D663" s="7" t="s">
        <v>63</v>
      </c>
      <c r="E663" s="7" t="s">
        <v>30</v>
      </c>
      <c r="F663" s="7" t="s">
        <v>40</v>
      </c>
      <c r="G663" s="7" t="s">
        <v>70</v>
      </c>
      <c r="H663">
        <v>3</v>
      </c>
      <c r="I663">
        <v>23776.93</v>
      </c>
      <c r="J663">
        <v>0.05</v>
      </c>
      <c r="K663">
        <v>67764.25</v>
      </c>
      <c r="L663">
        <v>48511.88</v>
      </c>
      <c r="M663">
        <v>19252.37</v>
      </c>
      <c r="N663" s="7" t="s">
        <v>33</v>
      </c>
      <c r="O663" s="9">
        <f>IFERROR(RawSalesTable_[[#This Row],[Profit]]/RawSalesTable_[[#This Row],[Revenue]],0)</f>
        <v>0.28410806583117204</v>
      </c>
    </row>
    <row r="664" spans="1:15">
      <c r="A664" s="7" t="s">
        <v>776</v>
      </c>
      <c r="B664" s="8">
        <v>45897</v>
      </c>
      <c r="C664" s="7" t="s">
        <v>22</v>
      </c>
      <c r="D664" s="7" t="s">
        <v>23</v>
      </c>
      <c r="E664" s="7" t="s">
        <v>17</v>
      </c>
      <c r="F664" s="7" t="s">
        <v>24</v>
      </c>
      <c r="G664" s="7" t="s">
        <v>25</v>
      </c>
      <c r="H664">
        <v>3</v>
      </c>
      <c r="I664">
        <v>85167.89</v>
      </c>
      <c r="J664">
        <v>0.05</v>
      </c>
      <c r="K664">
        <v>242728.49</v>
      </c>
      <c r="L664">
        <v>200215.56</v>
      </c>
      <c r="M664">
        <v>42512.93</v>
      </c>
      <c r="N664" s="7" t="s">
        <v>33</v>
      </c>
      <c r="O664" s="9">
        <f>IFERROR(RawSalesTable_[[#This Row],[Profit]]/RawSalesTable_[[#This Row],[Revenue]],0)</f>
        <v>0.17514602426769105</v>
      </c>
    </row>
    <row r="665" spans="1:15">
      <c r="A665" s="7" t="s">
        <v>777</v>
      </c>
      <c r="B665" s="8">
        <v>45733</v>
      </c>
      <c r="C665" s="7" t="s">
        <v>28</v>
      </c>
      <c r="D665" s="7" t="s">
        <v>52</v>
      </c>
      <c r="E665" s="7" t="s">
        <v>49</v>
      </c>
      <c r="F665" s="7" t="s">
        <v>57</v>
      </c>
      <c r="G665" s="7" t="s">
        <v>19</v>
      </c>
      <c r="H665">
        <v>8</v>
      </c>
      <c r="I665">
        <v>11422.28</v>
      </c>
      <c r="J665">
        <v>0</v>
      </c>
      <c r="K665">
        <v>91378.240000000005</v>
      </c>
      <c r="L665">
        <v>53518.85</v>
      </c>
      <c r="M665">
        <v>37859.39</v>
      </c>
      <c r="N665" s="7" t="s">
        <v>59</v>
      </c>
      <c r="O665" s="9">
        <f>IFERROR(RawSalesTable_[[#This Row],[Profit]]/RawSalesTable_[[#This Row],[Revenue]],0)</f>
        <v>0.41431515861982016</v>
      </c>
    </row>
    <row r="666" spans="1:15">
      <c r="A666" s="7" t="s">
        <v>778</v>
      </c>
      <c r="B666" s="8">
        <v>45997</v>
      </c>
      <c r="C666" s="7" t="s">
        <v>22</v>
      </c>
      <c r="D666" s="7" t="s">
        <v>23</v>
      </c>
      <c r="E666" s="7" t="s">
        <v>30</v>
      </c>
      <c r="F666" s="7" t="s">
        <v>86</v>
      </c>
      <c r="G666" s="7" t="s">
        <v>47</v>
      </c>
      <c r="H666">
        <v>3</v>
      </c>
      <c r="I666">
        <v>34319.67</v>
      </c>
      <c r="J666">
        <v>0.05</v>
      </c>
      <c r="K666">
        <v>97811.06</v>
      </c>
      <c r="L666">
        <v>68136.34</v>
      </c>
      <c r="M666">
        <v>29674.720000000001</v>
      </c>
      <c r="N666" s="7" t="s">
        <v>33</v>
      </c>
      <c r="O666" s="9">
        <f>IFERROR(RawSalesTable_[[#This Row],[Profit]]/RawSalesTable_[[#This Row],[Revenue]],0)</f>
        <v>0.30338818534427497</v>
      </c>
    </row>
    <row r="667" spans="1:15">
      <c r="A667" s="7" t="s">
        <v>779</v>
      </c>
      <c r="B667" s="8">
        <v>45826</v>
      </c>
      <c r="C667" s="7" t="s">
        <v>15</v>
      </c>
      <c r="D667" s="7" t="s">
        <v>43</v>
      </c>
      <c r="E667" s="7" t="s">
        <v>44</v>
      </c>
      <c r="F667" s="7" t="s">
        <v>53</v>
      </c>
      <c r="G667" s="7" t="s">
        <v>64</v>
      </c>
      <c r="H667">
        <v>2</v>
      </c>
      <c r="I667">
        <v>8154.77</v>
      </c>
      <c r="J667">
        <v>0.05</v>
      </c>
      <c r="K667">
        <v>15494.06</v>
      </c>
      <c r="L667">
        <v>9970.36</v>
      </c>
      <c r="M667">
        <v>5523.7</v>
      </c>
      <c r="N667" s="7" t="s">
        <v>59</v>
      </c>
      <c r="O667" s="9">
        <f>IFERROR(RawSalesTable_[[#This Row],[Profit]]/RawSalesTable_[[#This Row],[Revenue]],0)</f>
        <v>0.35650436360773097</v>
      </c>
    </row>
    <row r="668" spans="1:15">
      <c r="A668" s="7" t="s">
        <v>780</v>
      </c>
      <c r="B668" s="8">
        <v>45736</v>
      </c>
      <c r="C668" s="7" t="s">
        <v>15</v>
      </c>
      <c r="D668" s="7" t="s">
        <v>43</v>
      </c>
      <c r="E668" s="7" t="s">
        <v>17</v>
      </c>
      <c r="F668" s="7" t="s">
        <v>114</v>
      </c>
      <c r="G668" s="7" t="s">
        <v>64</v>
      </c>
      <c r="H668">
        <v>6</v>
      </c>
      <c r="I668">
        <v>52751.62</v>
      </c>
      <c r="J668">
        <v>0</v>
      </c>
      <c r="K668">
        <v>316509.71999999997</v>
      </c>
      <c r="L668">
        <v>225260.86</v>
      </c>
      <c r="M668">
        <v>91248.86</v>
      </c>
      <c r="N668" s="7" t="s">
        <v>33</v>
      </c>
      <c r="O668" s="9">
        <f>IFERROR(RawSalesTable_[[#This Row],[Profit]]/RawSalesTable_[[#This Row],[Revenue]],0)</f>
        <v>0.28829718088910511</v>
      </c>
    </row>
    <row r="669" spans="1:15">
      <c r="A669" s="7" t="s">
        <v>781</v>
      </c>
      <c r="B669" s="8">
        <v>45680</v>
      </c>
      <c r="C669" s="7" t="s">
        <v>28</v>
      </c>
      <c r="D669" s="7" t="s">
        <v>29</v>
      </c>
      <c r="E669" s="7" t="s">
        <v>49</v>
      </c>
      <c r="F669" s="7" t="s">
        <v>107</v>
      </c>
      <c r="G669" s="7" t="s">
        <v>70</v>
      </c>
      <c r="H669">
        <v>5</v>
      </c>
      <c r="I669">
        <v>5278.38</v>
      </c>
      <c r="J669">
        <v>0</v>
      </c>
      <c r="K669">
        <v>26391.9</v>
      </c>
      <c r="L669">
        <v>13406.31</v>
      </c>
      <c r="M669">
        <v>12985.59</v>
      </c>
      <c r="N669" s="7" t="s">
        <v>59</v>
      </c>
      <c r="O669" s="9">
        <f>IFERROR(RawSalesTable_[[#This Row],[Profit]]/RawSalesTable_[[#This Row],[Revenue]],0)</f>
        <v>0.49202937264842622</v>
      </c>
    </row>
    <row r="670" spans="1:15">
      <c r="A670" s="7" t="s">
        <v>782</v>
      </c>
      <c r="B670" s="8">
        <v>45686</v>
      </c>
      <c r="C670" s="7" t="s">
        <v>15</v>
      </c>
      <c r="D670" s="7" t="s">
        <v>43</v>
      </c>
      <c r="E670" s="7" t="s">
        <v>44</v>
      </c>
      <c r="F670" s="7" t="s">
        <v>45</v>
      </c>
      <c r="G670" s="7" t="s">
        <v>19</v>
      </c>
      <c r="H670">
        <v>1</v>
      </c>
      <c r="I670">
        <v>29875.1</v>
      </c>
      <c r="J670">
        <v>0.05</v>
      </c>
      <c r="K670">
        <v>28381.34</v>
      </c>
      <c r="L670">
        <v>18859.82</v>
      </c>
      <c r="M670">
        <v>9521.52</v>
      </c>
      <c r="N670" s="7" t="s">
        <v>20</v>
      </c>
      <c r="O670" s="9">
        <f>IFERROR(RawSalesTable_[[#This Row],[Profit]]/RawSalesTable_[[#This Row],[Revenue]],0)</f>
        <v>0.33548521669519482</v>
      </c>
    </row>
    <row r="671" spans="1:15">
      <c r="A671" s="7" t="s">
        <v>783</v>
      </c>
      <c r="B671" s="8">
        <v>45764</v>
      </c>
      <c r="C671" s="7" t="s">
        <v>22</v>
      </c>
      <c r="D671" s="7" t="s">
        <v>35</v>
      </c>
      <c r="E671" s="7" t="s">
        <v>30</v>
      </c>
      <c r="F671" s="7" t="s">
        <v>86</v>
      </c>
      <c r="G671" s="7" t="s">
        <v>61</v>
      </c>
      <c r="H671">
        <v>4</v>
      </c>
      <c r="I671">
        <v>35455.46</v>
      </c>
      <c r="J671">
        <v>0.05</v>
      </c>
      <c r="K671">
        <v>134730.75</v>
      </c>
      <c r="L671">
        <v>87861.89</v>
      </c>
      <c r="M671">
        <v>46868.86</v>
      </c>
      <c r="N671" s="7" t="s">
        <v>20</v>
      </c>
      <c r="O671" s="9">
        <f>IFERROR(RawSalesTable_[[#This Row],[Profit]]/RawSalesTable_[[#This Row],[Revenue]],0)</f>
        <v>0.34787054922502841</v>
      </c>
    </row>
    <row r="672" spans="1:15">
      <c r="A672" s="7" t="s">
        <v>784</v>
      </c>
      <c r="B672" s="8">
        <v>45816</v>
      </c>
      <c r="C672" s="7" t="s">
        <v>28</v>
      </c>
      <c r="D672" s="7" t="s">
        <v>56</v>
      </c>
      <c r="E672" s="7" t="s">
        <v>44</v>
      </c>
      <c r="F672" s="7" t="s">
        <v>80</v>
      </c>
      <c r="G672" s="7" t="s">
        <v>61</v>
      </c>
      <c r="H672">
        <v>5</v>
      </c>
      <c r="I672">
        <v>42937.01</v>
      </c>
      <c r="J672">
        <v>0.05</v>
      </c>
      <c r="K672">
        <v>203950.8</v>
      </c>
      <c r="L672">
        <v>158334.39999999999</v>
      </c>
      <c r="M672">
        <v>45616.4</v>
      </c>
      <c r="N672" s="7" t="s">
        <v>59</v>
      </c>
      <c r="O672" s="9">
        <f>IFERROR(RawSalesTable_[[#This Row],[Profit]]/RawSalesTable_[[#This Row],[Revenue]],0)</f>
        <v>0.22366374635451297</v>
      </c>
    </row>
    <row r="673" spans="1:15">
      <c r="A673" s="7" t="s">
        <v>785</v>
      </c>
      <c r="B673" s="8">
        <v>45946</v>
      </c>
      <c r="C673" s="7" t="s">
        <v>15</v>
      </c>
      <c r="D673" s="7" t="s">
        <v>16</v>
      </c>
      <c r="E673" s="7" t="s">
        <v>30</v>
      </c>
      <c r="F673" s="7" t="s">
        <v>86</v>
      </c>
      <c r="G673" s="7" t="s">
        <v>25</v>
      </c>
      <c r="H673">
        <v>8</v>
      </c>
      <c r="I673">
        <v>32711.94</v>
      </c>
      <c r="J673">
        <v>0.05</v>
      </c>
      <c r="K673">
        <v>248610.74</v>
      </c>
      <c r="L673">
        <v>180603.14</v>
      </c>
      <c r="M673">
        <v>68007.600000000006</v>
      </c>
      <c r="N673" s="7" t="s">
        <v>33</v>
      </c>
      <c r="O673" s="9">
        <f>IFERROR(RawSalesTable_[[#This Row],[Profit]]/RawSalesTable_[[#This Row],[Revenue]],0)</f>
        <v>0.27355053124414502</v>
      </c>
    </row>
    <row r="674" spans="1:15">
      <c r="A674" s="7" t="s">
        <v>786</v>
      </c>
      <c r="B674" s="8">
        <v>45895</v>
      </c>
      <c r="C674" s="7" t="s">
        <v>28</v>
      </c>
      <c r="D674" s="7" t="s">
        <v>56</v>
      </c>
      <c r="E674" s="7" t="s">
        <v>44</v>
      </c>
      <c r="F674" s="7" t="s">
        <v>53</v>
      </c>
      <c r="G674" s="7" t="s">
        <v>47</v>
      </c>
      <c r="H674">
        <v>7</v>
      </c>
      <c r="I674">
        <v>7946.41</v>
      </c>
      <c r="J674">
        <v>0.1</v>
      </c>
      <c r="K674">
        <v>50062.38</v>
      </c>
      <c r="L674">
        <v>34091.53</v>
      </c>
      <c r="M674">
        <v>15970.85</v>
      </c>
      <c r="N674" s="7" t="s">
        <v>26</v>
      </c>
      <c r="O674" s="9">
        <f>IFERROR(RawSalesTable_[[#This Row],[Profit]]/RawSalesTable_[[#This Row],[Revenue]],0)</f>
        <v>0.31901899190569849</v>
      </c>
    </row>
    <row r="675" spans="1:15">
      <c r="A675" s="7" t="s">
        <v>787</v>
      </c>
      <c r="B675" s="8">
        <v>45723</v>
      </c>
      <c r="C675" s="7" t="s">
        <v>28</v>
      </c>
      <c r="D675" s="7" t="s">
        <v>29</v>
      </c>
      <c r="E675" s="7" t="s">
        <v>17</v>
      </c>
      <c r="F675" s="7" t="s">
        <v>18</v>
      </c>
      <c r="G675" s="7" t="s">
        <v>58</v>
      </c>
      <c r="H675">
        <v>8</v>
      </c>
      <c r="I675">
        <v>14354.66</v>
      </c>
      <c r="J675">
        <v>0.05</v>
      </c>
      <c r="K675">
        <v>109095.42</v>
      </c>
      <c r="L675">
        <v>65011.41</v>
      </c>
      <c r="M675">
        <v>44084.01</v>
      </c>
      <c r="N675" s="7" t="s">
        <v>26</v>
      </c>
      <c r="O675" s="9">
        <f>IFERROR(RawSalesTable_[[#This Row],[Profit]]/RawSalesTable_[[#This Row],[Revenue]],0)</f>
        <v>0.40408671601429286</v>
      </c>
    </row>
    <row r="676" spans="1:15">
      <c r="A676" s="7" t="s">
        <v>789</v>
      </c>
      <c r="B676" s="8">
        <v>45875</v>
      </c>
      <c r="C676" s="7" t="s">
        <v>15</v>
      </c>
      <c r="D676" s="7" t="s">
        <v>63</v>
      </c>
      <c r="E676" s="7" t="s">
        <v>30</v>
      </c>
      <c r="F676" s="7" t="s">
        <v>31</v>
      </c>
      <c r="G676" s="7" t="s">
        <v>25</v>
      </c>
      <c r="H676">
        <v>2</v>
      </c>
      <c r="I676">
        <v>144013.72</v>
      </c>
      <c r="J676">
        <v>0.1</v>
      </c>
      <c r="K676">
        <v>259224.7</v>
      </c>
      <c r="L676">
        <v>197461.92</v>
      </c>
      <c r="M676">
        <v>61762.78</v>
      </c>
      <c r="N676" s="7" t="s">
        <v>33</v>
      </c>
      <c r="O676" s="9">
        <f>IFERROR(RawSalesTable_[[#This Row],[Profit]]/RawSalesTable_[[#This Row],[Revenue]],0)</f>
        <v>0.23825962572239451</v>
      </c>
    </row>
    <row r="677" spans="1:15">
      <c r="A677" s="7" t="s">
        <v>790</v>
      </c>
      <c r="B677" s="8">
        <v>45996</v>
      </c>
      <c r="C677" s="7" t="s">
        <v>28</v>
      </c>
      <c r="D677" s="7" t="s">
        <v>29</v>
      </c>
      <c r="E677" s="7" t="s">
        <v>30</v>
      </c>
      <c r="F677" s="7" t="s">
        <v>38</v>
      </c>
      <c r="G677" s="7" t="s">
        <v>70</v>
      </c>
      <c r="H677">
        <v>5</v>
      </c>
      <c r="I677">
        <v>27369.65</v>
      </c>
      <c r="J677">
        <v>0.1</v>
      </c>
      <c r="K677">
        <v>123163.43</v>
      </c>
      <c r="L677">
        <v>87402.49</v>
      </c>
      <c r="M677">
        <v>35760.94</v>
      </c>
      <c r="N677" s="7" t="s">
        <v>26</v>
      </c>
      <c r="O677" s="9">
        <f>IFERROR(RawSalesTable_[[#This Row],[Profit]]/RawSalesTable_[[#This Row],[Revenue]],0)</f>
        <v>0.29035355705829241</v>
      </c>
    </row>
    <row r="678" spans="1:15">
      <c r="A678" s="7" t="s">
        <v>791</v>
      </c>
      <c r="B678" s="8">
        <v>45890</v>
      </c>
      <c r="C678" s="7" t="s">
        <v>22</v>
      </c>
      <c r="D678" s="7" t="s">
        <v>35</v>
      </c>
      <c r="E678" s="7" t="s">
        <v>17</v>
      </c>
      <c r="F678" s="7" t="s">
        <v>75</v>
      </c>
      <c r="G678" s="7" t="s">
        <v>70</v>
      </c>
      <c r="H678">
        <v>7</v>
      </c>
      <c r="I678">
        <v>196151.96</v>
      </c>
      <c r="J678">
        <v>0.05</v>
      </c>
      <c r="K678">
        <v>1304410.53</v>
      </c>
      <c r="L678">
        <v>986024.39</v>
      </c>
      <c r="M678">
        <v>318386.14</v>
      </c>
      <c r="N678" s="7" t="s">
        <v>59</v>
      </c>
      <c r="O678" s="9">
        <f>IFERROR(RawSalesTable_[[#This Row],[Profit]]/RawSalesTable_[[#This Row],[Revenue]],0)</f>
        <v>0.24408430680178578</v>
      </c>
    </row>
    <row r="679" spans="1:15">
      <c r="A679" s="7" t="s">
        <v>792</v>
      </c>
      <c r="B679" s="8">
        <v>46002</v>
      </c>
      <c r="C679" s="7" t="s">
        <v>28</v>
      </c>
      <c r="D679" s="7" t="s">
        <v>52</v>
      </c>
      <c r="E679" s="7" t="s">
        <v>44</v>
      </c>
      <c r="F679" s="7" t="s">
        <v>45</v>
      </c>
      <c r="G679" s="7" t="s">
        <v>19</v>
      </c>
      <c r="H679">
        <v>2</v>
      </c>
      <c r="I679">
        <v>29626.45</v>
      </c>
      <c r="J679">
        <v>0.1</v>
      </c>
      <c r="K679">
        <v>53327.61</v>
      </c>
      <c r="L679">
        <v>37549.79</v>
      </c>
      <c r="M679">
        <v>15777.82</v>
      </c>
      <c r="N679" s="7" t="s">
        <v>20</v>
      </c>
      <c r="O679" s="9">
        <f>IFERROR(RawSalesTable_[[#This Row],[Profit]]/RawSalesTable_[[#This Row],[Revenue]],0)</f>
        <v>0.29586587510672241</v>
      </c>
    </row>
    <row r="680" spans="1:15">
      <c r="A680" s="7" t="s">
        <v>793</v>
      </c>
      <c r="B680" s="8">
        <v>46012</v>
      </c>
      <c r="C680" s="7" t="s">
        <v>15</v>
      </c>
      <c r="D680" s="7" t="s">
        <v>16</v>
      </c>
      <c r="E680" s="7" t="s">
        <v>17</v>
      </c>
      <c r="F680" s="7" t="s">
        <v>114</v>
      </c>
      <c r="G680" s="7" t="s">
        <v>25</v>
      </c>
      <c r="H680">
        <v>2</v>
      </c>
      <c r="I680">
        <v>47950.69</v>
      </c>
      <c r="J680">
        <v>0.15</v>
      </c>
      <c r="K680">
        <v>81516.17</v>
      </c>
      <c r="L680">
        <v>73248.08</v>
      </c>
      <c r="M680">
        <v>8268.09</v>
      </c>
      <c r="N680" s="7" t="s">
        <v>20</v>
      </c>
      <c r="O680" s="9">
        <f>IFERROR(RawSalesTable_[[#This Row],[Profit]]/RawSalesTable_[[#This Row],[Revenue]],0)</f>
        <v>0.10142883307692205</v>
      </c>
    </row>
    <row r="681" spans="1:15">
      <c r="A681" s="7" t="s">
        <v>794</v>
      </c>
      <c r="B681" s="8">
        <v>45715</v>
      </c>
      <c r="C681" s="7" t="s">
        <v>28</v>
      </c>
      <c r="D681" s="7" t="s">
        <v>29</v>
      </c>
      <c r="E681" s="7" t="s">
        <v>30</v>
      </c>
      <c r="F681" s="7" t="s">
        <v>40</v>
      </c>
      <c r="G681" s="7" t="s">
        <v>64</v>
      </c>
      <c r="H681">
        <v>5</v>
      </c>
      <c r="I681">
        <v>22883.53</v>
      </c>
      <c r="J681">
        <v>0</v>
      </c>
      <c r="K681">
        <v>114417.65</v>
      </c>
      <c r="L681">
        <v>76706.73</v>
      </c>
      <c r="M681">
        <v>37710.92</v>
      </c>
      <c r="N681" s="7" t="s">
        <v>26</v>
      </c>
      <c r="O681" s="9">
        <f>IFERROR(RawSalesTable_[[#This Row],[Profit]]/RawSalesTable_[[#This Row],[Revenue]],0)</f>
        <v>0.32959005887640586</v>
      </c>
    </row>
    <row r="682" spans="1:15">
      <c r="A682" s="7" t="s">
        <v>795</v>
      </c>
      <c r="B682" s="8">
        <v>45933</v>
      </c>
      <c r="C682" s="7" t="s">
        <v>22</v>
      </c>
      <c r="D682" s="7" t="s">
        <v>23</v>
      </c>
      <c r="E682" s="7" t="s">
        <v>49</v>
      </c>
      <c r="F682" s="7" t="s">
        <v>1590</v>
      </c>
      <c r="G682" s="7" t="s">
        <v>47</v>
      </c>
      <c r="H682">
        <v>4</v>
      </c>
      <c r="I682">
        <v>4156.8500000000004</v>
      </c>
      <c r="J682">
        <v>0.15</v>
      </c>
      <c r="K682">
        <v>14133.29</v>
      </c>
      <c r="L682">
        <v>8652.6200000000008</v>
      </c>
      <c r="M682">
        <v>5480.67</v>
      </c>
      <c r="N682" s="7" t="s">
        <v>33</v>
      </c>
      <c r="O682" s="9">
        <f>IFERROR(RawSalesTable_[[#This Row],[Profit]]/RawSalesTable_[[#This Row],[Revenue]],0)</f>
        <v>0.38778444367871878</v>
      </c>
    </row>
    <row r="683" spans="1:15">
      <c r="A683" s="7" t="s">
        <v>796</v>
      </c>
      <c r="B683" s="8">
        <v>46017</v>
      </c>
      <c r="C683" s="7" t="s">
        <v>28</v>
      </c>
      <c r="D683" s="7" t="s">
        <v>56</v>
      </c>
      <c r="E683" s="7" t="s">
        <v>44</v>
      </c>
      <c r="F683" s="7" t="s">
        <v>53</v>
      </c>
      <c r="G683" s="7" t="s">
        <v>70</v>
      </c>
      <c r="H683">
        <v>7</v>
      </c>
      <c r="I683">
        <v>7849.67</v>
      </c>
      <c r="J683">
        <v>0</v>
      </c>
      <c r="K683">
        <v>54947.69</v>
      </c>
      <c r="L683">
        <v>35437.699999999997</v>
      </c>
      <c r="M683">
        <v>19509.990000000002</v>
      </c>
      <c r="N683" s="7" t="s">
        <v>20</v>
      </c>
      <c r="O683" s="9">
        <f>IFERROR(RawSalesTable_[[#This Row],[Profit]]/RawSalesTable_[[#This Row],[Revenue]],0)</f>
        <v>0.35506478980281064</v>
      </c>
    </row>
    <row r="684" spans="1:15">
      <c r="A684" s="7" t="s">
        <v>797</v>
      </c>
      <c r="B684" s="8">
        <v>45662</v>
      </c>
      <c r="C684" s="7" t="s">
        <v>28</v>
      </c>
      <c r="D684" s="7" t="s">
        <v>52</v>
      </c>
      <c r="E684" s="7" t="s">
        <v>49</v>
      </c>
      <c r="F684" s="7" t="s">
        <v>1590</v>
      </c>
      <c r="G684" s="7" t="s">
        <v>19</v>
      </c>
      <c r="H684">
        <v>4</v>
      </c>
      <c r="I684">
        <v>4062.13</v>
      </c>
      <c r="J684">
        <v>0.05</v>
      </c>
      <c r="K684">
        <v>15436.09</v>
      </c>
      <c r="L684">
        <v>8177.94</v>
      </c>
      <c r="M684">
        <v>7258.15</v>
      </c>
      <c r="N684" s="7" t="s">
        <v>20</v>
      </c>
      <c r="O684" s="9">
        <f>IFERROR(RawSalesTable_[[#This Row],[Profit]]/RawSalesTable_[[#This Row],[Revenue]],0)</f>
        <v>0.47020650955002202</v>
      </c>
    </row>
    <row r="685" spans="1:15">
      <c r="A685" s="7" t="s">
        <v>798</v>
      </c>
      <c r="B685" s="8">
        <v>45971</v>
      </c>
      <c r="C685" s="7" t="s">
        <v>28</v>
      </c>
      <c r="D685" s="7" t="s">
        <v>56</v>
      </c>
      <c r="E685" s="7" t="s">
        <v>30</v>
      </c>
      <c r="F685" s="7" t="s">
        <v>31</v>
      </c>
      <c r="G685" s="7" t="s">
        <v>70</v>
      </c>
      <c r="H685">
        <v>8</v>
      </c>
      <c r="I685">
        <v>132833.1</v>
      </c>
      <c r="J685">
        <v>0.1</v>
      </c>
      <c r="K685">
        <v>956398.32</v>
      </c>
      <c r="L685">
        <v>817189.18</v>
      </c>
      <c r="M685">
        <v>139209.14000000001</v>
      </c>
      <c r="N685" s="7" t="s">
        <v>26</v>
      </c>
      <c r="O685" s="9">
        <f>IFERROR(RawSalesTable_[[#This Row],[Profit]]/RawSalesTable_[[#This Row],[Revenue]],0)</f>
        <v>0.14555560908973578</v>
      </c>
    </row>
    <row r="686" spans="1:15">
      <c r="A686" s="7" t="s">
        <v>799</v>
      </c>
      <c r="B686" s="8">
        <v>45871</v>
      </c>
      <c r="C686" s="7" t="s">
        <v>15</v>
      </c>
      <c r="D686" s="7" t="s">
        <v>16</v>
      </c>
      <c r="E686" s="7" t="s">
        <v>17</v>
      </c>
      <c r="F686" s="7" t="s">
        <v>114</v>
      </c>
      <c r="G686" s="7" t="s">
        <v>70</v>
      </c>
      <c r="H686">
        <v>6</v>
      </c>
      <c r="I686">
        <v>52443.09</v>
      </c>
      <c r="J686">
        <v>0.05</v>
      </c>
      <c r="K686">
        <v>298925.61</v>
      </c>
      <c r="L686">
        <v>226117.81</v>
      </c>
      <c r="M686">
        <v>72807.8</v>
      </c>
      <c r="N686" s="7" t="s">
        <v>33</v>
      </c>
      <c r="O686" s="9">
        <f>IFERROR(RawSalesTable_[[#This Row],[Profit]]/RawSalesTable_[[#This Row],[Revenue]],0)</f>
        <v>0.2435649458070856</v>
      </c>
    </row>
    <row r="687" spans="1:15">
      <c r="A687" s="7" t="s">
        <v>800</v>
      </c>
      <c r="B687" s="8">
        <v>45898</v>
      </c>
      <c r="C687" s="7" t="s">
        <v>28</v>
      </c>
      <c r="D687" s="7" t="s">
        <v>29</v>
      </c>
      <c r="E687" s="7" t="s">
        <v>30</v>
      </c>
      <c r="F687" s="7" t="s">
        <v>40</v>
      </c>
      <c r="G687" s="7" t="s">
        <v>32</v>
      </c>
      <c r="H687">
        <v>7</v>
      </c>
      <c r="I687">
        <v>22621.56</v>
      </c>
      <c r="J687">
        <v>0.05</v>
      </c>
      <c r="K687">
        <v>150433.37</v>
      </c>
      <c r="L687">
        <v>112904.31</v>
      </c>
      <c r="M687">
        <v>37529.06</v>
      </c>
      <c r="N687" s="7" t="s">
        <v>20</v>
      </c>
      <c r="O687" s="9">
        <f>IFERROR(RawSalesTable_[[#This Row],[Profit]]/RawSalesTable_[[#This Row],[Revenue]],0)</f>
        <v>0.24947297265227789</v>
      </c>
    </row>
    <row r="688" spans="1:15">
      <c r="A688" s="7" t="s">
        <v>801</v>
      </c>
      <c r="B688" s="8">
        <v>45857</v>
      </c>
      <c r="C688" s="7" t="s">
        <v>22</v>
      </c>
      <c r="D688" s="7" t="s">
        <v>37</v>
      </c>
      <c r="E688" s="7" t="s">
        <v>44</v>
      </c>
      <c r="F688" s="7" t="s">
        <v>69</v>
      </c>
      <c r="G688" s="7" t="s">
        <v>25</v>
      </c>
      <c r="H688">
        <v>8</v>
      </c>
      <c r="I688">
        <v>35757.440000000002</v>
      </c>
      <c r="J688">
        <v>0.05</v>
      </c>
      <c r="K688">
        <v>271756.53999999998</v>
      </c>
      <c r="L688">
        <v>212286.81</v>
      </c>
      <c r="M688">
        <v>59469.73</v>
      </c>
      <c r="N688" s="7" t="s">
        <v>59</v>
      </c>
      <c r="O688" s="9">
        <f>IFERROR(RawSalesTable_[[#This Row],[Profit]]/RawSalesTable_[[#This Row],[Revenue]],0)</f>
        <v>0.21883458628079386</v>
      </c>
    </row>
    <row r="689" spans="1:15">
      <c r="A689" s="7" t="s">
        <v>802</v>
      </c>
      <c r="B689" s="8">
        <v>45738</v>
      </c>
      <c r="C689" s="7" t="s">
        <v>28</v>
      </c>
      <c r="D689" s="7" t="s">
        <v>52</v>
      </c>
      <c r="E689" s="7" t="s">
        <v>44</v>
      </c>
      <c r="F689" s="7" t="s">
        <v>69</v>
      </c>
      <c r="G689" s="7" t="s">
        <v>70</v>
      </c>
      <c r="H689">
        <v>2</v>
      </c>
      <c r="I689">
        <v>39015.699999999997</v>
      </c>
      <c r="J689">
        <v>0</v>
      </c>
      <c r="K689">
        <v>78031.399999999994</v>
      </c>
      <c r="L689">
        <v>51070.78</v>
      </c>
      <c r="M689">
        <v>26960.62</v>
      </c>
      <c r="N689" s="7" t="s">
        <v>33</v>
      </c>
      <c r="O689" s="9">
        <f>IFERROR(RawSalesTable_[[#This Row],[Profit]]/RawSalesTable_[[#This Row],[Revenue]],0)</f>
        <v>0.34550988448240066</v>
      </c>
    </row>
    <row r="690" spans="1:15">
      <c r="A690" s="7" t="s">
        <v>803</v>
      </c>
      <c r="B690" s="8">
        <v>45791</v>
      </c>
      <c r="C690" s="7" t="s">
        <v>28</v>
      </c>
      <c r="D690" s="7" t="s">
        <v>56</v>
      </c>
      <c r="E690" s="7" t="s">
        <v>30</v>
      </c>
      <c r="F690" s="7" t="s">
        <v>86</v>
      </c>
      <c r="G690" s="7" t="s">
        <v>32</v>
      </c>
      <c r="H690">
        <v>4</v>
      </c>
      <c r="I690">
        <v>33300.07</v>
      </c>
      <c r="J690">
        <v>0</v>
      </c>
      <c r="K690">
        <v>133200.28</v>
      </c>
      <c r="L690">
        <v>89560.36</v>
      </c>
      <c r="M690">
        <v>43639.92</v>
      </c>
      <c r="N690" s="7" t="s">
        <v>26</v>
      </c>
      <c r="O690" s="9">
        <f>IFERROR(RawSalesTable_[[#This Row],[Profit]]/RawSalesTable_[[#This Row],[Revenue]],0)</f>
        <v>0.32762633832301252</v>
      </c>
    </row>
    <row r="691" spans="1:15">
      <c r="A691" s="7" t="s">
        <v>804</v>
      </c>
      <c r="B691" s="8">
        <v>45945</v>
      </c>
      <c r="C691" s="7" t="s">
        <v>22</v>
      </c>
      <c r="D691" s="7" t="s">
        <v>37</v>
      </c>
      <c r="E691" s="7" t="s">
        <v>17</v>
      </c>
      <c r="F691" s="7" t="s">
        <v>75</v>
      </c>
      <c r="G691" s="7" t="s">
        <v>47</v>
      </c>
      <c r="H691">
        <v>6</v>
      </c>
      <c r="I691">
        <v>182946.37</v>
      </c>
      <c r="J691">
        <v>0.1</v>
      </c>
      <c r="K691">
        <v>987910.4</v>
      </c>
      <c r="L691">
        <v>839959.81</v>
      </c>
      <c r="M691">
        <v>147950.59</v>
      </c>
      <c r="N691" s="7" t="s">
        <v>20</v>
      </c>
      <c r="O691" s="9">
        <f>IFERROR(RawSalesTable_[[#This Row],[Profit]]/RawSalesTable_[[#This Row],[Revenue]],0)</f>
        <v>0.14976114230602289</v>
      </c>
    </row>
    <row r="692" spans="1:15">
      <c r="A692" s="7" t="s">
        <v>805</v>
      </c>
      <c r="B692" s="8">
        <v>45967</v>
      </c>
      <c r="C692" s="7" t="s">
        <v>28</v>
      </c>
      <c r="D692" s="7" t="s">
        <v>56</v>
      </c>
      <c r="E692" s="7" t="s">
        <v>30</v>
      </c>
      <c r="F692" s="7" t="s">
        <v>31</v>
      </c>
      <c r="G692" s="7" t="s">
        <v>19</v>
      </c>
      <c r="H692">
        <v>5</v>
      </c>
      <c r="I692">
        <v>143560.46</v>
      </c>
      <c r="J692">
        <v>0.15</v>
      </c>
      <c r="K692">
        <v>610131.94999999995</v>
      </c>
      <c r="L692">
        <v>520735.14</v>
      </c>
      <c r="M692">
        <v>89396.81</v>
      </c>
      <c r="N692" s="7" t="s">
        <v>33</v>
      </c>
      <c r="O692" s="9">
        <f>IFERROR(RawSalesTable_[[#This Row],[Profit]]/RawSalesTable_[[#This Row],[Revenue]],0)</f>
        <v>0.14652045348551243</v>
      </c>
    </row>
    <row r="693" spans="1:15">
      <c r="A693" s="7" t="s">
        <v>806</v>
      </c>
      <c r="B693" s="8">
        <v>45743</v>
      </c>
      <c r="C693" s="7" t="s">
        <v>28</v>
      </c>
      <c r="D693" s="7" t="s">
        <v>56</v>
      </c>
      <c r="E693" s="7" t="s">
        <v>17</v>
      </c>
      <c r="F693" s="7" t="s">
        <v>75</v>
      </c>
      <c r="G693" s="7" t="s">
        <v>19</v>
      </c>
      <c r="H693">
        <v>2</v>
      </c>
      <c r="I693">
        <v>194578.86</v>
      </c>
      <c r="J693">
        <v>0</v>
      </c>
      <c r="K693">
        <v>389157.72</v>
      </c>
      <c r="L693">
        <v>285565.24</v>
      </c>
      <c r="M693">
        <v>103592.48</v>
      </c>
      <c r="N693" s="7" t="s">
        <v>26</v>
      </c>
      <c r="O693" s="9">
        <f>IFERROR(RawSalesTable_[[#This Row],[Profit]]/RawSalesTable_[[#This Row],[Revenue]],0)</f>
        <v>0.26619664643939223</v>
      </c>
    </row>
    <row r="694" spans="1:15">
      <c r="A694" s="7" t="s">
        <v>807</v>
      </c>
      <c r="B694" s="8">
        <v>45844</v>
      </c>
      <c r="C694" s="7" t="s">
        <v>28</v>
      </c>
      <c r="D694" s="7" t="s">
        <v>52</v>
      </c>
      <c r="E694" s="7" t="s">
        <v>30</v>
      </c>
      <c r="F694" s="7" t="s">
        <v>40</v>
      </c>
      <c r="G694" s="7" t="s">
        <v>32</v>
      </c>
      <c r="H694">
        <v>8</v>
      </c>
      <c r="I694">
        <v>25411.599999999999</v>
      </c>
      <c r="J694">
        <v>0</v>
      </c>
      <c r="K694">
        <v>203292.79999999999</v>
      </c>
      <c r="L694">
        <v>123973.21</v>
      </c>
      <c r="M694">
        <v>79319.59</v>
      </c>
      <c r="N694" s="7" t="s">
        <v>26</v>
      </c>
      <c r="O694" s="9">
        <f>IFERROR(RawSalesTable_[[#This Row],[Profit]]/RawSalesTable_[[#This Row],[Revenue]],0)</f>
        <v>0.39017412323505801</v>
      </c>
    </row>
    <row r="695" spans="1:15">
      <c r="A695" s="7" t="s">
        <v>808</v>
      </c>
      <c r="B695" s="8">
        <v>45916</v>
      </c>
      <c r="C695" s="7" t="s">
        <v>22</v>
      </c>
      <c r="D695" s="7" t="s">
        <v>23</v>
      </c>
      <c r="E695" s="7" t="s">
        <v>49</v>
      </c>
      <c r="F695" s="7" t="s">
        <v>107</v>
      </c>
      <c r="G695" s="7" t="s">
        <v>61</v>
      </c>
      <c r="H695">
        <v>1</v>
      </c>
      <c r="I695">
        <v>4988.1000000000004</v>
      </c>
      <c r="J695">
        <v>0.05</v>
      </c>
      <c r="K695">
        <v>4738.6899999999996</v>
      </c>
      <c r="L695">
        <v>2683.51</v>
      </c>
      <c r="M695">
        <v>2055.1799999999998</v>
      </c>
      <c r="N695" s="7" t="s">
        <v>33</v>
      </c>
      <c r="O695" s="9">
        <f>IFERROR(RawSalesTable_[[#This Row],[Profit]]/RawSalesTable_[[#This Row],[Revenue]],0)</f>
        <v>0.43370214130909596</v>
      </c>
    </row>
    <row r="696" spans="1:15">
      <c r="A696" s="7" t="s">
        <v>809</v>
      </c>
      <c r="B696" s="8">
        <v>45774</v>
      </c>
      <c r="C696" s="7" t="s">
        <v>28</v>
      </c>
      <c r="D696" s="7" t="s">
        <v>56</v>
      </c>
      <c r="E696" s="7" t="s">
        <v>49</v>
      </c>
      <c r="F696" s="7" t="s">
        <v>57</v>
      </c>
      <c r="G696" s="7" t="s">
        <v>61</v>
      </c>
      <c r="H696">
        <v>4</v>
      </c>
      <c r="I696">
        <v>10858.96</v>
      </c>
      <c r="J696">
        <v>0.1</v>
      </c>
      <c r="K696">
        <v>39092.26</v>
      </c>
      <c r="L696">
        <v>25987.53</v>
      </c>
      <c r="M696">
        <v>13104.73</v>
      </c>
      <c r="N696" s="7" t="s">
        <v>20</v>
      </c>
      <c r="O696" s="9">
        <f>IFERROR(RawSalesTable_[[#This Row],[Profit]]/RawSalesTable_[[#This Row],[Revenue]],0)</f>
        <v>0.33522569429344834</v>
      </c>
    </row>
    <row r="697" spans="1:15">
      <c r="A697" s="7" t="s">
        <v>810</v>
      </c>
      <c r="B697" s="8">
        <v>45922</v>
      </c>
      <c r="C697" s="7" t="s">
        <v>28</v>
      </c>
      <c r="D697" s="7" t="s">
        <v>56</v>
      </c>
      <c r="E697" s="7" t="s">
        <v>49</v>
      </c>
      <c r="F697" s="7" t="s">
        <v>57</v>
      </c>
      <c r="G697" s="7" t="s">
        <v>19</v>
      </c>
      <c r="H697">
        <v>1</v>
      </c>
      <c r="I697">
        <v>11394.34</v>
      </c>
      <c r="J697">
        <v>0</v>
      </c>
      <c r="K697">
        <v>11394.34</v>
      </c>
      <c r="L697">
        <v>6631.52</v>
      </c>
      <c r="M697">
        <v>4762.82</v>
      </c>
      <c r="N697" s="7" t="s">
        <v>33</v>
      </c>
      <c r="O697" s="9">
        <f>IFERROR(RawSalesTable_[[#This Row],[Profit]]/RawSalesTable_[[#This Row],[Revenue]],0)</f>
        <v>0.41799876078825099</v>
      </c>
    </row>
    <row r="698" spans="1:15">
      <c r="A698" s="7" t="s">
        <v>811</v>
      </c>
      <c r="B698" s="8">
        <v>45986</v>
      </c>
      <c r="C698" s="7" t="s">
        <v>28</v>
      </c>
      <c r="D698" s="7" t="s">
        <v>56</v>
      </c>
      <c r="E698" s="7" t="s">
        <v>49</v>
      </c>
      <c r="F698" s="7" t="s">
        <v>1590</v>
      </c>
      <c r="G698" s="7" t="s">
        <v>61</v>
      </c>
      <c r="H698">
        <v>7</v>
      </c>
      <c r="I698">
        <v>3905.31</v>
      </c>
      <c r="J698">
        <v>0</v>
      </c>
      <c r="K698">
        <v>27337.17</v>
      </c>
      <c r="L698">
        <v>14938.32</v>
      </c>
      <c r="M698">
        <v>12398.85</v>
      </c>
      <c r="N698" s="7" t="s">
        <v>33</v>
      </c>
      <c r="O698" s="9">
        <f>IFERROR(RawSalesTable_[[#This Row],[Profit]]/RawSalesTable_[[#This Row],[Revenue]],0)</f>
        <v>0.45355280008867055</v>
      </c>
    </row>
    <row r="699" spans="1:15">
      <c r="A699" s="7" t="s">
        <v>812</v>
      </c>
      <c r="B699" s="8">
        <v>45813</v>
      </c>
      <c r="C699" s="7" t="s">
        <v>15</v>
      </c>
      <c r="D699" s="7" t="s">
        <v>43</v>
      </c>
      <c r="E699" s="7" t="s">
        <v>30</v>
      </c>
      <c r="F699" s="7" t="s">
        <v>40</v>
      </c>
      <c r="G699" s="7" t="s">
        <v>32</v>
      </c>
      <c r="H699">
        <v>7</v>
      </c>
      <c r="I699">
        <v>26012.27</v>
      </c>
      <c r="J699">
        <v>0.15</v>
      </c>
      <c r="K699">
        <v>154773.01</v>
      </c>
      <c r="L699">
        <v>111568.05</v>
      </c>
      <c r="M699">
        <v>43204.959999999999</v>
      </c>
      <c r="N699" s="7" t="s">
        <v>59</v>
      </c>
      <c r="O699" s="9">
        <f>IFERROR(RawSalesTable_[[#This Row],[Profit]]/RawSalesTable_[[#This Row],[Revenue]],0)</f>
        <v>0.27915047978972557</v>
      </c>
    </row>
    <row r="700" spans="1:15">
      <c r="A700" s="7" t="s">
        <v>813</v>
      </c>
      <c r="B700" s="8">
        <v>45974</v>
      </c>
      <c r="C700" s="7" t="s">
        <v>22</v>
      </c>
      <c r="D700" s="7" t="s">
        <v>35</v>
      </c>
      <c r="E700" s="7" t="s">
        <v>44</v>
      </c>
      <c r="F700" s="7" t="s">
        <v>53</v>
      </c>
      <c r="G700" s="7" t="s">
        <v>70</v>
      </c>
      <c r="H700">
        <v>8</v>
      </c>
      <c r="I700">
        <v>8695.68</v>
      </c>
      <c r="J700">
        <v>0.1</v>
      </c>
      <c r="K700">
        <v>62608.9</v>
      </c>
      <c r="L700">
        <v>39737.24</v>
      </c>
      <c r="M700">
        <v>22871.66</v>
      </c>
      <c r="N700" s="7" t="s">
        <v>59</v>
      </c>
      <c r="O700" s="9">
        <f>IFERROR(RawSalesTable_[[#This Row],[Profit]]/RawSalesTable_[[#This Row],[Revenue]],0)</f>
        <v>0.36531004377971821</v>
      </c>
    </row>
    <row r="701" spans="1:15">
      <c r="A701" s="7" t="s">
        <v>814</v>
      </c>
      <c r="B701" s="8">
        <v>45722</v>
      </c>
      <c r="C701" s="7" t="s">
        <v>15</v>
      </c>
      <c r="D701" s="7" t="s">
        <v>63</v>
      </c>
      <c r="E701" s="7" t="s">
        <v>44</v>
      </c>
      <c r="F701" s="7" t="s">
        <v>69</v>
      </c>
      <c r="G701" s="7" t="s">
        <v>58</v>
      </c>
      <c r="H701">
        <v>2</v>
      </c>
      <c r="I701">
        <v>35184.78</v>
      </c>
      <c r="J701">
        <v>0.05</v>
      </c>
      <c r="K701">
        <v>66851.08</v>
      </c>
      <c r="L701">
        <v>51859.58</v>
      </c>
      <c r="M701">
        <v>14991.5</v>
      </c>
      <c r="N701" s="7" t="s">
        <v>26</v>
      </c>
      <c r="O701" s="9">
        <f>IFERROR(RawSalesTable_[[#This Row],[Profit]]/RawSalesTable_[[#This Row],[Revenue]],0)</f>
        <v>0.22425217363728453</v>
      </c>
    </row>
    <row r="702" spans="1:15">
      <c r="A702" s="7" t="s">
        <v>815</v>
      </c>
      <c r="B702" s="8">
        <v>45781</v>
      </c>
      <c r="C702" s="7" t="s">
        <v>22</v>
      </c>
      <c r="D702" s="7" t="s">
        <v>37</v>
      </c>
      <c r="E702" s="7" t="s">
        <v>30</v>
      </c>
      <c r="F702" s="7" t="s">
        <v>38</v>
      </c>
      <c r="G702" s="7" t="s">
        <v>58</v>
      </c>
      <c r="H702">
        <v>3</v>
      </c>
      <c r="I702">
        <v>24941.18</v>
      </c>
      <c r="J702">
        <v>0.1</v>
      </c>
      <c r="K702">
        <v>67341.19</v>
      </c>
      <c r="L702">
        <v>54619.66</v>
      </c>
      <c r="M702">
        <v>12721.53</v>
      </c>
      <c r="N702" s="7" t="s">
        <v>20</v>
      </c>
      <c r="O702" s="9">
        <f>IFERROR(RawSalesTable_[[#This Row],[Profit]]/RawSalesTable_[[#This Row],[Revenue]],0)</f>
        <v>0.18891157106074308</v>
      </c>
    </row>
    <row r="703" spans="1:15">
      <c r="A703" s="7" t="s">
        <v>816</v>
      </c>
      <c r="B703" s="8">
        <v>45991</v>
      </c>
      <c r="C703" s="7" t="s">
        <v>15</v>
      </c>
      <c r="D703" s="7" t="s">
        <v>16</v>
      </c>
      <c r="E703" s="7" t="s">
        <v>17</v>
      </c>
      <c r="F703" s="7" t="s">
        <v>18</v>
      </c>
      <c r="G703" s="7" t="s">
        <v>19</v>
      </c>
      <c r="H703">
        <v>5</v>
      </c>
      <c r="I703">
        <v>14794.62</v>
      </c>
      <c r="J703">
        <v>0.05</v>
      </c>
      <c r="K703">
        <v>70274.45</v>
      </c>
      <c r="L703">
        <v>40125.339999999997</v>
      </c>
      <c r="M703">
        <v>30149.11</v>
      </c>
      <c r="N703" s="7" t="s">
        <v>20</v>
      </c>
      <c r="O703" s="9">
        <f>IFERROR(RawSalesTable_[[#This Row],[Profit]]/RawSalesTable_[[#This Row],[Revenue]],0)</f>
        <v>0.4290195085126956</v>
      </c>
    </row>
    <row r="704" spans="1:15">
      <c r="A704" s="7" t="s">
        <v>817</v>
      </c>
      <c r="B704" s="8">
        <v>45947</v>
      </c>
      <c r="C704" s="7" t="s">
        <v>28</v>
      </c>
      <c r="D704" s="7" t="s">
        <v>29</v>
      </c>
      <c r="E704" s="7" t="s">
        <v>17</v>
      </c>
      <c r="F704" s="7" t="s">
        <v>114</v>
      </c>
      <c r="G704" s="7" t="s">
        <v>47</v>
      </c>
      <c r="H704">
        <v>6</v>
      </c>
      <c r="I704">
        <v>56018.15</v>
      </c>
      <c r="J704">
        <v>0.15</v>
      </c>
      <c r="K704">
        <v>285692.57</v>
      </c>
      <c r="L704">
        <v>227591.37</v>
      </c>
      <c r="M704">
        <v>58101.2</v>
      </c>
      <c r="N704" s="7" t="s">
        <v>59</v>
      </c>
      <c r="O704" s="9">
        <f>IFERROR(RawSalesTable_[[#This Row],[Profit]]/RawSalesTable_[[#This Row],[Revenue]],0)</f>
        <v>0.20336965711078869</v>
      </c>
    </row>
    <row r="705" spans="1:15">
      <c r="A705" s="7" t="s">
        <v>818</v>
      </c>
      <c r="B705" s="8">
        <v>45842</v>
      </c>
      <c r="C705" s="7" t="s">
        <v>28</v>
      </c>
      <c r="D705" s="7" t="s">
        <v>56</v>
      </c>
      <c r="E705" s="7" t="s">
        <v>44</v>
      </c>
      <c r="F705" s="7" t="s">
        <v>53</v>
      </c>
      <c r="G705" s="7" t="s">
        <v>70</v>
      </c>
      <c r="H705">
        <v>4</v>
      </c>
      <c r="I705">
        <v>7963.11</v>
      </c>
      <c r="J705">
        <v>0.1</v>
      </c>
      <c r="K705">
        <v>28667.200000000001</v>
      </c>
      <c r="L705">
        <v>19811.009999999998</v>
      </c>
      <c r="M705">
        <v>8856.19</v>
      </c>
      <c r="N705" s="7" t="s">
        <v>33</v>
      </c>
      <c r="O705" s="9">
        <f>IFERROR(RawSalesTable_[[#This Row],[Profit]]/RawSalesTable_[[#This Row],[Revenue]],0)</f>
        <v>0.30893111290952729</v>
      </c>
    </row>
    <row r="706" spans="1:15">
      <c r="A706" s="7" t="s">
        <v>819</v>
      </c>
      <c r="B706" s="8">
        <v>45901</v>
      </c>
      <c r="C706" s="7" t="s">
        <v>22</v>
      </c>
      <c r="D706" s="7" t="s">
        <v>37</v>
      </c>
      <c r="E706" s="7" t="s">
        <v>49</v>
      </c>
      <c r="F706" s="7" t="s">
        <v>107</v>
      </c>
      <c r="G706" s="7" t="s">
        <v>47</v>
      </c>
      <c r="H706">
        <v>2</v>
      </c>
      <c r="I706">
        <v>4860.75</v>
      </c>
      <c r="J706">
        <v>0.05</v>
      </c>
      <c r="K706">
        <v>9235.42</v>
      </c>
      <c r="L706">
        <v>5573.86</v>
      </c>
      <c r="M706">
        <v>3661.56</v>
      </c>
      <c r="N706" s="7" t="s">
        <v>20</v>
      </c>
      <c r="O706" s="9">
        <f>IFERROR(RawSalesTable_[[#This Row],[Profit]]/RawSalesTable_[[#This Row],[Revenue]],0)</f>
        <v>0.39646924557843605</v>
      </c>
    </row>
    <row r="707" spans="1:15">
      <c r="A707" s="7" t="s">
        <v>820</v>
      </c>
      <c r="B707" s="8">
        <v>45883</v>
      </c>
      <c r="C707" s="7" t="s">
        <v>22</v>
      </c>
      <c r="D707" s="7" t="s">
        <v>35</v>
      </c>
      <c r="E707" s="7" t="s">
        <v>49</v>
      </c>
      <c r="F707" s="7" t="s">
        <v>107</v>
      </c>
      <c r="G707" s="7" t="s">
        <v>70</v>
      </c>
      <c r="H707">
        <v>5</v>
      </c>
      <c r="I707">
        <v>5270.14</v>
      </c>
      <c r="J707">
        <v>0.15</v>
      </c>
      <c r="K707">
        <v>22398.1</v>
      </c>
      <c r="L707">
        <v>13495.13</v>
      </c>
      <c r="M707">
        <v>8902.9699999999993</v>
      </c>
      <c r="N707" s="7" t="s">
        <v>20</v>
      </c>
      <c r="O707" s="9">
        <f>IFERROR(RawSalesTable_[[#This Row],[Profit]]/RawSalesTable_[[#This Row],[Revenue]],0)</f>
        <v>0.39748773333452392</v>
      </c>
    </row>
    <row r="708" spans="1:15">
      <c r="A708" s="7" t="s">
        <v>821</v>
      </c>
      <c r="B708" s="8">
        <v>45928</v>
      </c>
      <c r="C708" s="7" t="s">
        <v>22</v>
      </c>
      <c r="D708" s="7" t="s">
        <v>23</v>
      </c>
      <c r="E708" s="7" t="s">
        <v>44</v>
      </c>
      <c r="F708" s="7" t="s">
        <v>53</v>
      </c>
      <c r="G708" s="7" t="s">
        <v>19</v>
      </c>
      <c r="H708">
        <v>8</v>
      </c>
      <c r="I708">
        <v>7995.96</v>
      </c>
      <c r="J708">
        <v>0.15</v>
      </c>
      <c r="K708">
        <v>54372.53</v>
      </c>
      <c r="L708">
        <v>39432.18</v>
      </c>
      <c r="M708">
        <v>14940.35</v>
      </c>
      <c r="N708" s="7" t="s">
        <v>26</v>
      </c>
      <c r="O708" s="9">
        <f>IFERROR(RawSalesTable_[[#This Row],[Profit]]/RawSalesTable_[[#This Row],[Revenue]],0)</f>
        <v>0.27477753931994703</v>
      </c>
    </row>
    <row r="709" spans="1:15">
      <c r="A709" s="7" t="s">
        <v>822</v>
      </c>
      <c r="B709" s="8">
        <v>45867</v>
      </c>
      <c r="C709" s="7" t="s">
        <v>28</v>
      </c>
      <c r="D709" s="7" t="s">
        <v>56</v>
      </c>
      <c r="E709" s="7" t="s">
        <v>17</v>
      </c>
      <c r="F709" s="7" t="s">
        <v>24</v>
      </c>
      <c r="G709" s="7" t="s">
        <v>19</v>
      </c>
      <c r="H709">
        <v>6</v>
      </c>
      <c r="I709">
        <v>98207.39</v>
      </c>
      <c r="J709">
        <v>0</v>
      </c>
      <c r="K709">
        <v>589244.34</v>
      </c>
      <c r="L709">
        <v>412941.7</v>
      </c>
      <c r="M709">
        <v>176302.64</v>
      </c>
      <c r="N709" s="7" t="s">
        <v>33</v>
      </c>
      <c r="O709" s="9">
        <f>IFERROR(RawSalesTable_[[#This Row],[Profit]]/RawSalesTable_[[#This Row],[Revenue]],0)</f>
        <v>0.29920124476715387</v>
      </c>
    </row>
    <row r="710" spans="1:15">
      <c r="A710" s="7" t="s">
        <v>823</v>
      </c>
      <c r="B710" s="8">
        <v>45813</v>
      </c>
      <c r="C710" s="7" t="s">
        <v>28</v>
      </c>
      <c r="D710" s="7" t="s">
        <v>29</v>
      </c>
      <c r="E710" s="7" t="s">
        <v>30</v>
      </c>
      <c r="F710" s="7" t="s">
        <v>31</v>
      </c>
      <c r="G710" s="7" t="s">
        <v>58</v>
      </c>
      <c r="H710">
        <v>3</v>
      </c>
      <c r="I710">
        <v>126743.23</v>
      </c>
      <c r="J710">
        <v>0.05</v>
      </c>
      <c r="K710">
        <v>361218.21</v>
      </c>
      <c r="L710">
        <v>314929.53999999998</v>
      </c>
      <c r="M710">
        <v>46288.67</v>
      </c>
      <c r="N710" s="7" t="s">
        <v>20</v>
      </c>
      <c r="O710" s="9">
        <f>IFERROR(RawSalesTable_[[#This Row],[Profit]]/RawSalesTable_[[#This Row],[Revenue]],0)</f>
        <v>0.12814600349190589</v>
      </c>
    </row>
    <row r="711" spans="1:15">
      <c r="A711" s="7" t="s">
        <v>825</v>
      </c>
      <c r="B711" s="8">
        <v>45889</v>
      </c>
      <c r="C711" s="7" t="s">
        <v>22</v>
      </c>
      <c r="D711" s="7" t="s">
        <v>23</v>
      </c>
      <c r="E711" s="7" t="s">
        <v>30</v>
      </c>
      <c r="F711" s="7" t="s">
        <v>31</v>
      </c>
      <c r="G711" s="7" t="s">
        <v>32</v>
      </c>
      <c r="H711">
        <v>1</v>
      </c>
      <c r="I711">
        <v>133219.62</v>
      </c>
      <c r="J711">
        <v>0.1</v>
      </c>
      <c r="K711">
        <v>119897.66</v>
      </c>
      <c r="L711">
        <v>100159.59</v>
      </c>
      <c r="M711">
        <v>19738.07</v>
      </c>
      <c r="N711" s="7" t="s">
        <v>20</v>
      </c>
      <c r="O711" s="9">
        <f>IFERROR(RawSalesTable_[[#This Row],[Profit]]/RawSalesTable_[[#This Row],[Revenue]],0)</f>
        <v>0.16462431376892592</v>
      </c>
    </row>
    <row r="712" spans="1:15">
      <c r="A712" s="7" t="s">
        <v>826</v>
      </c>
      <c r="B712" s="8">
        <v>45824</v>
      </c>
      <c r="C712" s="7" t="s">
        <v>28</v>
      </c>
      <c r="D712" s="7" t="s">
        <v>29</v>
      </c>
      <c r="E712" s="7" t="s">
        <v>44</v>
      </c>
      <c r="F712" s="7" t="s">
        <v>45</v>
      </c>
      <c r="G712" s="7" t="s">
        <v>19</v>
      </c>
      <c r="H712">
        <v>8</v>
      </c>
      <c r="I712">
        <v>29693.26</v>
      </c>
      <c r="J712">
        <v>0.15</v>
      </c>
      <c r="K712">
        <v>201914.17</v>
      </c>
      <c r="L712">
        <v>152218.16</v>
      </c>
      <c r="M712">
        <v>49696.01</v>
      </c>
      <c r="N712" s="7" t="s">
        <v>20</v>
      </c>
      <c r="O712" s="9">
        <f>IFERROR(RawSalesTable_[[#This Row],[Profit]]/RawSalesTable_[[#This Row],[Revenue]],0)</f>
        <v>0.24612442999914269</v>
      </c>
    </row>
    <row r="713" spans="1:15">
      <c r="A713" s="7" t="s">
        <v>827</v>
      </c>
      <c r="B713" s="8">
        <v>45988</v>
      </c>
      <c r="C713" s="7" t="s">
        <v>28</v>
      </c>
      <c r="D713" s="7" t="s">
        <v>52</v>
      </c>
      <c r="E713" s="7" t="s">
        <v>49</v>
      </c>
      <c r="F713" s="7" t="s">
        <v>57</v>
      </c>
      <c r="G713" s="7" t="s">
        <v>19</v>
      </c>
      <c r="H713">
        <v>1</v>
      </c>
      <c r="I713">
        <v>12342.87</v>
      </c>
      <c r="J713">
        <v>0.05</v>
      </c>
      <c r="K713">
        <v>11725.73</v>
      </c>
      <c r="L713">
        <v>6639.84</v>
      </c>
      <c r="M713">
        <v>5085.8900000000003</v>
      </c>
      <c r="N713" s="7" t="s">
        <v>26</v>
      </c>
      <c r="O713" s="9">
        <f>IFERROR(RawSalesTable_[[#This Row],[Profit]]/RawSalesTable_[[#This Row],[Revenue]],0)</f>
        <v>0.43373760098518394</v>
      </c>
    </row>
    <row r="714" spans="1:15">
      <c r="A714" s="7" t="s">
        <v>828</v>
      </c>
      <c r="B714" s="8">
        <v>45685</v>
      </c>
      <c r="C714" s="7" t="s">
        <v>15</v>
      </c>
      <c r="D714" s="7" t="s">
        <v>16</v>
      </c>
      <c r="E714" s="7" t="s">
        <v>30</v>
      </c>
      <c r="F714" s="7" t="s">
        <v>31</v>
      </c>
      <c r="G714" s="7" t="s">
        <v>47</v>
      </c>
      <c r="H714">
        <v>2</v>
      </c>
      <c r="I714">
        <v>128356.42</v>
      </c>
      <c r="J714">
        <v>0.1</v>
      </c>
      <c r="K714">
        <v>231041.56</v>
      </c>
      <c r="L714">
        <v>203601.54</v>
      </c>
      <c r="M714">
        <v>27440.02</v>
      </c>
      <c r="N714" s="7" t="s">
        <v>20</v>
      </c>
      <c r="O714" s="9">
        <f>IFERROR(RawSalesTable_[[#This Row],[Profit]]/RawSalesTable_[[#This Row],[Revenue]],0)</f>
        <v>0.1187665976632083</v>
      </c>
    </row>
    <row r="715" spans="1:15">
      <c r="A715" s="7" t="s">
        <v>829</v>
      </c>
      <c r="B715" s="8">
        <v>46019</v>
      </c>
      <c r="C715" s="7" t="s">
        <v>15</v>
      </c>
      <c r="D715" s="7" t="s">
        <v>16</v>
      </c>
      <c r="E715" s="7" t="s">
        <v>17</v>
      </c>
      <c r="F715" s="7" t="s">
        <v>24</v>
      </c>
      <c r="G715" s="7" t="s">
        <v>70</v>
      </c>
      <c r="H715">
        <v>1</v>
      </c>
      <c r="I715">
        <v>88687.45</v>
      </c>
      <c r="J715">
        <v>0</v>
      </c>
      <c r="K715">
        <v>88687.45</v>
      </c>
      <c r="L715">
        <v>67127.56</v>
      </c>
      <c r="M715">
        <v>21559.89</v>
      </c>
      <c r="N715" s="7" t="s">
        <v>33</v>
      </c>
      <c r="O715" s="9">
        <f>IFERROR(RawSalesTable_[[#This Row],[Profit]]/RawSalesTable_[[#This Row],[Revenue]],0)</f>
        <v>0.24309967193779955</v>
      </c>
    </row>
    <row r="716" spans="1:15">
      <c r="A716" s="7" t="s">
        <v>830</v>
      </c>
      <c r="B716" s="8">
        <v>45750</v>
      </c>
      <c r="C716" s="7" t="s">
        <v>15</v>
      </c>
      <c r="D716" s="7" t="s">
        <v>43</v>
      </c>
      <c r="E716" s="7" t="s">
        <v>30</v>
      </c>
      <c r="F716" s="7" t="s">
        <v>40</v>
      </c>
      <c r="G716" s="7" t="s">
        <v>25</v>
      </c>
      <c r="H716">
        <v>1</v>
      </c>
      <c r="I716">
        <v>24466.57</v>
      </c>
      <c r="J716">
        <v>0</v>
      </c>
      <c r="K716">
        <v>24466.57</v>
      </c>
      <c r="L716">
        <v>15701.99</v>
      </c>
      <c r="M716">
        <v>8764.58</v>
      </c>
      <c r="N716" s="7" t="s">
        <v>33</v>
      </c>
      <c r="O716" s="9">
        <f>IFERROR(RawSalesTable_[[#This Row],[Profit]]/RawSalesTable_[[#This Row],[Revenue]],0)</f>
        <v>0.35822675593677417</v>
      </c>
    </row>
    <row r="717" spans="1:15">
      <c r="A717" s="7" t="s">
        <v>831</v>
      </c>
      <c r="B717" s="8">
        <v>45804</v>
      </c>
      <c r="C717" s="7" t="s">
        <v>15</v>
      </c>
      <c r="D717" s="7" t="s">
        <v>63</v>
      </c>
      <c r="E717" s="7" t="s">
        <v>49</v>
      </c>
      <c r="F717" s="7" t="s">
        <v>57</v>
      </c>
      <c r="G717" s="7" t="s">
        <v>61</v>
      </c>
      <c r="H717">
        <v>2</v>
      </c>
      <c r="I717">
        <v>10790.95</v>
      </c>
      <c r="J717">
        <v>0</v>
      </c>
      <c r="K717">
        <v>21581.9</v>
      </c>
      <c r="L717">
        <v>13103.02</v>
      </c>
      <c r="M717">
        <v>8478.8799999999992</v>
      </c>
      <c r="N717" s="7" t="s">
        <v>26</v>
      </c>
      <c r="O717" s="9">
        <f>IFERROR(RawSalesTable_[[#This Row],[Profit]]/RawSalesTable_[[#This Row],[Revenue]],0)</f>
        <v>0.392869951209115</v>
      </c>
    </row>
    <row r="718" spans="1:15">
      <c r="A718" s="7" t="s">
        <v>832</v>
      </c>
      <c r="B718" s="8">
        <v>45824</v>
      </c>
      <c r="C718" s="7" t="s">
        <v>28</v>
      </c>
      <c r="D718" s="7" t="s">
        <v>52</v>
      </c>
      <c r="E718" s="7" t="s">
        <v>44</v>
      </c>
      <c r="F718" s="7" t="s">
        <v>69</v>
      </c>
      <c r="G718" s="7" t="s">
        <v>61</v>
      </c>
      <c r="H718">
        <v>7</v>
      </c>
      <c r="I718">
        <v>39085.94</v>
      </c>
      <c r="J718">
        <v>0</v>
      </c>
      <c r="K718">
        <v>273601.58</v>
      </c>
      <c r="L718">
        <v>184368.42</v>
      </c>
      <c r="M718">
        <v>89233.16</v>
      </c>
      <c r="N718" s="7" t="s">
        <v>33</v>
      </c>
      <c r="O718" s="9">
        <f>IFERROR(RawSalesTable_[[#This Row],[Profit]]/RawSalesTable_[[#This Row],[Revenue]],0)</f>
        <v>0.32614270721682237</v>
      </c>
    </row>
    <row r="719" spans="1:15">
      <c r="A719" s="7" t="s">
        <v>833</v>
      </c>
      <c r="B719" s="8">
        <v>45790</v>
      </c>
      <c r="C719" s="7" t="s">
        <v>15</v>
      </c>
      <c r="D719" s="7" t="s">
        <v>16</v>
      </c>
      <c r="E719" s="7" t="s">
        <v>30</v>
      </c>
      <c r="F719" s="7" t="s">
        <v>40</v>
      </c>
      <c r="G719" s="7" t="s">
        <v>25</v>
      </c>
      <c r="H719">
        <v>2</v>
      </c>
      <c r="I719">
        <v>23794.560000000001</v>
      </c>
      <c r="J719">
        <v>0.05</v>
      </c>
      <c r="K719">
        <v>45209.66</v>
      </c>
      <c r="L719">
        <v>32627.34</v>
      </c>
      <c r="M719">
        <v>12582.32</v>
      </c>
      <c r="N719" s="7" t="s">
        <v>33</v>
      </c>
      <c r="O719" s="9">
        <f>IFERROR(RawSalesTable_[[#This Row],[Profit]]/RawSalesTable_[[#This Row],[Revenue]],0)</f>
        <v>0.27831043188557486</v>
      </c>
    </row>
    <row r="720" spans="1:15">
      <c r="A720" s="7" t="s">
        <v>834</v>
      </c>
      <c r="B720" s="8">
        <v>45716</v>
      </c>
      <c r="C720" s="7" t="s">
        <v>22</v>
      </c>
      <c r="D720" s="7" t="s">
        <v>23</v>
      </c>
      <c r="E720" s="7" t="s">
        <v>44</v>
      </c>
      <c r="F720" s="7" t="s">
        <v>45</v>
      </c>
      <c r="G720" s="7" t="s">
        <v>58</v>
      </c>
      <c r="H720">
        <v>8</v>
      </c>
      <c r="I720">
        <v>28539.31</v>
      </c>
      <c r="J720">
        <v>0.1</v>
      </c>
      <c r="K720">
        <v>205483.03</v>
      </c>
      <c r="L720">
        <v>151536.92000000001</v>
      </c>
      <c r="M720">
        <v>53946.11</v>
      </c>
      <c r="N720" s="7" t="s">
        <v>33</v>
      </c>
      <c r="O720" s="9">
        <f>IFERROR(RawSalesTable_[[#This Row],[Profit]]/RawSalesTable_[[#This Row],[Revenue]],0)</f>
        <v>0.26253316393086085</v>
      </c>
    </row>
    <row r="721" spans="1:15">
      <c r="A721" s="7" t="s">
        <v>835</v>
      </c>
      <c r="B721" s="8">
        <v>45667</v>
      </c>
      <c r="C721" s="7" t="s">
        <v>28</v>
      </c>
      <c r="D721" s="7" t="s">
        <v>56</v>
      </c>
      <c r="E721" s="7" t="s">
        <v>49</v>
      </c>
      <c r="F721" s="7" t="s">
        <v>91</v>
      </c>
      <c r="G721" s="7" t="s">
        <v>58</v>
      </c>
      <c r="H721">
        <v>8</v>
      </c>
      <c r="I721">
        <v>6010.06</v>
      </c>
      <c r="J721">
        <v>0.15</v>
      </c>
      <c r="K721">
        <v>40868.410000000003</v>
      </c>
      <c r="L721">
        <v>28407.22</v>
      </c>
      <c r="M721">
        <v>12461.19</v>
      </c>
      <c r="N721" s="7" t="s">
        <v>33</v>
      </c>
      <c r="O721" s="9">
        <f>IFERROR(RawSalesTable_[[#This Row],[Profit]]/RawSalesTable_[[#This Row],[Revenue]],0)</f>
        <v>0.30491007602204245</v>
      </c>
    </row>
    <row r="722" spans="1:15">
      <c r="A722" s="7" t="s">
        <v>836</v>
      </c>
      <c r="B722" s="8">
        <v>45730</v>
      </c>
      <c r="C722" s="7" t="s">
        <v>22</v>
      </c>
      <c r="D722" s="7" t="s">
        <v>37</v>
      </c>
      <c r="E722" s="7" t="s">
        <v>44</v>
      </c>
      <c r="F722" s="7" t="s">
        <v>69</v>
      </c>
      <c r="G722" s="7" t="s">
        <v>32</v>
      </c>
      <c r="H722">
        <v>7</v>
      </c>
      <c r="I722">
        <v>37671.57</v>
      </c>
      <c r="J722">
        <v>0.15</v>
      </c>
      <c r="K722">
        <v>224145.84</v>
      </c>
      <c r="L722">
        <v>182915.51</v>
      </c>
      <c r="M722">
        <v>41230.33</v>
      </c>
      <c r="N722" s="7" t="s">
        <v>26</v>
      </c>
      <c r="O722" s="9">
        <f>IFERROR(RawSalesTable_[[#This Row],[Profit]]/RawSalesTable_[[#This Row],[Revenue]],0)</f>
        <v>0.18394421239314548</v>
      </c>
    </row>
    <row r="723" spans="1:15">
      <c r="A723" s="7" t="s">
        <v>837</v>
      </c>
      <c r="B723" s="8">
        <v>45975</v>
      </c>
      <c r="C723" s="7" t="s">
        <v>22</v>
      </c>
      <c r="D723" s="7" t="s">
        <v>37</v>
      </c>
      <c r="E723" s="7" t="s">
        <v>49</v>
      </c>
      <c r="F723" s="7" t="s">
        <v>107</v>
      </c>
      <c r="G723" s="7" t="s">
        <v>58</v>
      </c>
      <c r="H723">
        <v>1</v>
      </c>
      <c r="I723">
        <v>4784.83</v>
      </c>
      <c r="J723">
        <v>0.05</v>
      </c>
      <c r="K723">
        <v>4545.59</v>
      </c>
      <c r="L723">
        <v>2800.65</v>
      </c>
      <c r="M723">
        <v>1744.94</v>
      </c>
      <c r="N723" s="7" t="s">
        <v>26</v>
      </c>
      <c r="O723" s="9">
        <f>IFERROR(RawSalesTable_[[#This Row],[Profit]]/RawSalesTable_[[#This Row],[Revenue]],0)</f>
        <v>0.38387536051425669</v>
      </c>
    </row>
    <row r="724" spans="1:15">
      <c r="A724" s="7" t="s">
        <v>838</v>
      </c>
      <c r="B724" s="8">
        <v>45981</v>
      </c>
      <c r="C724" s="7" t="s">
        <v>22</v>
      </c>
      <c r="D724" s="7" t="s">
        <v>23</v>
      </c>
      <c r="E724" s="7" t="s">
        <v>49</v>
      </c>
      <c r="F724" s="7" t="s">
        <v>57</v>
      </c>
      <c r="G724" s="7" t="s">
        <v>47</v>
      </c>
      <c r="H724">
        <v>5</v>
      </c>
      <c r="I724">
        <v>12124.66</v>
      </c>
      <c r="J724">
        <v>0.05</v>
      </c>
      <c r="K724">
        <v>57592.14</v>
      </c>
      <c r="L724">
        <v>33798.28</v>
      </c>
      <c r="M724">
        <v>23793.86</v>
      </c>
      <c r="N724" s="7" t="s">
        <v>59</v>
      </c>
      <c r="O724" s="9">
        <f>IFERROR(RawSalesTable_[[#This Row],[Profit]]/RawSalesTable_[[#This Row],[Revenue]],0)</f>
        <v>0.4131442241944821</v>
      </c>
    </row>
    <row r="725" spans="1:15">
      <c r="A725" s="7" t="s">
        <v>839</v>
      </c>
      <c r="B725" s="8">
        <v>45942</v>
      </c>
      <c r="C725" s="7" t="s">
        <v>22</v>
      </c>
      <c r="D725" s="7" t="s">
        <v>23</v>
      </c>
      <c r="E725" s="7" t="s">
        <v>17</v>
      </c>
      <c r="F725" s="7" t="s">
        <v>18</v>
      </c>
      <c r="G725" s="7" t="s">
        <v>58</v>
      </c>
      <c r="H725">
        <v>2</v>
      </c>
      <c r="I725">
        <v>14257.11</v>
      </c>
      <c r="J725">
        <v>0</v>
      </c>
      <c r="K725">
        <v>28514.22</v>
      </c>
      <c r="L725">
        <v>16861.41</v>
      </c>
      <c r="M725">
        <v>11652.81</v>
      </c>
      <c r="N725" s="7" t="s">
        <v>20</v>
      </c>
      <c r="O725" s="9">
        <f>IFERROR(RawSalesTable_[[#This Row],[Profit]]/RawSalesTable_[[#This Row],[Revenue]],0)</f>
        <v>0.40866662317959246</v>
      </c>
    </row>
    <row r="726" spans="1:15">
      <c r="A726" s="7" t="s">
        <v>840</v>
      </c>
      <c r="B726" s="8">
        <v>45783</v>
      </c>
      <c r="C726" s="7" t="s">
        <v>22</v>
      </c>
      <c r="D726" s="7" t="s">
        <v>37</v>
      </c>
      <c r="E726" s="7" t="s">
        <v>30</v>
      </c>
      <c r="F726" s="7" t="s">
        <v>38</v>
      </c>
      <c r="G726" s="7" t="s">
        <v>32</v>
      </c>
      <c r="H726">
        <v>5</v>
      </c>
      <c r="I726">
        <v>29072.05</v>
      </c>
      <c r="J726">
        <v>0.15</v>
      </c>
      <c r="K726">
        <v>123556.21</v>
      </c>
      <c r="L726">
        <v>90152.12</v>
      </c>
      <c r="M726">
        <v>33404.089999999997</v>
      </c>
      <c r="N726" s="7" t="s">
        <v>59</v>
      </c>
      <c r="O726" s="9">
        <f>IFERROR(RawSalesTable_[[#This Row],[Profit]]/RawSalesTable_[[#This Row],[Revenue]],0)</f>
        <v>0.27035541151675013</v>
      </c>
    </row>
    <row r="727" spans="1:15">
      <c r="A727" s="7" t="s">
        <v>841</v>
      </c>
      <c r="B727" s="8">
        <v>45660</v>
      </c>
      <c r="C727" s="7" t="s">
        <v>22</v>
      </c>
      <c r="D727" s="7" t="s">
        <v>35</v>
      </c>
      <c r="E727" s="7" t="s">
        <v>30</v>
      </c>
      <c r="F727" s="7" t="s">
        <v>31</v>
      </c>
      <c r="G727" s="7" t="s">
        <v>64</v>
      </c>
      <c r="H727">
        <v>3</v>
      </c>
      <c r="I727">
        <v>138163.18</v>
      </c>
      <c r="J727">
        <v>0</v>
      </c>
      <c r="K727">
        <v>414489.54</v>
      </c>
      <c r="L727">
        <v>306822.37</v>
      </c>
      <c r="M727">
        <v>107667.17</v>
      </c>
      <c r="N727" s="7" t="s">
        <v>26</v>
      </c>
      <c r="O727" s="9">
        <f>IFERROR(RawSalesTable_[[#This Row],[Profit]]/RawSalesTable_[[#This Row],[Revenue]],0)</f>
        <v>0.25975847303649691</v>
      </c>
    </row>
    <row r="728" spans="1:15">
      <c r="A728" s="7" t="s">
        <v>842</v>
      </c>
      <c r="B728" s="8">
        <v>45933</v>
      </c>
      <c r="C728" s="7" t="s">
        <v>28</v>
      </c>
      <c r="D728" s="7" t="s">
        <v>29</v>
      </c>
      <c r="E728" s="7" t="s">
        <v>49</v>
      </c>
      <c r="F728" s="7" t="s">
        <v>107</v>
      </c>
      <c r="G728" s="7" t="s">
        <v>64</v>
      </c>
      <c r="H728">
        <v>2</v>
      </c>
      <c r="I728">
        <v>5439.04</v>
      </c>
      <c r="J728">
        <v>0.15</v>
      </c>
      <c r="K728">
        <v>9246.3700000000008</v>
      </c>
      <c r="L728">
        <v>5484.18</v>
      </c>
      <c r="M728">
        <v>3762.19</v>
      </c>
      <c r="N728" s="7" t="s">
        <v>20</v>
      </c>
      <c r="O728" s="9">
        <f>IFERROR(RawSalesTable_[[#This Row],[Profit]]/RawSalesTable_[[#This Row],[Revenue]],0)</f>
        <v>0.40688291729619297</v>
      </c>
    </row>
    <row r="729" spans="1:15">
      <c r="A729" s="7" t="s">
        <v>843</v>
      </c>
      <c r="B729" s="8">
        <v>45721</v>
      </c>
      <c r="C729" s="7" t="s">
        <v>15</v>
      </c>
      <c r="D729" s="7" t="s">
        <v>16</v>
      </c>
      <c r="E729" s="7" t="s">
        <v>30</v>
      </c>
      <c r="F729" s="7" t="s">
        <v>40</v>
      </c>
      <c r="G729" s="7" t="s">
        <v>70</v>
      </c>
      <c r="H729">
        <v>6</v>
      </c>
      <c r="I729">
        <v>24056.06</v>
      </c>
      <c r="J729">
        <v>0.15</v>
      </c>
      <c r="K729">
        <v>122685.91</v>
      </c>
      <c r="L729">
        <v>98484.47</v>
      </c>
      <c r="M729">
        <v>24201.439999999999</v>
      </c>
      <c r="N729" s="7" t="s">
        <v>59</v>
      </c>
      <c r="O729" s="9">
        <f>IFERROR(RawSalesTable_[[#This Row],[Profit]]/RawSalesTable_[[#This Row],[Revenue]],0)</f>
        <v>0.19726340212987781</v>
      </c>
    </row>
    <row r="730" spans="1:15">
      <c r="A730" s="7" t="s">
        <v>844</v>
      </c>
      <c r="B730" s="8">
        <v>45841</v>
      </c>
      <c r="C730" s="7" t="s">
        <v>22</v>
      </c>
      <c r="D730" s="7" t="s">
        <v>35</v>
      </c>
      <c r="E730" s="7" t="s">
        <v>17</v>
      </c>
      <c r="F730" s="7" t="s">
        <v>24</v>
      </c>
      <c r="G730" s="7" t="s">
        <v>47</v>
      </c>
      <c r="H730">
        <v>1</v>
      </c>
      <c r="I730">
        <v>95803.96</v>
      </c>
      <c r="J730">
        <v>0.15</v>
      </c>
      <c r="K730">
        <v>81433.37</v>
      </c>
      <c r="L730">
        <v>70345.86</v>
      </c>
      <c r="M730">
        <v>11087.51</v>
      </c>
      <c r="N730" s="7" t="s">
        <v>33</v>
      </c>
      <c r="O730" s="9">
        <f>IFERROR(RawSalesTable_[[#This Row],[Profit]]/RawSalesTable_[[#This Row],[Revenue]],0)</f>
        <v>0.13615437995504792</v>
      </c>
    </row>
    <row r="731" spans="1:15">
      <c r="A731" s="7" t="s">
        <v>845</v>
      </c>
      <c r="B731" s="8">
        <v>45910</v>
      </c>
      <c r="C731" s="7" t="s">
        <v>15</v>
      </c>
      <c r="D731" s="7" t="s">
        <v>43</v>
      </c>
      <c r="E731" s="7" t="s">
        <v>30</v>
      </c>
      <c r="F731" s="7" t="s">
        <v>86</v>
      </c>
      <c r="G731" s="7" t="s">
        <v>47</v>
      </c>
      <c r="H731">
        <v>4</v>
      </c>
      <c r="I731">
        <v>35535.03</v>
      </c>
      <c r="J731">
        <v>0.05</v>
      </c>
      <c r="K731">
        <v>135033.10999999999</v>
      </c>
      <c r="L731">
        <v>87531.82</v>
      </c>
      <c r="M731">
        <v>47501.29</v>
      </c>
      <c r="N731" s="7" t="s">
        <v>33</v>
      </c>
      <c r="O731" s="9">
        <f>IFERROR(RawSalesTable_[[#This Row],[Profit]]/RawSalesTable_[[#This Row],[Revenue]],0)</f>
        <v>0.35177513129927918</v>
      </c>
    </row>
    <row r="732" spans="1:15">
      <c r="A732" s="7" t="s">
        <v>847</v>
      </c>
      <c r="B732" s="8">
        <v>45798</v>
      </c>
      <c r="C732" s="7" t="s">
        <v>15</v>
      </c>
      <c r="D732" s="7" t="s">
        <v>16</v>
      </c>
      <c r="E732" s="7" t="s">
        <v>17</v>
      </c>
      <c r="F732" s="7" t="s">
        <v>24</v>
      </c>
      <c r="G732" s="7" t="s">
        <v>47</v>
      </c>
      <c r="H732">
        <v>5</v>
      </c>
      <c r="I732">
        <v>98382.05</v>
      </c>
      <c r="J732">
        <v>0</v>
      </c>
      <c r="K732">
        <v>491910.25</v>
      </c>
      <c r="L732">
        <v>350767.87</v>
      </c>
      <c r="M732">
        <v>141142.38</v>
      </c>
      <c r="N732" s="7" t="s">
        <v>33</v>
      </c>
      <c r="O732" s="9">
        <f>IFERROR(RawSalesTable_[[#This Row],[Profit]]/RawSalesTable_[[#This Row],[Revenue]],0)</f>
        <v>0.2869270969653509</v>
      </c>
    </row>
    <row r="733" spans="1:15">
      <c r="A733" s="7" t="s">
        <v>848</v>
      </c>
      <c r="B733" s="8">
        <v>45990</v>
      </c>
      <c r="C733" s="7" t="s">
        <v>15</v>
      </c>
      <c r="D733" s="7" t="s">
        <v>43</v>
      </c>
      <c r="E733" s="7" t="s">
        <v>30</v>
      </c>
      <c r="F733" s="7" t="s">
        <v>40</v>
      </c>
      <c r="G733" s="7" t="s">
        <v>64</v>
      </c>
      <c r="H733">
        <v>1</v>
      </c>
      <c r="I733">
        <v>26216.53</v>
      </c>
      <c r="J733">
        <v>0.15</v>
      </c>
      <c r="K733">
        <v>22284.05</v>
      </c>
      <c r="L733">
        <v>16070.45</v>
      </c>
      <c r="M733">
        <v>6213.6</v>
      </c>
      <c r="N733" s="7" t="s">
        <v>59</v>
      </c>
      <c r="O733" s="9">
        <f>IFERROR(RawSalesTable_[[#This Row],[Profit]]/RawSalesTable_[[#This Row],[Revenue]],0)</f>
        <v>0.2788362079604022</v>
      </c>
    </row>
    <row r="734" spans="1:15">
      <c r="A734" s="7" t="s">
        <v>849</v>
      </c>
      <c r="B734" s="8">
        <v>45772</v>
      </c>
      <c r="C734" s="7" t="s">
        <v>28</v>
      </c>
      <c r="D734" s="7" t="s">
        <v>56</v>
      </c>
      <c r="E734" s="7" t="s">
        <v>30</v>
      </c>
      <c r="F734" s="7" t="s">
        <v>31</v>
      </c>
      <c r="G734" s="7" t="s">
        <v>64</v>
      </c>
      <c r="H734">
        <v>8</v>
      </c>
      <c r="I734">
        <v>134904.41</v>
      </c>
      <c r="J734">
        <v>0.1</v>
      </c>
      <c r="K734">
        <v>971311.75</v>
      </c>
      <c r="L734">
        <v>826690.27</v>
      </c>
      <c r="M734">
        <v>144621.48000000001</v>
      </c>
      <c r="N734" s="7" t="s">
        <v>59</v>
      </c>
      <c r="O734" s="9">
        <f>IFERROR(RawSalesTable_[[#This Row],[Profit]]/RawSalesTable_[[#This Row],[Revenue]],0)</f>
        <v>0.14889295841422695</v>
      </c>
    </row>
    <row r="735" spans="1:15">
      <c r="A735" s="7" t="s">
        <v>850</v>
      </c>
      <c r="B735" s="8">
        <v>45950</v>
      </c>
      <c r="C735" s="7" t="s">
        <v>28</v>
      </c>
      <c r="D735" s="7" t="s">
        <v>29</v>
      </c>
      <c r="E735" s="7" t="s">
        <v>49</v>
      </c>
      <c r="F735" s="7" t="s">
        <v>57</v>
      </c>
      <c r="G735" s="7" t="s">
        <v>64</v>
      </c>
      <c r="H735">
        <v>1</v>
      </c>
      <c r="I735">
        <v>11301.02</v>
      </c>
      <c r="J735">
        <v>0.05</v>
      </c>
      <c r="K735">
        <v>10735.97</v>
      </c>
      <c r="L735">
        <v>6342.22</v>
      </c>
      <c r="M735">
        <v>4393.75</v>
      </c>
      <c r="N735" s="7" t="s">
        <v>26</v>
      </c>
      <c r="O735" s="9">
        <f>IFERROR(RawSalesTable_[[#This Row],[Profit]]/RawSalesTable_[[#This Row],[Revenue]],0)</f>
        <v>0.40925505566800208</v>
      </c>
    </row>
    <row r="736" spans="1:15">
      <c r="A736" s="7" t="s">
        <v>851</v>
      </c>
      <c r="B736" s="8">
        <v>45978</v>
      </c>
      <c r="C736" s="7" t="s">
        <v>15</v>
      </c>
      <c r="D736" s="7" t="s">
        <v>63</v>
      </c>
      <c r="E736" s="7" t="s">
        <v>17</v>
      </c>
      <c r="F736" s="7" t="s">
        <v>24</v>
      </c>
      <c r="G736" s="7" t="s">
        <v>19</v>
      </c>
      <c r="H736">
        <v>4</v>
      </c>
      <c r="I736">
        <v>87061.17</v>
      </c>
      <c r="J736">
        <v>-0.05</v>
      </c>
      <c r="K736">
        <v>330832.45</v>
      </c>
      <c r="L736">
        <v>265036.55</v>
      </c>
      <c r="M736">
        <v>65795.899999999994</v>
      </c>
      <c r="N736" s="7" t="s">
        <v>33</v>
      </c>
      <c r="O736" s="9">
        <f>IFERROR(RawSalesTable_[[#This Row],[Profit]]/RawSalesTable_[[#This Row],[Revenue]],0)</f>
        <v>0.19887982572447169</v>
      </c>
    </row>
    <row r="737" spans="1:15">
      <c r="A737" s="7" t="s">
        <v>852</v>
      </c>
      <c r="B737" s="8">
        <v>45832</v>
      </c>
      <c r="C737" s="7" t="s">
        <v>28</v>
      </c>
      <c r="D737" s="7" t="s">
        <v>56</v>
      </c>
      <c r="E737" s="7" t="s">
        <v>17</v>
      </c>
      <c r="F737" s="7" t="s">
        <v>18</v>
      </c>
      <c r="G737" s="7" t="s">
        <v>64</v>
      </c>
      <c r="H737">
        <v>5</v>
      </c>
      <c r="I737">
        <v>13913.4</v>
      </c>
      <c r="J737">
        <v>0.05</v>
      </c>
      <c r="K737">
        <v>66088.649999999994</v>
      </c>
      <c r="L737">
        <v>40454.089999999997</v>
      </c>
      <c r="M737">
        <v>25634.560000000001</v>
      </c>
      <c r="N737" s="7" t="s">
        <v>59</v>
      </c>
      <c r="O737" s="9">
        <f>IFERROR(RawSalesTable_[[#This Row],[Profit]]/RawSalesTable_[[#This Row],[Revenue]],0)</f>
        <v>0.38788142895943561</v>
      </c>
    </row>
    <row r="738" spans="1:15">
      <c r="A738" s="7" t="s">
        <v>854</v>
      </c>
      <c r="B738" s="8">
        <v>45970</v>
      </c>
      <c r="C738" s="7" t="s">
        <v>28</v>
      </c>
      <c r="D738" s="7" t="s">
        <v>29</v>
      </c>
      <c r="E738" s="7" t="s">
        <v>17</v>
      </c>
      <c r="F738" s="7" t="s">
        <v>24</v>
      </c>
      <c r="G738" s="7" t="s">
        <v>25</v>
      </c>
      <c r="H738">
        <v>1</v>
      </c>
      <c r="I738">
        <v>98169.38</v>
      </c>
      <c r="J738">
        <v>0.05</v>
      </c>
      <c r="K738">
        <v>93260.91</v>
      </c>
      <c r="L738">
        <v>66220.789999999994</v>
      </c>
      <c r="M738">
        <v>27040.12</v>
      </c>
      <c r="N738" s="7" t="s">
        <v>33</v>
      </c>
      <c r="O738" s="9">
        <f>IFERROR(RawSalesTable_[[#This Row],[Profit]]/RawSalesTable_[[#This Row],[Revenue]],0)</f>
        <v>0.2899405549441883</v>
      </c>
    </row>
    <row r="739" spans="1:15">
      <c r="A739" s="7" t="s">
        <v>855</v>
      </c>
      <c r="B739" s="8">
        <v>45868</v>
      </c>
      <c r="C739" s="7" t="s">
        <v>22</v>
      </c>
      <c r="D739" s="7" t="s">
        <v>37</v>
      </c>
      <c r="E739" s="7" t="s">
        <v>17</v>
      </c>
      <c r="F739" s="7" t="s">
        <v>75</v>
      </c>
      <c r="G739" s="7" t="s">
        <v>47</v>
      </c>
      <c r="H739">
        <v>5</v>
      </c>
      <c r="I739">
        <v>195357.91</v>
      </c>
      <c r="J739">
        <v>0.05</v>
      </c>
      <c r="K739">
        <v>927950.07</v>
      </c>
      <c r="L739">
        <v>693462.76</v>
      </c>
      <c r="M739">
        <v>234487.31</v>
      </c>
      <c r="N739" s="7" t="s">
        <v>33</v>
      </c>
      <c r="O739" s="9">
        <f>IFERROR(RawSalesTable_[[#This Row],[Profit]]/RawSalesTable_[[#This Row],[Revenue]],0)</f>
        <v>0.25269388685966693</v>
      </c>
    </row>
    <row r="740" spans="1:15">
      <c r="A740" s="7" t="s">
        <v>856</v>
      </c>
      <c r="B740" s="8">
        <v>45890</v>
      </c>
      <c r="C740" s="7" t="s">
        <v>28</v>
      </c>
      <c r="D740" s="7" t="s">
        <v>56</v>
      </c>
      <c r="E740" s="7" t="s">
        <v>49</v>
      </c>
      <c r="F740" s="7" t="s">
        <v>107</v>
      </c>
      <c r="G740" s="7" t="s">
        <v>32</v>
      </c>
      <c r="H740">
        <v>2</v>
      </c>
      <c r="I740">
        <v>5066.5600000000004</v>
      </c>
      <c r="J740">
        <v>0.15</v>
      </c>
      <c r="K740">
        <v>8613.15</v>
      </c>
      <c r="L740">
        <v>5533.95</v>
      </c>
      <c r="M740">
        <v>3079.2</v>
      </c>
      <c r="N740" s="7" t="s">
        <v>26</v>
      </c>
      <c r="O740" s="9">
        <f>IFERROR(RawSalesTable_[[#This Row],[Profit]]/RawSalesTable_[[#This Row],[Revenue]],0)</f>
        <v>0.35749986938576478</v>
      </c>
    </row>
    <row r="741" spans="1:15">
      <c r="A741" s="7" t="s">
        <v>857</v>
      </c>
      <c r="B741" s="8">
        <v>45789</v>
      </c>
      <c r="C741" s="7" t="s">
        <v>22</v>
      </c>
      <c r="D741" s="7" t="s">
        <v>23</v>
      </c>
      <c r="E741" s="7" t="s">
        <v>17</v>
      </c>
      <c r="F741" s="7" t="s">
        <v>75</v>
      </c>
      <c r="G741" s="7" t="s">
        <v>32</v>
      </c>
      <c r="H741">
        <v>4</v>
      </c>
      <c r="I741">
        <v>196969.35</v>
      </c>
      <c r="J741">
        <v>0</v>
      </c>
      <c r="K741">
        <v>787877.4</v>
      </c>
      <c r="L741">
        <v>576301.57999999996</v>
      </c>
      <c r="M741">
        <v>211575.82</v>
      </c>
      <c r="N741" s="7" t="s">
        <v>20</v>
      </c>
      <c r="O741" s="9">
        <f>IFERROR(RawSalesTable_[[#This Row],[Profit]]/RawSalesTable_[[#This Row],[Revenue]],0)</f>
        <v>0.26853901381103201</v>
      </c>
    </row>
    <row r="742" spans="1:15">
      <c r="A742" s="7" t="s">
        <v>858</v>
      </c>
      <c r="B742" s="8">
        <v>45817</v>
      </c>
      <c r="C742" s="7" t="s">
        <v>28</v>
      </c>
      <c r="D742" s="7" t="s">
        <v>29</v>
      </c>
      <c r="E742" s="7" t="s">
        <v>49</v>
      </c>
      <c r="F742" s="7" t="s">
        <v>1590</v>
      </c>
      <c r="G742" s="7" t="s">
        <v>25</v>
      </c>
      <c r="H742">
        <v>4</v>
      </c>
      <c r="I742">
        <v>3956.52</v>
      </c>
      <c r="J742">
        <v>0</v>
      </c>
      <c r="K742">
        <v>15826.08</v>
      </c>
      <c r="L742">
        <v>8183.57</v>
      </c>
      <c r="M742">
        <v>7642.51</v>
      </c>
      <c r="N742" s="7" t="s">
        <v>59</v>
      </c>
      <c r="O742" s="9">
        <f>IFERROR(RawSalesTable_[[#This Row],[Profit]]/RawSalesTable_[[#This Row],[Revenue]],0)</f>
        <v>0.48290606391475338</v>
      </c>
    </row>
    <row r="743" spans="1:15">
      <c r="A743" s="7" t="s">
        <v>859</v>
      </c>
      <c r="B743" s="8">
        <v>45662</v>
      </c>
      <c r="C743" s="7" t="s">
        <v>28</v>
      </c>
      <c r="D743" s="7" t="s">
        <v>29</v>
      </c>
      <c r="E743" s="7" t="s">
        <v>44</v>
      </c>
      <c r="F743" s="7" t="s">
        <v>45</v>
      </c>
      <c r="G743" s="7" t="s">
        <v>61</v>
      </c>
      <c r="H743">
        <v>8</v>
      </c>
      <c r="I743">
        <v>27627.56</v>
      </c>
      <c r="J743">
        <v>0.05</v>
      </c>
      <c r="K743">
        <v>209969.46</v>
      </c>
      <c r="L743">
        <v>150536.92000000001</v>
      </c>
      <c r="M743">
        <v>59432.54</v>
      </c>
      <c r="N743" s="7" t="s">
        <v>33</v>
      </c>
      <c r="O743" s="9">
        <f>IFERROR(RawSalesTable_[[#This Row],[Profit]]/RawSalesTable_[[#This Row],[Revenue]],0)</f>
        <v>0.28305325926922897</v>
      </c>
    </row>
    <row r="744" spans="1:15">
      <c r="A744" s="7" t="s">
        <v>860</v>
      </c>
      <c r="B744" s="8">
        <v>45761</v>
      </c>
      <c r="C744" s="7" t="s">
        <v>22</v>
      </c>
      <c r="D744" s="7" t="s">
        <v>37</v>
      </c>
      <c r="E744" s="7" t="s">
        <v>17</v>
      </c>
      <c r="F744" s="7" t="s">
        <v>114</v>
      </c>
      <c r="G744" s="7" t="s">
        <v>19</v>
      </c>
      <c r="H744">
        <v>6</v>
      </c>
      <c r="I744">
        <v>49465.79</v>
      </c>
      <c r="J744">
        <v>0</v>
      </c>
      <c r="K744">
        <v>296794.74</v>
      </c>
      <c r="L744">
        <v>222249.7</v>
      </c>
      <c r="M744">
        <v>74545.039999999994</v>
      </c>
      <c r="N744" s="7" t="s">
        <v>59</v>
      </c>
      <c r="O744" s="9">
        <f>IFERROR(RawSalesTable_[[#This Row],[Profit]]/RawSalesTable_[[#This Row],[Revenue]],0)</f>
        <v>0.25116698496745593</v>
      </c>
    </row>
    <row r="745" spans="1:15">
      <c r="A745" s="7" t="s">
        <v>861</v>
      </c>
      <c r="B745" s="8">
        <v>45973</v>
      </c>
      <c r="C745" s="7" t="s">
        <v>22</v>
      </c>
      <c r="D745" s="7" t="s">
        <v>37</v>
      </c>
      <c r="E745" s="7" t="s">
        <v>49</v>
      </c>
      <c r="F745" s="7" t="s">
        <v>107</v>
      </c>
      <c r="G745" s="7" t="s">
        <v>58</v>
      </c>
      <c r="H745">
        <v>6</v>
      </c>
      <c r="I745">
        <v>5492.87</v>
      </c>
      <c r="J745">
        <v>0.1</v>
      </c>
      <c r="K745">
        <v>29661.5</v>
      </c>
      <c r="L745">
        <v>16806.12</v>
      </c>
      <c r="M745">
        <v>12855.38</v>
      </c>
      <c r="N745" s="7" t="s">
        <v>20</v>
      </c>
      <c r="O745" s="9">
        <f>IFERROR(RawSalesTable_[[#This Row],[Profit]]/RawSalesTable_[[#This Row],[Revenue]],0)</f>
        <v>0.43340289600997922</v>
      </c>
    </row>
    <row r="746" spans="1:15">
      <c r="A746" s="7" t="s">
        <v>862</v>
      </c>
      <c r="B746" s="8">
        <v>46012</v>
      </c>
      <c r="C746" s="7" t="s">
        <v>28</v>
      </c>
      <c r="D746" s="7" t="s">
        <v>52</v>
      </c>
      <c r="E746" s="7" t="s">
        <v>17</v>
      </c>
      <c r="F746" s="7" t="s">
        <v>114</v>
      </c>
      <c r="G746" s="7" t="s">
        <v>47</v>
      </c>
      <c r="H746">
        <v>1</v>
      </c>
      <c r="I746">
        <v>51966.14</v>
      </c>
      <c r="J746">
        <v>0</v>
      </c>
      <c r="K746">
        <v>51966.14</v>
      </c>
      <c r="L746">
        <v>37037.050000000003</v>
      </c>
      <c r="M746">
        <v>14929.09</v>
      </c>
      <c r="N746" s="7" t="s">
        <v>20</v>
      </c>
      <c r="O746" s="9">
        <f>IFERROR(RawSalesTable_[[#This Row],[Profit]]/RawSalesTable_[[#This Row],[Revenue]],0)</f>
        <v>0.28728495131637638</v>
      </c>
    </row>
    <row r="747" spans="1:15">
      <c r="A747" s="7" t="s">
        <v>863</v>
      </c>
      <c r="B747" s="8">
        <v>45752</v>
      </c>
      <c r="C747" s="7" t="s">
        <v>15</v>
      </c>
      <c r="D747" s="7" t="s">
        <v>16</v>
      </c>
      <c r="E747" s="7" t="s">
        <v>44</v>
      </c>
      <c r="F747" s="7" t="s">
        <v>53</v>
      </c>
      <c r="G747" s="7" t="s">
        <v>64</v>
      </c>
      <c r="H747">
        <v>6</v>
      </c>
      <c r="I747">
        <v>8917.89</v>
      </c>
      <c r="J747">
        <v>0.05</v>
      </c>
      <c r="K747">
        <v>50831.97</v>
      </c>
      <c r="L747">
        <v>28940.54</v>
      </c>
      <c r="M747">
        <v>21891.43</v>
      </c>
      <c r="N747" s="7" t="s">
        <v>59</v>
      </c>
      <c r="O747" s="9">
        <f>IFERROR(RawSalesTable_[[#This Row],[Profit]]/RawSalesTable_[[#This Row],[Revenue]],0)</f>
        <v>0.43066263219780782</v>
      </c>
    </row>
    <row r="748" spans="1:15">
      <c r="A748" s="7" t="s">
        <v>864</v>
      </c>
      <c r="B748" s="8">
        <v>45957</v>
      </c>
      <c r="C748" s="7" t="s">
        <v>22</v>
      </c>
      <c r="D748" s="7" t="s">
        <v>23</v>
      </c>
      <c r="E748" s="7" t="s">
        <v>30</v>
      </c>
      <c r="F748" s="7" t="s">
        <v>31</v>
      </c>
      <c r="G748" s="7" t="s">
        <v>32</v>
      </c>
      <c r="H748">
        <v>2</v>
      </c>
      <c r="I748">
        <v>127275.88</v>
      </c>
      <c r="J748">
        <v>0.05</v>
      </c>
      <c r="K748">
        <v>241824.17</v>
      </c>
      <c r="L748">
        <v>198688.86</v>
      </c>
      <c r="M748">
        <v>43135.31</v>
      </c>
      <c r="N748" s="7" t="s">
        <v>33</v>
      </c>
      <c r="O748" s="9">
        <f>IFERROR(RawSalesTable_[[#This Row],[Profit]]/RawSalesTable_[[#This Row],[Revenue]],0)</f>
        <v>0.17837468438328558</v>
      </c>
    </row>
    <row r="749" spans="1:15">
      <c r="A749" s="7" t="s">
        <v>866</v>
      </c>
      <c r="B749" s="8">
        <v>45993</v>
      </c>
      <c r="C749" s="7" t="s">
        <v>22</v>
      </c>
      <c r="D749" s="7" t="s">
        <v>23</v>
      </c>
      <c r="E749" s="7" t="s">
        <v>44</v>
      </c>
      <c r="F749" s="7" t="s">
        <v>69</v>
      </c>
      <c r="G749" s="7" t="s">
        <v>19</v>
      </c>
      <c r="H749">
        <v>2</v>
      </c>
      <c r="I749">
        <v>35087.64</v>
      </c>
      <c r="J749">
        <v>0.15</v>
      </c>
      <c r="K749">
        <v>59648.99</v>
      </c>
      <c r="L749">
        <v>50939.57</v>
      </c>
      <c r="M749">
        <v>8709.42</v>
      </c>
      <c r="N749" s="7" t="s">
        <v>59</v>
      </c>
      <c r="O749" s="9">
        <f>IFERROR(RawSalesTable_[[#This Row],[Profit]]/RawSalesTable_[[#This Row],[Revenue]],0)</f>
        <v>0.14601118979550198</v>
      </c>
    </row>
    <row r="750" spans="1:15">
      <c r="A750" s="7" t="s">
        <v>867</v>
      </c>
      <c r="B750" s="8">
        <v>45927</v>
      </c>
      <c r="C750" s="7" t="s">
        <v>22</v>
      </c>
      <c r="D750" s="7" t="s">
        <v>35</v>
      </c>
      <c r="E750" s="7" t="s">
        <v>49</v>
      </c>
      <c r="F750" s="7" t="s">
        <v>1590</v>
      </c>
      <c r="G750" s="7" t="s">
        <v>25</v>
      </c>
      <c r="H750">
        <v>6</v>
      </c>
      <c r="I750">
        <v>4407.9799999999996</v>
      </c>
      <c r="J750">
        <v>0.15</v>
      </c>
      <c r="K750">
        <v>22480.7</v>
      </c>
      <c r="L750">
        <v>12373.14</v>
      </c>
      <c r="M750">
        <v>10107.56</v>
      </c>
      <c r="N750" s="7" t="s">
        <v>33</v>
      </c>
      <c r="O750" s="9">
        <f>IFERROR(RawSalesTable_[[#This Row],[Profit]]/RawSalesTable_[[#This Row],[Revenue]],0)</f>
        <v>0.4496105548314776</v>
      </c>
    </row>
    <row r="751" spans="1:15">
      <c r="A751" s="7" t="s">
        <v>868</v>
      </c>
      <c r="B751" s="8">
        <v>45964</v>
      </c>
      <c r="C751" s="7" t="s">
        <v>22</v>
      </c>
      <c r="D751" s="7" t="s">
        <v>23</v>
      </c>
      <c r="E751" s="7" t="s">
        <v>44</v>
      </c>
      <c r="F751" s="7" t="s">
        <v>45</v>
      </c>
      <c r="G751" s="7" t="s">
        <v>25</v>
      </c>
      <c r="H751">
        <v>4</v>
      </c>
      <c r="I751">
        <v>28648.45</v>
      </c>
      <c r="J751">
        <v>0.15</v>
      </c>
      <c r="K751">
        <v>97404.73</v>
      </c>
      <c r="L751">
        <v>75711.039999999994</v>
      </c>
      <c r="M751">
        <v>21693.69</v>
      </c>
      <c r="N751" s="7" t="s">
        <v>26</v>
      </c>
      <c r="O751" s="9">
        <f>IFERROR(RawSalesTable_[[#This Row],[Profit]]/RawSalesTable_[[#This Row],[Revenue]],0)</f>
        <v>0.22271700768535574</v>
      </c>
    </row>
    <row r="752" spans="1:15">
      <c r="A752" s="7" t="s">
        <v>869</v>
      </c>
      <c r="B752" s="8">
        <v>45801</v>
      </c>
      <c r="C752" s="7" t="s">
        <v>22</v>
      </c>
      <c r="D752" s="7" t="s">
        <v>37</v>
      </c>
      <c r="E752" s="7" t="s">
        <v>44</v>
      </c>
      <c r="F752" s="7" t="s">
        <v>69</v>
      </c>
      <c r="G752" s="7" t="s">
        <v>61</v>
      </c>
      <c r="H752">
        <v>3</v>
      </c>
      <c r="I752">
        <v>36952.300000000003</v>
      </c>
      <c r="J752">
        <v>0</v>
      </c>
      <c r="K752">
        <v>110856.9</v>
      </c>
      <c r="L752">
        <v>79096.850000000006</v>
      </c>
      <c r="M752">
        <v>31760.05</v>
      </c>
      <c r="N752" s="7" t="s">
        <v>20</v>
      </c>
      <c r="O752" s="9">
        <f>IFERROR(RawSalesTable_[[#This Row],[Profit]]/RawSalesTable_[[#This Row],[Revenue]],0)</f>
        <v>0.28649592402457585</v>
      </c>
    </row>
    <row r="753" spans="1:15">
      <c r="A753" s="7" t="s">
        <v>870</v>
      </c>
      <c r="B753" s="8">
        <v>45988</v>
      </c>
      <c r="C753" s="7" t="s">
        <v>22</v>
      </c>
      <c r="D753" s="7" t="s">
        <v>37</v>
      </c>
      <c r="E753" s="7" t="s">
        <v>17</v>
      </c>
      <c r="F753" s="7" t="s">
        <v>114</v>
      </c>
      <c r="G753" s="7" t="s">
        <v>32</v>
      </c>
      <c r="H753">
        <v>2</v>
      </c>
      <c r="I753">
        <v>49233.05</v>
      </c>
      <c r="J753">
        <v>0.05</v>
      </c>
      <c r="K753">
        <v>93542.79</v>
      </c>
      <c r="L753">
        <v>74649.179999999993</v>
      </c>
      <c r="M753">
        <v>18893.61</v>
      </c>
      <c r="N753" s="7" t="s">
        <v>20</v>
      </c>
      <c r="O753" s="9">
        <f>IFERROR(RawSalesTable_[[#This Row],[Profit]]/RawSalesTable_[[#This Row],[Revenue]],0)</f>
        <v>0.20197826043033357</v>
      </c>
    </row>
    <row r="754" spans="1:15">
      <c r="A754" s="7" t="s">
        <v>871</v>
      </c>
      <c r="B754" s="8">
        <v>45911</v>
      </c>
      <c r="C754" s="7" t="s">
        <v>15</v>
      </c>
      <c r="D754" s="7" t="s">
        <v>63</v>
      </c>
      <c r="E754" s="7" t="s">
        <v>44</v>
      </c>
      <c r="F754" s="7" t="s">
        <v>69</v>
      </c>
      <c r="G754" s="7" t="s">
        <v>70</v>
      </c>
      <c r="H754">
        <v>6</v>
      </c>
      <c r="I754">
        <v>38154.89</v>
      </c>
      <c r="J754">
        <v>0.05</v>
      </c>
      <c r="K754">
        <v>217482.87</v>
      </c>
      <c r="L754">
        <v>159134.9</v>
      </c>
      <c r="M754">
        <v>58347.97</v>
      </c>
      <c r="N754" s="7" t="s">
        <v>59</v>
      </c>
      <c r="O754" s="9">
        <f>IFERROR(RawSalesTable_[[#This Row],[Profit]]/RawSalesTable_[[#This Row],[Revenue]],0)</f>
        <v>0.26828765870157961</v>
      </c>
    </row>
    <row r="755" spans="1:15">
      <c r="A755" s="7" t="s">
        <v>872</v>
      </c>
      <c r="B755" s="8">
        <v>45860</v>
      </c>
      <c r="C755" s="7" t="s">
        <v>15</v>
      </c>
      <c r="D755" s="7" t="s">
        <v>63</v>
      </c>
      <c r="E755" s="7" t="s">
        <v>17</v>
      </c>
      <c r="F755" s="7" t="s">
        <v>24</v>
      </c>
      <c r="G755" s="7" t="s">
        <v>47</v>
      </c>
      <c r="H755">
        <v>4</v>
      </c>
      <c r="I755">
        <v>97812.7</v>
      </c>
      <c r="J755">
        <v>0.05</v>
      </c>
      <c r="K755">
        <v>371688.26</v>
      </c>
      <c r="L755">
        <v>280274.71999999997</v>
      </c>
      <c r="M755">
        <v>91413.54</v>
      </c>
      <c r="N755" s="7" t="s">
        <v>59</v>
      </c>
      <c r="O755" s="9">
        <f>IFERROR(RawSalesTable_[[#This Row],[Profit]]/RawSalesTable_[[#This Row],[Revenue]],0)</f>
        <v>0.24594142413860473</v>
      </c>
    </row>
    <row r="756" spans="1:15">
      <c r="A756" s="7" t="s">
        <v>873</v>
      </c>
      <c r="B756" s="8">
        <v>45809</v>
      </c>
      <c r="C756" s="7" t="s">
        <v>28</v>
      </c>
      <c r="D756" s="7" t="s">
        <v>56</v>
      </c>
      <c r="E756" s="7" t="s">
        <v>44</v>
      </c>
      <c r="F756" s="7" t="s">
        <v>69</v>
      </c>
      <c r="G756" s="7" t="s">
        <v>70</v>
      </c>
      <c r="H756">
        <v>5</v>
      </c>
      <c r="I756">
        <v>38307.360000000001</v>
      </c>
      <c r="J756">
        <v>0</v>
      </c>
      <c r="K756">
        <v>191536.8</v>
      </c>
      <c r="L756">
        <v>132939.76999999999</v>
      </c>
      <c r="M756">
        <v>58597.03</v>
      </c>
      <c r="N756" s="7" t="s">
        <v>59</v>
      </c>
      <c r="O756" s="9">
        <f>IFERROR(RawSalesTable_[[#This Row],[Profit]]/RawSalesTable_[[#This Row],[Revenue]],0)</f>
        <v>0.30593092293491381</v>
      </c>
    </row>
    <row r="757" spans="1:15">
      <c r="A757" s="7" t="s">
        <v>874</v>
      </c>
      <c r="B757" s="8">
        <v>45846</v>
      </c>
      <c r="C757" s="7" t="s">
        <v>22</v>
      </c>
      <c r="D757" s="7" t="s">
        <v>37</v>
      </c>
      <c r="E757" s="7" t="s">
        <v>17</v>
      </c>
      <c r="F757" s="7" t="s">
        <v>114</v>
      </c>
      <c r="G757" s="7" t="s">
        <v>70</v>
      </c>
      <c r="H757">
        <v>6</v>
      </c>
      <c r="I757">
        <v>51385.17</v>
      </c>
      <c r="J757">
        <v>0.05</v>
      </c>
      <c r="K757">
        <v>292895.46999999997</v>
      </c>
      <c r="L757">
        <v>219060.31</v>
      </c>
      <c r="M757">
        <v>73835.16</v>
      </c>
      <c r="N757" s="7" t="s">
        <v>59</v>
      </c>
      <c r="O757" s="9">
        <f>IFERROR(RawSalesTable_[[#This Row],[Profit]]/RawSalesTable_[[#This Row],[Revenue]],0)</f>
        <v>0.2520870671028132</v>
      </c>
    </row>
    <row r="758" spans="1:15">
      <c r="A758" s="7" t="s">
        <v>875</v>
      </c>
      <c r="B758" s="8">
        <v>45700</v>
      </c>
      <c r="C758" s="7" t="s">
        <v>28</v>
      </c>
      <c r="D758" s="7" t="s">
        <v>56</v>
      </c>
      <c r="E758" s="7" t="s">
        <v>17</v>
      </c>
      <c r="F758" s="7" t="s">
        <v>24</v>
      </c>
      <c r="G758" s="7" t="s">
        <v>58</v>
      </c>
      <c r="H758">
        <v>8</v>
      </c>
      <c r="I758">
        <v>88081.39</v>
      </c>
      <c r="J758">
        <v>0.15</v>
      </c>
      <c r="K758">
        <v>598953.44999999995</v>
      </c>
      <c r="L758">
        <v>530569.82999999996</v>
      </c>
      <c r="M758">
        <v>68383.62</v>
      </c>
      <c r="N758" s="7" t="s">
        <v>33</v>
      </c>
      <c r="O758" s="9">
        <f>IFERROR(RawSalesTable_[[#This Row],[Profit]]/RawSalesTable_[[#This Row],[Revenue]],0)</f>
        <v>0.11417184423931442</v>
      </c>
    </row>
    <row r="759" spans="1:15">
      <c r="A759" s="7" t="s">
        <v>876</v>
      </c>
      <c r="B759" s="8">
        <v>45758</v>
      </c>
      <c r="C759" s="7" t="s">
        <v>28</v>
      </c>
      <c r="D759" s="7" t="s">
        <v>52</v>
      </c>
      <c r="E759" s="7" t="s">
        <v>17</v>
      </c>
      <c r="F759" s="7" t="s">
        <v>75</v>
      </c>
      <c r="G759" s="7" t="s">
        <v>32</v>
      </c>
      <c r="H759">
        <v>2</v>
      </c>
      <c r="I759">
        <v>180863.01</v>
      </c>
      <c r="J759">
        <v>0.1</v>
      </c>
      <c r="K759">
        <v>325553.42</v>
      </c>
      <c r="L759">
        <v>279462.09999999998</v>
      </c>
      <c r="M759">
        <v>46091.32</v>
      </c>
      <c r="N759" s="7" t="s">
        <v>59</v>
      </c>
      <c r="O759" s="9">
        <f>IFERROR(RawSalesTable_[[#This Row],[Profit]]/RawSalesTable_[[#This Row],[Revenue]],0)</f>
        <v>0.14157836216249856</v>
      </c>
    </row>
    <row r="760" spans="1:15">
      <c r="A760" s="7" t="s">
        <v>877</v>
      </c>
      <c r="B760" s="8">
        <v>45791</v>
      </c>
      <c r="C760" s="7" t="s">
        <v>28</v>
      </c>
      <c r="D760" s="7" t="s">
        <v>29</v>
      </c>
      <c r="E760" s="7" t="s">
        <v>30</v>
      </c>
      <c r="F760" s="7" t="s">
        <v>86</v>
      </c>
      <c r="G760" s="7" t="s">
        <v>64</v>
      </c>
      <c r="H760">
        <v>3</v>
      </c>
      <c r="I760">
        <v>35631.58</v>
      </c>
      <c r="J760">
        <v>0.15</v>
      </c>
      <c r="K760">
        <v>90860.53</v>
      </c>
      <c r="L760">
        <v>68970.649999999994</v>
      </c>
      <c r="M760">
        <v>21889.88</v>
      </c>
      <c r="N760" s="7" t="s">
        <v>59</v>
      </c>
      <c r="O760" s="9">
        <f>IFERROR(RawSalesTable_[[#This Row],[Profit]]/RawSalesTable_[[#This Row],[Revenue]],0)</f>
        <v>0.24091737083197734</v>
      </c>
    </row>
    <row r="761" spans="1:15">
      <c r="A761" s="7" t="s">
        <v>878</v>
      </c>
      <c r="B761" s="8">
        <v>45734</v>
      </c>
      <c r="C761" s="7" t="s">
        <v>28</v>
      </c>
      <c r="D761" s="7" t="s">
        <v>56</v>
      </c>
      <c r="E761" s="7" t="s">
        <v>49</v>
      </c>
      <c r="F761" s="7" t="s">
        <v>107</v>
      </c>
      <c r="G761" s="7" t="s">
        <v>25</v>
      </c>
      <c r="H761">
        <v>1</v>
      </c>
      <c r="I761">
        <v>5176.71</v>
      </c>
      <c r="J761">
        <v>0.1</v>
      </c>
      <c r="K761">
        <v>4659.04</v>
      </c>
      <c r="L761">
        <v>2805.97</v>
      </c>
      <c r="M761">
        <v>1853.07</v>
      </c>
      <c r="N761" s="7" t="s">
        <v>26</v>
      </c>
      <c r="O761" s="9">
        <f>IFERROR(RawSalesTable_[[#This Row],[Profit]]/RawSalesTable_[[#This Row],[Revenue]],0)</f>
        <v>0.39773644355918814</v>
      </c>
    </row>
    <row r="762" spans="1:15">
      <c r="A762" s="7" t="s">
        <v>879</v>
      </c>
      <c r="B762" s="8">
        <v>45894</v>
      </c>
      <c r="C762" s="7" t="s">
        <v>22</v>
      </c>
      <c r="D762" s="7" t="s">
        <v>37</v>
      </c>
      <c r="E762" s="7" t="s">
        <v>44</v>
      </c>
      <c r="F762" s="7" t="s">
        <v>53</v>
      </c>
      <c r="G762" s="7" t="s">
        <v>32</v>
      </c>
      <c r="H762">
        <v>4</v>
      </c>
      <c r="I762">
        <v>8521.52</v>
      </c>
      <c r="J762">
        <v>0.1</v>
      </c>
      <c r="K762">
        <v>30677.47</v>
      </c>
      <c r="L762">
        <v>20051.46</v>
      </c>
      <c r="M762">
        <v>10626.01</v>
      </c>
      <c r="N762" s="7" t="s">
        <v>33</v>
      </c>
      <c r="O762" s="9">
        <f>IFERROR(RawSalesTable_[[#This Row],[Profit]]/RawSalesTable_[[#This Row],[Revenue]],0)</f>
        <v>0.34637830303476785</v>
      </c>
    </row>
    <row r="763" spans="1:15">
      <c r="A763" s="7" t="s">
        <v>880</v>
      </c>
      <c r="B763" s="8">
        <v>45729</v>
      </c>
      <c r="C763" s="7" t="s">
        <v>28</v>
      </c>
      <c r="D763" s="7" t="s">
        <v>52</v>
      </c>
      <c r="E763" s="7" t="s">
        <v>49</v>
      </c>
      <c r="F763" s="7" t="s">
        <v>107</v>
      </c>
      <c r="G763" s="7" t="s">
        <v>61</v>
      </c>
      <c r="H763">
        <v>4</v>
      </c>
      <c r="I763">
        <v>5148.9799999999996</v>
      </c>
      <c r="J763">
        <v>0.1</v>
      </c>
      <c r="K763">
        <v>18536.330000000002</v>
      </c>
      <c r="L763">
        <v>10498.76</v>
      </c>
      <c r="M763">
        <v>8037.57</v>
      </c>
      <c r="N763" s="7" t="s">
        <v>59</v>
      </c>
      <c r="O763" s="9">
        <f>IFERROR(RawSalesTable_[[#This Row],[Profit]]/RawSalesTable_[[#This Row],[Revenue]],0)</f>
        <v>0.43361172357203387</v>
      </c>
    </row>
    <row r="764" spans="1:15">
      <c r="A764" s="7" t="s">
        <v>881</v>
      </c>
      <c r="B764" s="8">
        <v>45864</v>
      </c>
      <c r="C764" s="7" t="s">
        <v>15</v>
      </c>
      <c r="D764" s="7" t="s">
        <v>16</v>
      </c>
      <c r="E764" s="7" t="s">
        <v>49</v>
      </c>
      <c r="F764" s="7" t="s">
        <v>57</v>
      </c>
      <c r="G764" s="7" t="s">
        <v>58</v>
      </c>
      <c r="H764">
        <v>6</v>
      </c>
      <c r="I764">
        <v>10994.9</v>
      </c>
      <c r="J764">
        <v>0.05</v>
      </c>
      <c r="K764">
        <v>62670.93</v>
      </c>
      <c r="L764">
        <v>39702.129999999997</v>
      </c>
      <c r="M764">
        <v>22968.799999999999</v>
      </c>
      <c r="N764" s="7" t="s">
        <v>59</v>
      </c>
      <c r="O764" s="9">
        <f>IFERROR(RawSalesTable_[[#This Row],[Profit]]/RawSalesTable_[[#This Row],[Revenue]],0)</f>
        <v>0.36649847066255437</v>
      </c>
    </row>
    <row r="765" spans="1:15">
      <c r="A765" s="7" t="s">
        <v>882</v>
      </c>
      <c r="B765" s="8">
        <v>45966</v>
      </c>
      <c r="C765" s="7" t="s">
        <v>15</v>
      </c>
      <c r="D765" s="7" t="s">
        <v>16</v>
      </c>
      <c r="E765" s="7" t="s">
        <v>17</v>
      </c>
      <c r="F765" s="7" t="s">
        <v>24</v>
      </c>
      <c r="G765" s="7" t="s">
        <v>25</v>
      </c>
      <c r="H765">
        <v>3</v>
      </c>
      <c r="I765">
        <v>99025.02</v>
      </c>
      <c r="J765">
        <v>0.05</v>
      </c>
      <c r="K765">
        <v>282221.31</v>
      </c>
      <c r="L765">
        <v>205993.77</v>
      </c>
      <c r="M765">
        <v>76227.539999999994</v>
      </c>
      <c r="N765" s="7" t="s">
        <v>20</v>
      </c>
      <c r="O765" s="9">
        <f>IFERROR(RawSalesTable_[[#This Row],[Profit]]/RawSalesTable_[[#This Row],[Revenue]],0)</f>
        <v>0.27009845571193752</v>
      </c>
    </row>
    <row r="766" spans="1:15">
      <c r="A766" s="7" t="s">
        <v>883</v>
      </c>
      <c r="B766" s="8">
        <v>45889</v>
      </c>
      <c r="C766" s="7" t="s">
        <v>22</v>
      </c>
      <c r="D766" s="7" t="s">
        <v>35</v>
      </c>
      <c r="E766" s="7" t="s">
        <v>17</v>
      </c>
      <c r="F766" s="7" t="s">
        <v>114</v>
      </c>
      <c r="G766" s="7" t="s">
        <v>58</v>
      </c>
      <c r="H766">
        <v>4</v>
      </c>
      <c r="I766">
        <v>51790.15</v>
      </c>
      <c r="J766">
        <v>0.05</v>
      </c>
      <c r="K766">
        <v>196802.57</v>
      </c>
      <c r="L766">
        <v>147440.44</v>
      </c>
      <c r="M766">
        <v>49362.13</v>
      </c>
      <c r="N766" s="7" t="s">
        <v>33</v>
      </c>
      <c r="O766" s="9">
        <f>IFERROR(RawSalesTable_[[#This Row],[Profit]]/RawSalesTable_[[#This Row],[Revenue]],0)</f>
        <v>0.25082055584944851</v>
      </c>
    </row>
    <row r="767" spans="1:15">
      <c r="A767" s="7" t="s">
        <v>884</v>
      </c>
      <c r="B767" s="8">
        <v>45855</v>
      </c>
      <c r="C767" s="7" t="s">
        <v>22</v>
      </c>
      <c r="D767" s="7" t="s">
        <v>23</v>
      </c>
      <c r="E767" s="7" t="s">
        <v>44</v>
      </c>
      <c r="F767" s="7" t="s">
        <v>80</v>
      </c>
      <c r="G767" s="7" t="s">
        <v>58</v>
      </c>
      <c r="H767">
        <v>8</v>
      </c>
      <c r="I767">
        <v>39744.65</v>
      </c>
      <c r="J767">
        <v>0</v>
      </c>
      <c r="K767">
        <v>317957.2</v>
      </c>
      <c r="L767">
        <v>241766.36</v>
      </c>
      <c r="M767">
        <v>76190.84</v>
      </c>
      <c r="N767" s="7" t="s">
        <v>26</v>
      </c>
      <c r="O767" s="9">
        <f>IFERROR(RawSalesTable_[[#This Row],[Profit]]/RawSalesTable_[[#This Row],[Revenue]],0)</f>
        <v>0.23962608803952229</v>
      </c>
    </row>
    <row r="768" spans="1:15">
      <c r="A768" s="7" t="s">
        <v>885</v>
      </c>
      <c r="B768" s="8">
        <v>45868</v>
      </c>
      <c r="C768" s="7" t="s">
        <v>22</v>
      </c>
      <c r="D768" s="7" t="s">
        <v>35</v>
      </c>
      <c r="E768" s="7" t="s">
        <v>17</v>
      </c>
      <c r="F768" s="7" t="s">
        <v>114</v>
      </c>
      <c r="G768" s="7" t="s">
        <v>25</v>
      </c>
      <c r="H768">
        <v>1</v>
      </c>
      <c r="I768">
        <v>50907.19</v>
      </c>
      <c r="J768">
        <v>0</v>
      </c>
      <c r="K768">
        <v>50907.19</v>
      </c>
      <c r="L768">
        <v>35844.01</v>
      </c>
      <c r="M768">
        <v>15063.18</v>
      </c>
      <c r="N768" s="7" t="s">
        <v>26</v>
      </c>
      <c r="O768" s="9">
        <f>IFERROR(RawSalesTable_[[#This Row],[Profit]]/RawSalesTable_[[#This Row],[Revenue]],0)</f>
        <v>0.29589494136289979</v>
      </c>
    </row>
    <row r="769" spans="1:15">
      <c r="A769" s="7" t="s">
        <v>886</v>
      </c>
      <c r="B769" s="8">
        <v>45763</v>
      </c>
      <c r="C769" s="7" t="s">
        <v>22</v>
      </c>
      <c r="D769" s="7" t="s">
        <v>23</v>
      </c>
      <c r="E769" s="7" t="s">
        <v>49</v>
      </c>
      <c r="F769" s="7" t="s">
        <v>107</v>
      </c>
      <c r="G769" s="7" t="s">
        <v>58</v>
      </c>
      <c r="H769">
        <v>2</v>
      </c>
      <c r="I769">
        <v>5107.6400000000003</v>
      </c>
      <c r="J769">
        <v>0</v>
      </c>
      <c r="K769">
        <v>10215.280000000001</v>
      </c>
      <c r="L769">
        <v>5287.11</v>
      </c>
      <c r="M769">
        <v>4928.17</v>
      </c>
      <c r="N769" s="7" t="s">
        <v>20</v>
      </c>
      <c r="O769" s="9">
        <f>IFERROR(RawSalesTable_[[#This Row],[Profit]]/RawSalesTable_[[#This Row],[Revenue]],0)</f>
        <v>0.48243122068117561</v>
      </c>
    </row>
    <row r="770" spans="1:15">
      <c r="A770" s="7" t="s">
        <v>887</v>
      </c>
      <c r="B770" s="8">
        <v>45892</v>
      </c>
      <c r="C770" s="7" t="s">
        <v>15</v>
      </c>
      <c r="D770" s="7" t="s">
        <v>43</v>
      </c>
      <c r="E770" s="7" t="s">
        <v>49</v>
      </c>
      <c r="F770" s="7" t="s">
        <v>1590</v>
      </c>
      <c r="G770" s="7" t="s">
        <v>58</v>
      </c>
      <c r="H770">
        <v>5</v>
      </c>
      <c r="I770">
        <v>4258.79</v>
      </c>
      <c r="J770">
        <v>0.1</v>
      </c>
      <c r="K770">
        <v>19164.560000000001</v>
      </c>
      <c r="L770">
        <v>10711.83</v>
      </c>
      <c r="M770">
        <v>8452.73</v>
      </c>
      <c r="N770" s="7" t="s">
        <v>26</v>
      </c>
      <c r="O770" s="9">
        <f>IFERROR(RawSalesTable_[[#This Row],[Profit]]/RawSalesTable_[[#This Row],[Revenue]],0)</f>
        <v>0.44106047829952783</v>
      </c>
    </row>
    <row r="771" spans="1:15">
      <c r="A771" s="7" t="s">
        <v>888</v>
      </c>
      <c r="B771" s="8">
        <v>45949</v>
      </c>
      <c r="C771" s="7" t="s">
        <v>22</v>
      </c>
      <c r="D771" s="7" t="s">
        <v>23</v>
      </c>
      <c r="E771" s="7" t="s">
        <v>49</v>
      </c>
      <c r="F771" s="7" t="s">
        <v>91</v>
      </c>
      <c r="G771" s="7" t="s">
        <v>70</v>
      </c>
      <c r="H771">
        <v>7</v>
      </c>
      <c r="I771">
        <v>6609.04</v>
      </c>
      <c r="J771">
        <v>0</v>
      </c>
      <c r="K771">
        <v>46263.28</v>
      </c>
      <c r="L771">
        <v>25371.61</v>
      </c>
      <c r="M771">
        <v>20891.669999999998</v>
      </c>
      <c r="N771" s="7" t="s">
        <v>20</v>
      </c>
      <c r="O771" s="9">
        <f>IFERROR(RawSalesTable_[[#This Row],[Profit]]/RawSalesTable_[[#This Row],[Revenue]],0)</f>
        <v>0.45158211869110876</v>
      </c>
    </row>
    <row r="772" spans="1:15">
      <c r="A772" s="7" t="s">
        <v>889</v>
      </c>
      <c r="B772" s="8">
        <v>46022</v>
      </c>
      <c r="C772" s="7" t="s">
        <v>28</v>
      </c>
      <c r="D772" s="7" t="s">
        <v>29</v>
      </c>
      <c r="E772" s="7" t="s">
        <v>17</v>
      </c>
      <c r="F772" s="7" t="s">
        <v>75</v>
      </c>
      <c r="G772" s="7" t="s">
        <v>58</v>
      </c>
      <c r="H772">
        <v>5</v>
      </c>
      <c r="I772">
        <v>189330.45</v>
      </c>
      <c r="J772">
        <v>0.05</v>
      </c>
      <c r="K772">
        <v>899319.64</v>
      </c>
      <c r="L772">
        <v>705935.06</v>
      </c>
      <c r="M772">
        <v>193384.58</v>
      </c>
      <c r="N772" s="7" t="s">
        <v>20</v>
      </c>
      <c r="O772" s="9">
        <f>IFERROR(RawSalesTable_[[#This Row],[Profit]]/RawSalesTable_[[#This Row],[Revenue]],0)</f>
        <v>0.21503431193830036</v>
      </c>
    </row>
    <row r="773" spans="1:15">
      <c r="A773" s="7" t="s">
        <v>890</v>
      </c>
      <c r="B773" s="8">
        <v>45854</v>
      </c>
      <c r="C773" s="7" t="s">
        <v>15</v>
      </c>
      <c r="D773" s="7" t="s">
        <v>16</v>
      </c>
      <c r="E773" s="7" t="s">
        <v>49</v>
      </c>
      <c r="F773" s="7" t="s">
        <v>1590</v>
      </c>
      <c r="G773" s="7" t="s">
        <v>61</v>
      </c>
      <c r="H773">
        <v>3</v>
      </c>
      <c r="I773">
        <v>4468.78</v>
      </c>
      <c r="J773">
        <v>0.15</v>
      </c>
      <c r="K773">
        <v>11395.39</v>
      </c>
      <c r="L773">
        <v>6301.55</v>
      </c>
      <c r="M773">
        <v>5093.84</v>
      </c>
      <c r="N773" s="7" t="s">
        <v>33</v>
      </c>
      <c r="O773" s="9">
        <f>IFERROR(RawSalesTable_[[#This Row],[Profit]]/RawSalesTable_[[#This Row],[Revenue]],0)</f>
        <v>0.4470088342742109</v>
      </c>
    </row>
    <row r="774" spans="1:15">
      <c r="A774" s="7" t="s">
        <v>891</v>
      </c>
      <c r="B774" s="8">
        <v>45999</v>
      </c>
      <c r="C774" s="7" t="s">
        <v>28</v>
      </c>
      <c r="D774" s="7" t="s">
        <v>29</v>
      </c>
      <c r="E774" s="7" t="s">
        <v>17</v>
      </c>
      <c r="F774" s="7" t="s">
        <v>24</v>
      </c>
      <c r="G774" s="7" t="s">
        <v>19</v>
      </c>
      <c r="H774">
        <v>3</v>
      </c>
      <c r="I774">
        <v>88669.99</v>
      </c>
      <c r="J774">
        <v>0.15</v>
      </c>
      <c r="K774">
        <v>226108.47</v>
      </c>
      <c r="L774">
        <v>205558.89</v>
      </c>
      <c r="M774">
        <v>20549.580000000002</v>
      </c>
      <c r="N774" s="7" t="s">
        <v>26</v>
      </c>
      <c r="O774" s="9">
        <f>IFERROR(RawSalesTable_[[#This Row],[Profit]]/RawSalesTable_[[#This Row],[Revenue]],0)</f>
        <v>9.0883724966163371E-2</v>
      </c>
    </row>
    <row r="775" spans="1:15">
      <c r="A775" s="7" t="s">
        <v>892</v>
      </c>
      <c r="B775" s="8">
        <v>45824</v>
      </c>
      <c r="C775" s="7" t="s">
        <v>28</v>
      </c>
      <c r="D775" s="7" t="s">
        <v>56</v>
      </c>
      <c r="E775" s="7" t="s">
        <v>17</v>
      </c>
      <c r="F775" s="7" t="s">
        <v>18</v>
      </c>
      <c r="G775" s="7" t="s">
        <v>25</v>
      </c>
      <c r="H775">
        <v>2</v>
      </c>
      <c r="I775">
        <v>15092.52</v>
      </c>
      <c r="J775">
        <v>0.1</v>
      </c>
      <c r="K775">
        <v>27166.54</v>
      </c>
      <c r="L775">
        <v>16787.990000000002</v>
      </c>
      <c r="M775">
        <v>10378.549999999999</v>
      </c>
      <c r="N775" s="7" t="s">
        <v>20</v>
      </c>
      <c r="O775" s="9">
        <f>IFERROR(RawSalesTable_[[#This Row],[Profit]]/RawSalesTable_[[#This Row],[Revenue]],0)</f>
        <v>0.3820342966016283</v>
      </c>
    </row>
    <row r="776" spans="1:15">
      <c r="A776" s="7" t="s">
        <v>893</v>
      </c>
      <c r="B776" s="8">
        <v>45894</v>
      </c>
      <c r="C776" s="7" t="s">
        <v>22</v>
      </c>
      <c r="D776" s="7" t="s">
        <v>35</v>
      </c>
      <c r="E776" s="7" t="s">
        <v>44</v>
      </c>
      <c r="F776" s="7" t="s">
        <v>80</v>
      </c>
      <c r="G776" s="7" t="s">
        <v>25</v>
      </c>
      <c r="H776">
        <v>8</v>
      </c>
      <c r="I776">
        <v>39743.82</v>
      </c>
      <c r="J776">
        <v>0.15</v>
      </c>
      <c r="K776">
        <v>270257.98</v>
      </c>
      <c r="L776">
        <v>252616.27</v>
      </c>
      <c r="M776">
        <v>17641.71</v>
      </c>
      <c r="N776" s="7" t="s">
        <v>59</v>
      </c>
      <c r="O776" s="9">
        <f>IFERROR(RawSalesTable_[[#This Row],[Profit]]/RawSalesTable_[[#This Row],[Revenue]],0)</f>
        <v>6.5277295419731915E-2</v>
      </c>
    </row>
    <row r="777" spans="1:15">
      <c r="A777" s="7" t="s">
        <v>894</v>
      </c>
      <c r="B777" s="8">
        <v>45727</v>
      </c>
      <c r="C777" s="7" t="s">
        <v>15</v>
      </c>
      <c r="D777" s="7" t="s">
        <v>63</v>
      </c>
      <c r="E777" s="7" t="s">
        <v>44</v>
      </c>
      <c r="F777" s="7" t="s">
        <v>53</v>
      </c>
      <c r="G777" s="7" t="s">
        <v>32</v>
      </c>
      <c r="H777">
        <v>1</v>
      </c>
      <c r="I777">
        <v>7834.6</v>
      </c>
      <c r="J777">
        <v>0</v>
      </c>
      <c r="K777">
        <v>7834.6</v>
      </c>
      <c r="L777">
        <v>4996.22</v>
      </c>
      <c r="M777">
        <v>2838.38</v>
      </c>
      <c r="N777" s="7" t="s">
        <v>20</v>
      </c>
      <c r="O777" s="9">
        <f>IFERROR(RawSalesTable_[[#This Row],[Profit]]/RawSalesTable_[[#This Row],[Revenue]],0)</f>
        <v>0.36228780027059454</v>
      </c>
    </row>
    <row r="778" spans="1:15">
      <c r="A778" s="7" t="s">
        <v>895</v>
      </c>
      <c r="B778" s="8">
        <v>45800</v>
      </c>
      <c r="C778" s="7" t="s">
        <v>28</v>
      </c>
      <c r="D778" s="7" t="s">
        <v>56</v>
      </c>
      <c r="E778" s="7" t="s">
        <v>17</v>
      </c>
      <c r="F778" s="7" t="s">
        <v>75</v>
      </c>
      <c r="G778" s="7" t="s">
        <v>61</v>
      </c>
      <c r="H778">
        <v>4</v>
      </c>
      <c r="I778">
        <v>191322.01</v>
      </c>
      <c r="J778">
        <v>0.05</v>
      </c>
      <c r="K778">
        <v>727023.64</v>
      </c>
      <c r="L778">
        <v>556536.56999999995</v>
      </c>
      <c r="M778">
        <v>170487.07</v>
      </c>
      <c r="N778" s="7" t="s">
        <v>26</v>
      </c>
      <c r="O778" s="9">
        <f>IFERROR(RawSalesTable_[[#This Row],[Profit]]/RawSalesTable_[[#This Row],[Revenue]],0)</f>
        <v>0.23450003633994626</v>
      </c>
    </row>
    <row r="779" spans="1:15">
      <c r="A779" s="7" t="s">
        <v>896</v>
      </c>
      <c r="B779" s="8">
        <v>45697</v>
      </c>
      <c r="C779" s="7" t="s">
        <v>22</v>
      </c>
      <c r="D779" s="7" t="s">
        <v>37</v>
      </c>
      <c r="E779" s="7" t="s">
        <v>17</v>
      </c>
      <c r="F779" s="7" t="s">
        <v>24</v>
      </c>
      <c r="G779" s="7" t="s">
        <v>64</v>
      </c>
      <c r="H779">
        <v>5</v>
      </c>
      <c r="I779">
        <v>86467.51</v>
      </c>
      <c r="J779">
        <v>0.15</v>
      </c>
      <c r="K779">
        <v>367486.92</v>
      </c>
      <c r="L779">
        <v>339102.22</v>
      </c>
      <c r="M779">
        <v>28384.7</v>
      </c>
      <c r="N779" s="7" t="s">
        <v>59</v>
      </c>
      <c r="O779" s="9">
        <f>IFERROR(RawSalesTable_[[#This Row],[Profit]]/RawSalesTable_[[#This Row],[Revenue]],0)</f>
        <v>7.7240028026031513E-2</v>
      </c>
    </row>
    <row r="780" spans="1:15">
      <c r="A780" s="7" t="s">
        <v>897</v>
      </c>
      <c r="B780" s="8">
        <v>45884</v>
      </c>
      <c r="C780" s="7" t="s">
        <v>22</v>
      </c>
      <c r="D780" s="7" t="s">
        <v>35</v>
      </c>
      <c r="E780" s="7" t="s">
        <v>30</v>
      </c>
      <c r="F780" s="7" t="s">
        <v>86</v>
      </c>
      <c r="G780" s="7" t="s">
        <v>64</v>
      </c>
      <c r="H780">
        <v>4</v>
      </c>
      <c r="I780">
        <v>34132.1</v>
      </c>
      <c r="J780">
        <v>0.15</v>
      </c>
      <c r="K780">
        <v>116049.14</v>
      </c>
      <c r="L780">
        <v>90653.48</v>
      </c>
      <c r="M780">
        <v>25395.66</v>
      </c>
      <c r="N780" s="7" t="s">
        <v>33</v>
      </c>
      <c r="O780" s="9">
        <f>IFERROR(RawSalesTable_[[#This Row],[Profit]]/RawSalesTable_[[#This Row],[Revenue]],0)</f>
        <v>0.21883540024510306</v>
      </c>
    </row>
    <row r="781" spans="1:15">
      <c r="A781" s="7" t="s">
        <v>898</v>
      </c>
      <c r="B781" s="8">
        <v>45761</v>
      </c>
      <c r="C781" s="7" t="s">
        <v>28</v>
      </c>
      <c r="D781" s="7" t="s">
        <v>29</v>
      </c>
      <c r="E781" s="7" t="s">
        <v>30</v>
      </c>
      <c r="F781" s="7" t="s">
        <v>40</v>
      </c>
      <c r="G781" s="7" t="s">
        <v>47</v>
      </c>
      <c r="H781">
        <v>1</v>
      </c>
      <c r="I781">
        <v>24884.959999999999</v>
      </c>
      <c r="J781">
        <v>0</v>
      </c>
      <c r="K781">
        <v>24884.959999999999</v>
      </c>
      <c r="L781">
        <v>16180.29</v>
      </c>
      <c r="M781">
        <v>8704.67</v>
      </c>
      <c r="N781" s="7" t="s">
        <v>59</v>
      </c>
      <c r="O781" s="9">
        <f>IFERROR(RawSalesTable_[[#This Row],[Profit]]/RawSalesTable_[[#This Row],[Revenue]],0)</f>
        <v>0.34979642322109422</v>
      </c>
    </row>
    <row r="782" spans="1:15">
      <c r="A782" s="7" t="s">
        <v>899</v>
      </c>
      <c r="B782" s="8">
        <v>45756</v>
      </c>
      <c r="C782" s="7" t="s">
        <v>22</v>
      </c>
      <c r="D782" s="7" t="s">
        <v>23</v>
      </c>
      <c r="E782" s="7" t="s">
        <v>17</v>
      </c>
      <c r="F782" s="7" t="s">
        <v>75</v>
      </c>
      <c r="G782" s="7" t="s">
        <v>19</v>
      </c>
      <c r="H782">
        <v>7</v>
      </c>
      <c r="I782">
        <v>171027.15</v>
      </c>
      <c r="J782">
        <v>0</v>
      </c>
      <c r="K782">
        <v>1197190.05</v>
      </c>
      <c r="L782">
        <v>987636.58</v>
      </c>
      <c r="M782">
        <v>209553.47</v>
      </c>
      <c r="N782" s="7" t="s">
        <v>26</v>
      </c>
      <c r="O782" s="9">
        <f>IFERROR(RawSalesTable_[[#This Row],[Profit]]/RawSalesTable_[[#This Row],[Revenue]],0)</f>
        <v>0.17503776447189817</v>
      </c>
    </row>
    <row r="783" spans="1:15">
      <c r="A783" s="7" t="s">
        <v>901</v>
      </c>
      <c r="B783" s="8">
        <v>45823</v>
      </c>
      <c r="C783" s="7" t="s">
        <v>22</v>
      </c>
      <c r="D783" s="7" t="s">
        <v>37</v>
      </c>
      <c r="E783" s="7" t="s">
        <v>44</v>
      </c>
      <c r="F783" s="7" t="s">
        <v>45</v>
      </c>
      <c r="G783" s="7" t="s">
        <v>47</v>
      </c>
      <c r="H783">
        <v>1</v>
      </c>
      <c r="I783">
        <v>28115.5</v>
      </c>
      <c r="J783">
        <v>0</v>
      </c>
      <c r="K783">
        <v>28115.5</v>
      </c>
      <c r="L783">
        <v>19514.78</v>
      </c>
      <c r="M783">
        <v>8600.7199999999993</v>
      </c>
      <c r="N783" s="7" t="s">
        <v>26</v>
      </c>
      <c r="O783" s="9">
        <f>IFERROR(RawSalesTable_[[#This Row],[Profit]]/RawSalesTable_[[#This Row],[Revenue]],0)</f>
        <v>0.30590670626522737</v>
      </c>
    </row>
    <row r="784" spans="1:15">
      <c r="A784" s="7" t="s">
        <v>902</v>
      </c>
      <c r="B784" s="8">
        <v>45665</v>
      </c>
      <c r="C784" s="7" t="s">
        <v>15</v>
      </c>
      <c r="D784" s="7" t="s">
        <v>63</v>
      </c>
      <c r="E784" s="7" t="s">
        <v>49</v>
      </c>
      <c r="F784" s="7" t="s">
        <v>91</v>
      </c>
      <c r="G784" s="7" t="s">
        <v>25</v>
      </c>
      <c r="H784">
        <v>4</v>
      </c>
      <c r="I784">
        <v>6202.33</v>
      </c>
      <c r="J784">
        <v>0.05</v>
      </c>
      <c r="K784">
        <v>23568.85</v>
      </c>
      <c r="L784">
        <v>14293.95</v>
      </c>
      <c r="M784">
        <v>9274.9</v>
      </c>
      <c r="N784" s="7" t="s">
        <v>59</v>
      </c>
      <c r="O784" s="9">
        <f>IFERROR(RawSalesTable_[[#This Row],[Profit]]/RawSalesTable_[[#This Row],[Revenue]],0)</f>
        <v>0.39352365516348908</v>
      </c>
    </row>
    <row r="785" spans="1:15">
      <c r="A785" s="7" t="s">
        <v>903</v>
      </c>
      <c r="B785" s="8">
        <v>45846</v>
      </c>
      <c r="C785" s="7" t="s">
        <v>22</v>
      </c>
      <c r="D785" s="7" t="s">
        <v>35</v>
      </c>
      <c r="E785" s="7" t="s">
        <v>44</v>
      </c>
      <c r="F785" s="7" t="s">
        <v>53</v>
      </c>
      <c r="G785" s="7" t="s">
        <v>64</v>
      </c>
      <c r="H785">
        <v>4</v>
      </c>
      <c r="I785">
        <v>7909.78</v>
      </c>
      <c r="J785">
        <v>0.05</v>
      </c>
      <c r="K785">
        <v>30057.16</v>
      </c>
      <c r="L785">
        <v>19903.72</v>
      </c>
      <c r="M785">
        <v>10153.44</v>
      </c>
      <c r="N785" s="7" t="s">
        <v>33</v>
      </c>
      <c r="O785" s="9">
        <f>IFERROR(RawSalesTable_[[#This Row],[Profit]]/RawSalesTable_[[#This Row],[Revenue]],0)</f>
        <v>0.33780437007355318</v>
      </c>
    </row>
    <row r="786" spans="1:15">
      <c r="A786" s="7" t="s">
        <v>904</v>
      </c>
      <c r="B786" s="8">
        <v>45706</v>
      </c>
      <c r="C786" s="7" t="s">
        <v>22</v>
      </c>
      <c r="D786" s="7" t="s">
        <v>35</v>
      </c>
      <c r="E786" s="7" t="s">
        <v>30</v>
      </c>
      <c r="F786" s="7" t="s">
        <v>40</v>
      </c>
      <c r="G786" s="7" t="s">
        <v>32</v>
      </c>
      <c r="H786">
        <v>2</v>
      </c>
      <c r="I786">
        <v>25333.119999999999</v>
      </c>
      <c r="J786">
        <v>0.1</v>
      </c>
      <c r="K786">
        <v>45599.62</v>
      </c>
      <c r="L786">
        <v>31031.27</v>
      </c>
      <c r="M786">
        <v>14568.35</v>
      </c>
      <c r="N786" s="7" t="s">
        <v>20</v>
      </c>
      <c r="O786" s="9">
        <f>IFERROR(RawSalesTable_[[#This Row],[Profit]]/RawSalesTable_[[#This Row],[Revenue]],0)</f>
        <v>0.31948402201597292</v>
      </c>
    </row>
    <row r="787" spans="1:15">
      <c r="A787" s="7" t="s">
        <v>905</v>
      </c>
      <c r="B787" s="8">
        <v>45999</v>
      </c>
      <c r="C787" s="7" t="s">
        <v>15</v>
      </c>
      <c r="D787" s="7" t="s">
        <v>43</v>
      </c>
      <c r="E787" s="7" t="s">
        <v>44</v>
      </c>
      <c r="F787" s="7" t="s">
        <v>69</v>
      </c>
      <c r="G787" s="7" t="s">
        <v>70</v>
      </c>
      <c r="H787">
        <v>3</v>
      </c>
      <c r="I787">
        <v>38822.949999999997</v>
      </c>
      <c r="J787">
        <v>0.15</v>
      </c>
      <c r="K787">
        <v>98998.52</v>
      </c>
      <c r="L787">
        <v>77396.100000000006</v>
      </c>
      <c r="M787">
        <v>21602.42</v>
      </c>
      <c r="N787" s="7" t="s">
        <v>33</v>
      </c>
      <c r="O787" s="9">
        <f>IFERROR(RawSalesTable_[[#This Row],[Profit]]/RawSalesTable_[[#This Row],[Revenue]],0)</f>
        <v>0.21820952474845076</v>
      </c>
    </row>
    <row r="788" spans="1:15">
      <c r="A788" s="7" t="s">
        <v>906</v>
      </c>
      <c r="B788" s="8">
        <v>45777</v>
      </c>
      <c r="C788" s="7" t="s">
        <v>28</v>
      </c>
      <c r="D788" s="7" t="s">
        <v>52</v>
      </c>
      <c r="E788" s="7" t="s">
        <v>49</v>
      </c>
      <c r="F788" s="7" t="s">
        <v>107</v>
      </c>
      <c r="G788" s="7" t="s">
        <v>64</v>
      </c>
      <c r="H788">
        <v>4</v>
      </c>
      <c r="I788">
        <v>5202.8500000000004</v>
      </c>
      <c r="J788">
        <v>0.15</v>
      </c>
      <c r="K788">
        <v>17689.689999999999</v>
      </c>
      <c r="L788">
        <v>11223.22</v>
      </c>
      <c r="M788">
        <v>6466.47</v>
      </c>
      <c r="N788" s="7" t="s">
        <v>33</v>
      </c>
      <c r="O788" s="9">
        <f>IFERROR(RawSalesTable_[[#This Row],[Profit]]/RawSalesTable_[[#This Row],[Revenue]],0)</f>
        <v>0.36555021597325904</v>
      </c>
    </row>
    <row r="789" spans="1:15">
      <c r="A789" s="7" t="s">
        <v>908</v>
      </c>
      <c r="B789" s="8">
        <v>45761</v>
      </c>
      <c r="C789" s="7" t="s">
        <v>28</v>
      </c>
      <c r="D789" s="7" t="s">
        <v>52</v>
      </c>
      <c r="E789" s="7" t="s">
        <v>49</v>
      </c>
      <c r="F789" s="7" t="s">
        <v>1590</v>
      </c>
      <c r="G789" s="7" t="s">
        <v>61</v>
      </c>
      <c r="H789">
        <v>2</v>
      </c>
      <c r="I789">
        <v>3904.27</v>
      </c>
      <c r="J789">
        <v>0.05</v>
      </c>
      <c r="K789">
        <v>7418.11</v>
      </c>
      <c r="L789">
        <v>4220.63</v>
      </c>
      <c r="M789">
        <v>3197.48</v>
      </c>
      <c r="N789" s="7" t="s">
        <v>20</v>
      </c>
      <c r="O789" s="9">
        <f>IFERROR(RawSalesTable_[[#This Row],[Profit]]/RawSalesTable_[[#This Row],[Revenue]],0)</f>
        <v>0.43103701616719087</v>
      </c>
    </row>
    <row r="790" spans="1:15">
      <c r="A790" s="7" t="s">
        <v>909</v>
      </c>
      <c r="B790" s="8">
        <v>45820</v>
      </c>
      <c r="C790" s="7" t="s">
        <v>22</v>
      </c>
      <c r="D790" s="7" t="s">
        <v>37</v>
      </c>
      <c r="E790" s="7" t="s">
        <v>17</v>
      </c>
      <c r="F790" s="7" t="s">
        <v>24</v>
      </c>
      <c r="G790" s="7" t="s">
        <v>64</v>
      </c>
      <c r="H790">
        <v>8</v>
      </c>
      <c r="I790">
        <v>95521.84</v>
      </c>
      <c r="J790">
        <v>0.05</v>
      </c>
      <c r="K790">
        <v>725965.98</v>
      </c>
      <c r="L790">
        <v>532792.89</v>
      </c>
      <c r="M790">
        <v>193173.09</v>
      </c>
      <c r="N790" s="7" t="s">
        <v>20</v>
      </c>
      <c r="O790" s="9">
        <f>IFERROR(RawSalesTable_[[#This Row],[Profit]]/RawSalesTable_[[#This Row],[Revenue]],0)</f>
        <v>0.26609110526088287</v>
      </c>
    </row>
    <row r="791" spans="1:15">
      <c r="A791" s="7" t="s">
        <v>910</v>
      </c>
      <c r="B791" s="8">
        <v>45998</v>
      </c>
      <c r="C791" s="7" t="s">
        <v>15</v>
      </c>
      <c r="D791" s="7" t="s">
        <v>63</v>
      </c>
      <c r="E791" s="7" t="s">
        <v>17</v>
      </c>
      <c r="F791" s="7" t="s">
        <v>24</v>
      </c>
      <c r="G791" s="7" t="s">
        <v>47</v>
      </c>
      <c r="H791">
        <v>6</v>
      </c>
      <c r="I791">
        <v>89684.96</v>
      </c>
      <c r="J791">
        <v>0</v>
      </c>
      <c r="K791">
        <v>538109.76</v>
      </c>
      <c r="L791">
        <v>411162.74</v>
      </c>
      <c r="M791">
        <v>126947.02</v>
      </c>
      <c r="N791" s="7" t="s">
        <v>26</v>
      </c>
      <c r="O791" s="9">
        <f>IFERROR(RawSalesTable_[[#This Row],[Profit]]/RawSalesTable_[[#This Row],[Revenue]],0)</f>
        <v>0.23591287398318142</v>
      </c>
    </row>
    <row r="792" spans="1:15">
      <c r="A792" s="7" t="s">
        <v>911</v>
      </c>
      <c r="B792" s="8">
        <v>45693</v>
      </c>
      <c r="C792" s="7" t="s">
        <v>15</v>
      </c>
      <c r="D792" s="7" t="s">
        <v>63</v>
      </c>
      <c r="E792" s="7" t="s">
        <v>30</v>
      </c>
      <c r="F792" s="7" t="s">
        <v>86</v>
      </c>
      <c r="G792" s="7" t="s">
        <v>47</v>
      </c>
      <c r="H792">
        <v>8</v>
      </c>
      <c r="I792">
        <v>33685.25</v>
      </c>
      <c r="J792">
        <v>0</v>
      </c>
      <c r="K792">
        <v>269482</v>
      </c>
      <c r="L792">
        <v>185560.32000000001</v>
      </c>
      <c r="M792">
        <v>83921.68</v>
      </c>
      <c r="N792" s="7" t="s">
        <v>33</v>
      </c>
      <c r="O792" s="9">
        <f>IFERROR(RawSalesTable_[[#This Row],[Profit]]/RawSalesTable_[[#This Row],[Revenue]],0)</f>
        <v>0.3114184991947514</v>
      </c>
    </row>
    <row r="793" spans="1:15">
      <c r="A793" s="7" t="s">
        <v>912</v>
      </c>
      <c r="B793" s="8">
        <v>45762</v>
      </c>
      <c r="C793" s="7" t="s">
        <v>15</v>
      </c>
      <c r="D793" s="7" t="s">
        <v>16</v>
      </c>
      <c r="E793" s="7" t="s">
        <v>44</v>
      </c>
      <c r="F793" s="7" t="s">
        <v>45</v>
      </c>
      <c r="G793" s="7" t="s">
        <v>47</v>
      </c>
      <c r="H793">
        <v>2</v>
      </c>
      <c r="I793">
        <v>27011.96</v>
      </c>
      <c r="J793">
        <v>0.1</v>
      </c>
      <c r="K793">
        <v>48621.53</v>
      </c>
      <c r="L793">
        <v>39071.050000000003</v>
      </c>
      <c r="M793">
        <v>9550.48</v>
      </c>
      <c r="N793" s="7" t="s">
        <v>33</v>
      </c>
      <c r="O793" s="9">
        <f>IFERROR(RawSalesTable_[[#This Row],[Profit]]/RawSalesTable_[[#This Row],[Revenue]],0)</f>
        <v>0.19642491710976598</v>
      </c>
    </row>
    <row r="794" spans="1:15">
      <c r="A794" s="7" t="s">
        <v>913</v>
      </c>
      <c r="B794" s="8">
        <v>45968</v>
      </c>
      <c r="C794" s="7" t="s">
        <v>28</v>
      </c>
      <c r="D794" s="7" t="s">
        <v>29</v>
      </c>
      <c r="E794" s="7" t="s">
        <v>49</v>
      </c>
      <c r="F794" s="7" t="s">
        <v>57</v>
      </c>
      <c r="G794" s="7" t="s">
        <v>47</v>
      </c>
      <c r="H794">
        <v>3</v>
      </c>
      <c r="I794">
        <v>11907.88</v>
      </c>
      <c r="J794">
        <v>0</v>
      </c>
      <c r="K794">
        <v>35723.64</v>
      </c>
      <c r="L794">
        <v>19493.78</v>
      </c>
      <c r="M794">
        <v>16229.86</v>
      </c>
      <c r="N794" s="7" t="s">
        <v>59</v>
      </c>
      <c r="O794" s="9">
        <f>IFERROR(RawSalesTable_[[#This Row],[Profit]]/RawSalesTable_[[#This Row],[Revenue]],0)</f>
        <v>0.45431708526902637</v>
      </c>
    </row>
    <row r="795" spans="1:15">
      <c r="A795" s="7" t="s">
        <v>914</v>
      </c>
      <c r="B795" s="8">
        <v>45842</v>
      </c>
      <c r="C795" s="7" t="s">
        <v>28</v>
      </c>
      <c r="D795" s="7" t="s">
        <v>29</v>
      </c>
      <c r="E795" s="7" t="s">
        <v>49</v>
      </c>
      <c r="F795" s="7" t="s">
        <v>1590</v>
      </c>
      <c r="G795" s="7" t="s">
        <v>25</v>
      </c>
      <c r="H795">
        <v>5</v>
      </c>
      <c r="I795">
        <v>4443.55</v>
      </c>
      <c r="J795">
        <v>0.05</v>
      </c>
      <c r="K795">
        <v>21106.86</v>
      </c>
      <c r="L795">
        <v>10243.81</v>
      </c>
      <c r="M795">
        <v>10863.05</v>
      </c>
      <c r="N795" s="7" t="s">
        <v>20</v>
      </c>
      <c r="O795" s="9">
        <f>IFERROR(RawSalesTable_[[#This Row],[Profit]]/RawSalesTable_[[#This Row],[Revenue]],0)</f>
        <v>0.51466916443279576</v>
      </c>
    </row>
    <row r="796" spans="1:15">
      <c r="A796" s="7" t="s">
        <v>915</v>
      </c>
      <c r="B796" s="8">
        <v>45853</v>
      </c>
      <c r="C796" s="7" t="s">
        <v>22</v>
      </c>
      <c r="D796" s="7" t="s">
        <v>35</v>
      </c>
      <c r="E796" s="7" t="s">
        <v>49</v>
      </c>
      <c r="F796" s="7" t="s">
        <v>107</v>
      </c>
      <c r="G796" s="7" t="s">
        <v>25</v>
      </c>
      <c r="H796">
        <v>7</v>
      </c>
      <c r="I796">
        <v>5416.59</v>
      </c>
      <c r="J796">
        <v>0.05</v>
      </c>
      <c r="K796">
        <v>36020.32</v>
      </c>
      <c r="L796">
        <v>18359.21</v>
      </c>
      <c r="M796">
        <v>17661.11</v>
      </c>
      <c r="N796" s="7" t="s">
        <v>33</v>
      </c>
      <c r="O796" s="9">
        <f>IFERROR(RawSalesTable_[[#This Row],[Profit]]/RawSalesTable_[[#This Row],[Revenue]],0)</f>
        <v>0.49030963633860003</v>
      </c>
    </row>
    <row r="797" spans="1:15">
      <c r="A797" s="7" t="s">
        <v>916</v>
      </c>
      <c r="B797" s="8">
        <v>45850</v>
      </c>
      <c r="C797" s="7" t="s">
        <v>28</v>
      </c>
      <c r="D797" s="7" t="s">
        <v>29</v>
      </c>
      <c r="E797" s="7" t="s">
        <v>44</v>
      </c>
      <c r="F797" s="7" t="s">
        <v>45</v>
      </c>
      <c r="G797" s="7" t="s">
        <v>70</v>
      </c>
      <c r="H797">
        <v>5</v>
      </c>
      <c r="I797">
        <v>27954.85</v>
      </c>
      <c r="J797">
        <v>0.05</v>
      </c>
      <c r="K797">
        <v>132785.54</v>
      </c>
      <c r="L797">
        <v>95166.46</v>
      </c>
      <c r="M797">
        <v>37619.08</v>
      </c>
      <c r="N797" s="7" t="s">
        <v>33</v>
      </c>
      <c r="O797" s="9">
        <f>IFERROR(RawSalesTable_[[#This Row],[Profit]]/RawSalesTable_[[#This Row],[Revenue]],0)</f>
        <v>0.28330705286132812</v>
      </c>
    </row>
    <row r="798" spans="1:15">
      <c r="A798" s="7" t="s">
        <v>917</v>
      </c>
      <c r="B798" s="8">
        <v>45914</v>
      </c>
      <c r="C798" s="7" t="s">
        <v>28</v>
      </c>
      <c r="D798" s="7" t="s">
        <v>52</v>
      </c>
      <c r="E798" s="7" t="s">
        <v>49</v>
      </c>
      <c r="F798" s="7" t="s">
        <v>1590</v>
      </c>
      <c r="G798" s="7" t="s">
        <v>32</v>
      </c>
      <c r="H798">
        <v>3</v>
      </c>
      <c r="I798">
        <v>4479.6400000000003</v>
      </c>
      <c r="J798">
        <v>0</v>
      </c>
      <c r="K798">
        <v>13438.92</v>
      </c>
      <c r="L798">
        <v>6116.66</v>
      </c>
      <c r="M798">
        <v>7322.26</v>
      </c>
      <c r="N798" s="7" t="s">
        <v>20</v>
      </c>
      <c r="O798" s="9">
        <f>IFERROR(RawSalesTable_[[#This Row],[Profit]]/RawSalesTable_[[#This Row],[Revenue]],0)</f>
        <v>0.5448547948793504</v>
      </c>
    </row>
    <row r="799" spans="1:15">
      <c r="A799" s="7" t="s">
        <v>918</v>
      </c>
      <c r="B799" s="8">
        <v>45694</v>
      </c>
      <c r="C799" s="7" t="s">
        <v>28</v>
      </c>
      <c r="D799" s="7" t="s">
        <v>56</v>
      </c>
      <c r="E799" s="7" t="s">
        <v>49</v>
      </c>
      <c r="F799" s="7" t="s">
        <v>57</v>
      </c>
      <c r="G799" s="7" t="s">
        <v>25</v>
      </c>
      <c r="H799">
        <v>7</v>
      </c>
      <c r="I799">
        <v>11480.77</v>
      </c>
      <c r="J799">
        <v>0.15</v>
      </c>
      <c r="K799">
        <v>68310.58</v>
      </c>
      <c r="L799">
        <v>47280.26</v>
      </c>
      <c r="M799">
        <v>21030.32</v>
      </c>
      <c r="N799" s="7" t="s">
        <v>33</v>
      </c>
      <c r="O799" s="9">
        <f>IFERROR(RawSalesTable_[[#This Row],[Profit]]/RawSalesTable_[[#This Row],[Revenue]],0)</f>
        <v>0.30786329145499863</v>
      </c>
    </row>
    <row r="800" spans="1:15">
      <c r="A800" s="7" t="s">
        <v>919</v>
      </c>
      <c r="B800" s="8">
        <v>46021</v>
      </c>
      <c r="C800" s="7" t="s">
        <v>22</v>
      </c>
      <c r="D800" s="7" t="s">
        <v>35</v>
      </c>
      <c r="E800" s="7" t="s">
        <v>44</v>
      </c>
      <c r="F800" s="7" t="s">
        <v>45</v>
      </c>
      <c r="G800" s="7" t="s">
        <v>70</v>
      </c>
      <c r="H800">
        <v>7</v>
      </c>
      <c r="I800">
        <v>30584.36</v>
      </c>
      <c r="J800">
        <v>0.15</v>
      </c>
      <c r="K800">
        <v>181976.94</v>
      </c>
      <c r="L800">
        <v>132255.26999999999</v>
      </c>
      <c r="M800">
        <v>49721.67</v>
      </c>
      <c r="N800" s="7" t="s">
        <v>59</v>
      </c>
      <c r="O800" s="9">
        <f>IFERROR(RawSalesTable_[[#This Row],[Profit]]/RawSalesTable_[[#This Row],[Revenue]],0)</f>
        <v>0.27323060822981199</v>
      </c>
    </row>
    <row r="801" spans="1:15">
      <c r="A801" s="7" t="s">
        <v>920</v>
      </c>
      <c r="B801" s="8">
        <v>45843</v>
      </c>
      <c r="C801" s="7" t="s">
        <v>15</v>
      </c>
      <c r="D801" s="7" t="s">
        <v>16</v>
      </c>
      <c r="E801" s="7" t="s">
        <v>49</v>
      </c>
      <c r="F801" s="7" t="s">
        <v>107</v>
      </c>
      <c r="G801" s="7" t="s">
        <v>64</v>
      </c>
      <c r="H801">
        <v>4</v>
      </c>
      <c r="I801">
        <v>4985.6400000000003</v>
      </c>
      <c r="J801">
        <v>0</v>
      </c>
      <c r="K801">
        <v>19942.560000000001</v>
      </c>
      <c r="L801">
        <v>11172.63</v>
      </c>
      <c r="M801">
        <v>8769.93</v>
      </c>
      <c r="N801" s="7" t="s">
        <v>26</v>
      </c>
      <c r="O801" s="9">
        <f>IFERROR(RawSalesTable_[[#This Row],[Profit]]/RawSalesTable_[[#This Row],[Revenue]],0)</f>
        <v>0.43975948925313502</v>
      </c>
    </row>
    <row r="802" spans="1:15">
      <c r="A802" s="7" t="s">
        <v>921</v>
      </c>
      <c r="B802" s="8">
        <v>45740</v>
      </c>
      <c r="C802" s="7" t="s">
        <v>28</v>
      </c>
      <c r="D802" s="7" t="s">
        <v>29</v>
      </c>
      <c r="E802" s="7" t="s">
        <v>49</v>
      </c>
      <c r="F802" s="7" t="s">
        <v>1590</v>
      </c>
      <c r="G802" s="7" t="s">
        <v>64</v>
      </c>
      <c r="H802">
        <v>5</v>
      </c>
      <c r="I802">
        <v>4030.26</v>
      </c>
      <c r="J802">
        <v>0.1</v>
      </c>
      <c r="K802">
        <v>18136.169999999998</v>
      </c>
      <c r="L802">
        <v>10884.56</v>
      </c>
      <c r="M802">
        <v>7251.61</v>
      </c>
      <c r="N802" s="7" t="s">
        <v>33</v>
      </c>
      <c r="O802" s="9">
        <f>IFERROR(RawSalesTable_[[#This Row],[Profit]]/RawSalesTable_[[#This Row],[Revenue]],0)</f>
        <v>0.39984241435760692</v>
      </c>
    </row>
    <row r="803" spans="1:15">
      <c r="A803" s="7" t="s">
        <v>922</v>
      </c>
      <c r="B803" s="8">
        <v>45742</v>
      </c>
      <c r="C803" s="7" t="s">
        <v>22</v>
      </c>
      <c r="D803" s="7" t="s">
        <v>37</v>
      </c>
      <c r="E803" s="7" t="s">
        <v>49</v>
      </c>
      <c r="F803" s="7" t="s">
        <v>107</v>
      </c>
      <c r="G803" s="7" t="s">
        <v>25</v>
      </c>
      <c r="H803">
        <v>2</v>
      </c>
      <c r="I803">
        <v>5215.42</v>
      </c>
      <c r="J803">
        <v>0</v>
      </c>
      <c r="K803">
        <v>10430.84</v>
      </c>
      <c r="L803">
        <v>5569.13</v>
      </c>
      <c r="M803">
        <v>4861.71</v>
      </c>
      <c r="N803" s="7" t="s">
        <v>59</v>
      </c>
      <c r="O803" s="9">
        <f>IFERROR(RawSalesTable_[[#This Row],[Profit]]/RawSalesTable_[[#This Row],[Revenue]],0)</f>
        <v>0.46608997933052371</v>
      </c>
    </row>
    <row r="804" spans="1:15">
      <c r="A804" s="7" t="s">
        <v>923</v>
      </c>
      <c r="B804" s="8">
        <v>45713</v>
      </c>
      <c r="C804" s="7" t="s">
        <v>15</v>
      </c>
      <c r="D804" s="7" t="s">
        <v>63</v>
      </c>
      <c r="E804" s="7" t="s">
        <v>49</v>
      </c>
      <c r="F804" s="7" t="s">
        <v>57</v>
      </c>
      <c r="G804" s="7" t="s">
        <v>32</v>
      </c>
      <c r="H804">
        <v>7</v>
      </c>
      <c r="I804">
        <v>11964.53</v>
      </c>
      <c r="J804">
        <v>0.15</v>
      </c>
      <c r="K804">
        <v>71188.95</v>
      </c>
      <c r="L804">
        <v>46904.1</v>
      </c>
      <c r="M804">
        <v>24284.85</v>
      </c>
      <c r="N804" s="7" t="s">
        <v>26</v>
      </c>
      <c r="O804" s="9">
        <f>IFERROR(RawSalesTable_[[#This Row],[Profit]]/RawSalesTable_[[#This Row],[Revenue]],0)</f>
        <v>0.34113229651511928</v>
      </c>
    </row>
    <row r="805" spans="1:15">
      <c r="A805" s="7" t="s">
        <v>924</v>
      </c>
      <c r="B805" s="8">
        <v>45658</v>
      </c>
      <c r="C805" s="7" t="s">
        <v>28</v>
      </c>
      <c r="D805" s="7" t="s">
        <v>29</v>
      </c>
      <c r="E805" s="7" t="s">
        <v>44</v>
      </c>
      <c r="F805" s="7" t="s">
        <v>53</v>
      </c>
      <c r="G805" s="7" t="s">
        <v>19</v>
      </c>
      <c r="H805">
        <v>5</v>
      </c>
      <c r="I805">
        <v>7828.73</v>
      </c>
      <c r="J805">
        <v>0</v>
      </c>
      <c r="K805">
        <v>39143.65</v>
      </c>
      <c r="L805">
        <v>25165.11</v>
      </c>
      <c r="M805">
        <v>13978.54</v>
      </c>
      <c r="N805" s="7" t="s">
        <v>33</v>
      </c>
      <c r="O805" s="9">
        <f>IFERROR(RawSalesTable_[[#This Row],[Profit]]/RawSalesTable_[[#This Row],[Revenue]],0)</f>
        <v>0.35710875199425707</v>
      </c>
    </row>
    <row r="806" spans="1:15">
      <c r="A806" s="7" t="s">
        <v>925</v>
      </c>
      <c r="B806" s="8">
        <v>45726</v>
      </c>
      <c r="C806" s="7" t="s">
        <v>15</v>
      </c>
      <c r="D806" s="7" t="s">
        <v>63</v>
      </c>
      <c r="E806" s="7" t="s">
        <v>49</v>
      </c>
      <c r="F806" s="7" t="s">
        <v>57</v>
      </c>
      <c r="G806" s="7" t="s">
        <v>47</v>
      </c>
      <c r="H806">
        <v>7</v>
      </c>
      <c r="I806">
        <v>10893.97</v>
      </c>
      <c r="J806">
        <v>0.05</v>
      </c>
      <c r="K806">
        <v>72444.899999999994</v>
      </c>
      <c r="L806">
        <v>44728.68</v>
      </c>
      <c r="M806">
        <v>27716.22</v>
      </c>
      <c r="N806" s="7" t="s">
        <v>20</v>
      </c>
      <c r="O806" s="9">
        <f>IFERROR(RawSalesTable_[[#This Row],[Profit]]/RawSalesTable_[[#This Row],[Revenue]],0)</f>
        <v>0.38258345307951291</v>
      </c>
    </row>
    <row r="807" spans="1:15">
      <c r="A807" s="7" t="s">
        <v>926</v>
      </c>
      <c r="B807" s="8">
        <v>45756</v>
      </c>
      <c r="C807" s="7" t="s">
        <v>22</v>
      </c>
      <c r="D807" s="7" t="s">
        <v>37</v>
      </c>
      <c r="E807" s="7" t="s">
        <v>17</v>
      </c>
      <c r="F807" s="7" t="s">
        <v>114</v>
      </c>
      <c r="G807" s="7" t="s">
        <v>58</v>
      </c>
      <c r="H807">
        <v>4</v>
      </c>
      <c r="I807">
        <v>49384.51</v>
      </c>
      <c r="J807">
        <v>0</v>
      </c>
      <c r="K807">
        <v>197538.04</v>
      </c>
      <c r="L807">
        <v>149284.14000000001</v>
      </c>
      <c r="M807">
        <v>48253.9</v>
      </c>
      <c r="N807" s="7" t="s">
        <v>20</v>
      </c>
      <c r="O807" s="9">
        <f>IFERROR(RawSalesTable_[[#This Row],[Profit]]/RawSalesTable_[[#This Row],[Revenue]],0)</f>
        <v>0.24427649479563532</v>
      </c>
    </row>
    <row r="808" spans="1:15">
      <c r="A808" s="7" t="s">
        <v>927</v>
      </c>
      <c r="B808" s="8">
        <v>45690</v>
      </c>
      <c r="C808" s="7" t="s">
        <v>28</v>
      </c>
      <c r="D808" s="7" t="s">
        <v>29</v>
      </c>
      <c r="E808" s="7" t="s">
        <v>17</v>
      </c>
      <c r="F808" s="7" t="s">
        <v>24</v>
      </c>
      <c r="G808" s="7" t="s">
        <v>32</v>
      </c>
      <c r="H808">
        <v>2</v>
      </c>
      <c r="I808">
        <v>88954.81</v>
      </c>
      <c r="J808">
        <v>0.05</v>
      </c>
      <c r="K808">
        <v>169014.14</v>
      </c>
      <c r="L808">
        <v>133106.97</v>
      </c>
      <c r="M808">
        <v>35907.17</v>
      </c>
      <c r="N808" s="7" t="s">
        <v>33</v>
      </c>
      <c r="O808" s="9">
        <f>IFERROR(RawSalesTable_[[#This Row],[Profit]]/RawSalesTable_[[#This Row],[Revenue]],0)</f>
        <v>0.21245068607869139</v>
      </c>
    </row>
    <row r="809" spans="1:15">
      <c r="A809" s="7" t="s">
        <v>928</v>
      </c>
      <c r="B809" s="8">
        <v>45661</v>
      </c>
      <c r="C809" s="7" t="s">
        <v>15</v>
      </c>
      <c r="D809" s="7" t="s">
        <v>16</v>
      </c>
      <c r="E809" s="7" t="s">
        <v>49</v>
      </c>
      <c r="F809" s="7" t="s">
        <v>107</v>
      </c>
      <c r="G809" s="7" t="s">
        <v>64</v>
      </c>
      <c r="H809">
        <v>2</v>
      </c>
      <c r="I809">
        <v>4791.91</v>
      </c>
      <c r="J809">
        <v>0.05</v>
      </c>
      <c r="K809">
        <v>9104.6299999999992</v>
      </c>
      <c r="L809">
        <v>5522.18</v>
      </c>
      <c r="M809">
        <v>3582.45</v>
      </c>
      <c r="N809" s="7" t="s">
        <v>33</v>
      </c>
      <c r="O809" s="9">
        <f>IFERROR(RawSalesTable_[[#This Row],[Profit]]/RawSalesTable_[[#This Row],[Revenue]],0)</f>
        <v>0.39347562723581297</v>
      </c>
    </row>
    <row r="810" spans="1:15">
      <c r="A810" s="7" t="s">
        <v>929</v>
      </c>
      <c r="B810" s="8">
        <v>45967</v>
      </c>
      <c r="C810" s="7" t="s">
        <v>22</v>
      </c>
      <c r="D810" s="7" t="s">
        <v>37</v>
      </c>
      <c r="E810" s="7" t="s">
        <v>17</v>
      </c>
      <c r="F810" s="7" t="s">
        <v>114</v>
      </c>
      <c r="G810" s="7" t="s">
        <v>25</v>
      </c>
      <c r="H810">
        <v>5</v>
      </c>
      <c r="I810">
        <v>55595.31</v>
      </c>
      <c r="J810">
        <v>0.05</v>
      </c>
      <c r="K810">
        <v>264077.71999999997</v>
      </c>
      <c r="L810">
        <v>186694.55</v>
      </c>
      <c r="M810">
        <v>77383.17</v>
      </c>
      <c r="N810" s="7" t="s">
        <v>59</v>
      </c>
      <c r="O810" s="9">
        <f>IFERROR(RawSalesTable_[[#This Row],[Profit]]/RawSalesTable_[[#This Row],[Revenue]],0)</f>
        <v>0.29303180139543772</v>
      </c>
    </row>
    <row r="811" spans="1:15">
      <c r="A811" s="7" t="s">
        <v>930</v>
      </c>
      <c r="B811" s="8">
        <v>45970</v>
      </c>
      <c r="C811" s="7" t="s">
        <v>28</v>
      </c>
      <c r="D811" s="7" t="s">
        <v>29</v>
      </c>
      <c r="E811" s="7" t="s">
        <v>30</v>
      </c>
      <c r="F811" s="7" t="s">
        <v>38</v>
      </c>
      <c r="G811" s="7" t="s">
        <v>64</v>
      </c>
      <c r="H811">
        <v>4</v>
      </c>
      <c r="I811">
        <v>28905.08</v>
      </c>
      <c r="J811">
        <v>0.15</v>
      </c>
      <c r="K811">
        <v>98277.27</v>
      </c>
      <c r="L811">
        <v>71848.3</v>
      </c>
      <c r="M811">
        <v>26428.97</v>
      </c>
      <c r="N811" s="7" t="s">
        <v>59</v>
      </c>
      <c r="O811" s="9">
        <f>IFERROR(RawSalesTable_[[#This Row],[Profit]]/RawSalesTable_[[#This Row],[Revenue]],0)</f>
        <v>0.26892250873472573</v>
      </c>
    </row>
    <row r="812" spans="1:15">
      <c r="A812" s="7" t="s">
        <v>932</v>
      </c>
      <c r="B812" s="8">
        <v>45822</v>
      </c>
      <c r="C812" s="7" t="s">
        <v>28</v>
      </c>
      <c r="D812" s="7" t="s">
        <v>56</v>
      </c>
      <c r="E812" s="7" t="s">
        <v>49</v>
      </c>
      <c r="F812" s="7" t="s">
        <v>107</v>
      </c>
      <c r="G812" s="7" t="s">
        <v>64</v>
      </c>
      <c r="H812">
        <v>4</v>
      </c>
      <c r="I812">
        <v>4786.6000000000004</v>
      </c>
      <c r="J812">
        <v>0.15</v>
      </c>
      <c r="K812">
        <v>16274.44</v>
      </c>
      <c r="L812">
        <v>11199.91</v>
      </c>
      <c r="M812">
        <v>5074.53</v>
      </c>
      <c r="N812" s="7" t="s">
        <v>59</v>
      </c>
      <c r="O812" s="9">
        <f>IFERROR(RawSalesTable_[[#This Row],[Profit]]/RawSalesTable_[[#This Row],[Revenue]],0)</f>
        <v>0.31180980728061913</v>
      </c>
    </row>
    <row r="813" spans="1:15">
      <c r="A813" s="7" t="s">
        <v>934</v>
      </c>
      <c r="B813" s="8">
        <v>45924</v>
      </c>
      <c r="C813" s="7" t="s">
        <v>28</v>
      </c>
      <c r="D813" s="7" t="s">
        <v>29</v>
      </c>
      <c r="E813" s="7" t="s">
        <v>17</v>
      </c>
      <c r="F813" s="7" t="s">
        <v>114</v>
      </c>
      <c r="G813" s="7" t="s">
        <v>64</v>
      </c>
      <c r="H813">
        <v>5</v>
      </c>
      <c r="I813">
        <v>52891.69</v>
      </c>
      <c r="J813">
        <v>0.15</v>
      </c>
      <c r="K813">
        <v>224789.68</v>
      </c>
      <c r="L813">
        <v>178853.89</v>
      </c>
      <c r="M813">
        <v>45935.79</v>
      </c>
      <c r="N813" s="7" t="s">
        <v>26</v>
      </c>
      <c r="O813" s="9">
        <f>IFERROR(RawSalesTable_[[#This Row],[Profit]]/RawSalesTable_[[#This Row],[Revenue]],0)</f>
        <v>0.20435008404300412</v>
      </c>
    </row>
    <row r="814" spans="1:15">
      <c r="A814" s="7" t="s">
        <v>935</v>
      </c>
      <c r="B814" s="8">
        <v>45934</v>
      </c>
      <c r="C814" s="7" t="s">
        <v>28</v>
      </c>
      <c r="D814" s="7" t="s">
        <v>52</v>
      </c>
      <c r="E814" s="7" t="s">
        <v>30</v>
      </c>
      <c r="F814" s="7" t="s">
        <v>40</v>
      </c>
      <c r="G814" s="7" t="s">
        <v>47</v>
      </c>
      <c r="H814">
        <v>3</v>
      </c>
      <c r="I814">
        <v>26053.919999999998</v>
      </c>
      <c r="J814">
        <v>0</v>
      </c>
      <c r="K814">
        <v>78161.759999999995</v>
      </c>
      <c r="L814">
        <v>47577.84</v>
      </c>
      <c r="M814">
        <v>30583.919999999998</v>
      </c>
      <c r="N814" s="7" t="s">
        <v>26</v>
      </c>
      <c r="O814" s="9">
        <f>IFERROR(RawSalesTable_[[#This Row],[Profit]]/RawSalesTable_[[#This Row],[Revenue]],0)</f>
        <v>0.39129006306920416</v>
      </c>
    </row>
    <row r="815" spans="1:15">
      <c r="A815" s="7" t="s">
        <v>936</v>
      </c>
      <c r="B815" s="8">
        <v>45825</v>
      </c>
      <c r="C815" s="7" t="s">
        <v>22</v>
      </c>
      <c r="D815" s="7" t="s">
        <v>23</v>
      </c>
      <c r="E815" s="7" t="s">
        <v>17</v>
      </c>
      <c r="F815" s="7" t="s">
        <v>75</v>
      </c>
      <c r="G815" s="7" t="s">
        <v>25</v>
      </c>
      <c r="H815">
        <v>7</v>
      </c>
      <c r="I815">
        <v>199603.5</v>
      </c>
      <c r="J815">
        <v>0</v>
      </c>
      <c r="K815">
        <v>1397224.5</v>
      </c>
      <c r="L815">
        <v>975329.17</v>
      </c>
      <c r="M815">
        <v>421895.33</v>
      </c>
      <c r="N815" s="7" t="s">
        <v>59</v>
      </c>
      <c r="O815" s="9">
        <f>IFERROR(RawSalesTable_[[#This Row],[Profit]]/RawSalesTable_[[#This Row],[Revenue]],0)</f>
        <v>0.30195242783103216</v>
      </c>
    </row>
    <row r="816" spans="1:15">
      <c r="A816" s="7" t="s">
        <v>937</v>
      </c>
      <c r="B816" s="8">
        <v>45909</v>
      </c>
      <c r="C816" s="7" t="s">
        <v>22</v>
      </c>
      <c r="D816" s="7" t="s">
        <v>37</v>
      </c>
      <c r="E816" s="7" t="s">
        <v>30</v>
      </c>
      <c r="F816" s="7" t="s">
        <v>40</v>
      </c>
      <c r="G816" s="7" t="s">
        <v>19</v>
      </c>
      <c r="H816">
        <v>2</v>
      </c>
      <c r="I816">
        <v>25148.67</v>
      </c>
      <c r="J816">
        <v>0.1</v>
      </c>
      <c r="K816">
        <v>45267.61</v>
      </c>
      <c r="L816">
        <v>32053.41</v>
      </c>
      <c r="M816">
        <v>13214.2</v>
      </c>
      <c r="N816" s="7" t="s">
        <v>59</v>
      </c>
      <c r="O816" s="9">
        <f>IFERROR(RawSalesTable_[[#This Row],[Profit]]/RawSalesTable_[[#This Row],[Revenue]],0)</f>
        <v>0.29191291521686258</v>
      </c>
    </row>
    <row r="817" spans="1:15">
      <c r="A817" s="7" t="s">
        <v>938</v>
      </c>
      <c r="B817" s="8">
        <v>45853</v>
      </c>
      <c r="C817" s="7" t="s">
        <v>22</v>
      </c>
      <c r="D817" s="7" t="s">
        <v>37</v>
      </c>
      <c r="E817" s="7" t="s">
        <v>17</v>
      </c>
      <c r="F817" s="7" t="s">
        <v>18</v>
      </c>
      <c r="G817" s="7" t="s">
        <v>25</v>
      </c>
      <c r="H817">
        <v>7</v>
      </c>
      <c r="I817">
        <v>15451.59</v>
      </c>
      <c r="J817">
        <v>0.15</v>
      </c>
      <c r="K817">
        <v>91936.960000000006</v>
      </c>
      <c r="L817">
        <v>58635.26</v>
      </c>
      <c r="M817">
        <v>33301.699999999997</v>
      </c>
      <c r="N817" s="7" t="s">
        <v>26</v>
      </c>
      <c r="O817" s="9">
        <f>IFERROR(RawSalesTable_[[#This Row],[Profit]]/RawSalesTable_[[#This Row],[Revenue]],0)</f>
        <v>0.36222320163729577</v>
      </c>
    </row>
    <row r="818" spans="1:15">
      <c r="A818" s="7" t="s">
        <v>940</v>
      </c>
      <c r="B818" s="8">
        <v>45856</v>
      </c>
      <c r="C818" s="7" t="s">
        <v>22</v>
      </c>
      <c r="D818" s="7" t="s">
        <v>35</v>
      </c>
      <c r="E818" s="7" t="s">
        <v>49</v>
      </c>
      <c r="F818" s="7" t="s">
        <v>91</v>
      </c>
      <c r="G818" s="7" t="s">
        <v>25</v>
      </c>
      <c r="H818">
        <v>5</v>
      </c>
      <c r="I818">
        <v>6044.36</v>
      </c>
      <c r="J818">
        <v>0.1</v>
      </c>
      <c r="K818">
        <v>27199.62</v>
      </c>
      <c r="L818">
        <v>17699.22</v>
      </c>
      <c r="M818">
        <v>9500.4</v>
      </c>
      <c r="N818" s="7" t="s">
        <v>59</v>
      </c>
      <c r="O818" s="9">
        <f>IFERROR(RawSalesTable_[[#This Row],[Profit]]/RawSalesTable_[[#This Row],[Revenue]],0)</f>
        <v>0.34928429147171908</v>
      </c>
    </row>
    <row r="819" spans="1:15">
      <c r="A819" s="7" t="s">
        <v>941</v>
      </c>
      <c r="B819" s="8">
        <v>45819</v>
      </c>
      <c r="C819" s="7" t="s">
        <v>28</v>
      </c>
      <c r="D819" s="7" t="s">
        <v>29</v>
      </c>
      <c r="E819" s="7" t="s">
        <v>44</v>
      </c>
      <c r="F819" s="7" t="s">
        <v>45</v>
      </c>
      <c r="G819" s="7" t="s">
        <v>61</v>
      </c>
      <c r="H819">
        <v>2</v>
      </c>
      <c r="I819">
        <v>28022.62</v>
      </c>
      <c r="J819">
        <v>0.1</v>
      </c>
      <c r="K819">
        <v>50440.72</v>
      </c>
      <c r="L819">
        <v>39127.279999999999</v>
      </c>
      <c r="M819">
        <v>11313.44</v>
      </c>
      <c r="N819" s="7" t="s">
        <v>59</v>
      </c>
      <c r="O819" s="9">
        <f>IFERROR(RawSalesTable_[[#This Row],[Profit]]/RawSalesTable_[[#This Row],[Revenue]],0)</f>
        <v>0.22429180233747656</v>
      </c>
    </row>
    <row r="820" spans="1:15">
      <c r="A820" s="7" t="s">
        <v>942</v>
      </c>
      <c r="B820" s="8">
        <v>46017</v>
      </c>
      <c r="C820" s="7" t="s">
        <v>22</v>
      </c>
      <c r="D820" s="7" t="s">
        <v>35</v>
      </c>
      <c r="E820" s="7" t="s">
        <v>49</v>
      </c>
      <c r="F820" s="7" t="s">
        <v>1590</v>
      </c>
      <c r="G820" s="7" t="s">
        <v>64</v>
      </c>
      <c r="H820">
        <v>5</v>
      </c>
      <c r="I820">
        <v>3962.03</v>
      </c>
      <c r="J820">
        <v>0.15</v>
      </c>
      <c r="K820">
        <v>16838.63</v>
      </c>
      <c r="L820">
        <v>10809.11</v>
      </c>
      <c r="M820">
        <v>6029.52</v>
      </c>
      <c r="N820" s="7" t="s">
        <v>59</v>
      </c>
      <c r="O820" s="9">
        <f>IFERROR(RawSalesTable_[[#This Row],[Profit]]/RawSalesTable_[[#This Row],[Revenue]],0)</f>
        <v>0.35807663687604041</v>
      </c>
    </row>
    <row r="821" spans="1:15">
      <c r="A821" s="7" t="s">
        <v>943</v>
      </c>
      <c r="B821" s="8">
        <v>46018</v>
      </c>
      <c r="C821" s="7" t="s">
        <v>28</v>
      </c>
      <c r="D821" s="7" t="s">
        <v>29</v>
      </c>
      <c r="E821" s="7" t="s">
        <v>17</v>
      </c>
      <c r="F821" s="7" t="s">
        <v>18</v>
      </c>
      <c r="G821" s="7" t="s">
        <v>25</v>
      </c>
      <c r="H821">
        <v>8</v>
      </c>
      <c r="I821">
        <v>14804.1</v>
      </c>
      <c r="J821">
        <v>0</v>
      </c>
      <c r="K821">
        <v>118432.8</v>
      </c>
      <c r="L821">
        <v>65905.16</v>
      </c>
      <c r="M821">
        <v>52527.64</v>
      </c>
      <c r="N821" s="7" t="s">
        <v>33</v>
      </c>
      <c r="O821" s="9">
        <f>IFERROR(RawSalesTable_[[#This Row],[Profit]]/RawSalesTable_[[#This Row],[Revenue]],0)</f>
        <v>0.44352274032193784</v>
      </c>
    </row>
    <row r="822" spans="1:15">
      <c r="A822" s="7" t="s">
        <v>944</v>
      </c>
      <c r="B822" s="8">
        <v>45858</v>
      </c>
      <c r="C822" s="7" t="s">
        <v>28</v>
      </c>
      <c r="D822" s="7" t="s">
        <v>52</v>
      </c>
      <c r="E822" s="7" t="s">
        <v>44</v>
      </c>
      <c r="F822" s="7" t="s">
        <v>45</v>
      </c>
      <c r="G822" s="7" t="s">
        <v>58</v>
      </c>
      <c r="H822">
        <v>1</v>
      </c>
      <c r="I822">
        <v>30429.599999999999</v>
      </c>
      <c r="J822">
        <v>0</v>
      </c>
      <c r="K822">
        <v>30429.599999999999</v>
      </c>
      <c r="L822">
        <v>19569.52</v>
      </c>
      <c r="M822">
        <v>10860.08</v>
      </c>
      <c r="N822" s="7" t="s">
        <v>26</v>
      </c>
      <c r="O822" s="9">
        <f>IFERROR(RawSalesTable_[[#This Row],[Profit]]/RawSalesTable_[[#This Row],[Revenue]],0)</f>
        <v>0.35689197360464814</v>
      </c>
    </row>
    <row r="823" spans="1:15">
      <c r="A823" s="7" t="s">
        <v>945</v>
      </c>
      <c r="B823" s="8">
        <v>45858</v>
      </c>
      <c r="C823" s="7" t="s">
        <v>22</v>
      </c>
      <c r="D823" s="7" t="s">
        <v>37</v>
      </c>
      <c r="E823" s="7" t="s">
        <v>49</v>
      </c>
      <c r="F823" s="7" t="s">
        <v>57</v>
      </c>
      <c r="G823" s="7" t="s">
        <v>19</v>
      </c>
      <c r="H823">
        <v>7</v>
      </c>
      <c r="I823">
        <v>11827.33</v>
      </c>
      <c r="J823">
        <v>0.05</v>
      </c>
      <c r="K823">
        <v>78651.740000000005</v>
      </c>
      <c r="L823">
        <v>46548.32</v>
      </c>
      <c r="M823">
        <v>32103.42</v>
      </c>
      <c r="N823" s="7" t="s">
        <v>59</v>
      </c>
      <c r="O823" s="9">
        <f>IFERROR(RawSalesTable_[[#This Row],[Profit]]/RawSalesTable_[[#This Row],[Revenue]],0)</f>
        <v>0.4081717708978847</v>
      </c>
    </row>
    <row r="824" spans="1:15">
      <c r="A824" s="7" t="s">
        <v>946</v>
      </c>
      <c r="B824" s="8">
        <v>45685</v>
      </c>
      <c r="C824" s="7" t="s">
        <v>28</v>
      </c>
      <c r="D824" s="7" t="s">
        <v>29</v>
      </c>
      <c r="E824" s="7" t="s">
        <v>44</v>
      </c>
      <c r="F824" s="7" t="s">
        <v>53</v>
      </c>
      <c r="G824" s="7" t="s">
        <v>58</v>
      </c>
      <c r="H824">
        <v>2</v>
      </c>
      <c r="I824">
        <v>7998.02</v>
      </c>
      <c r="J824">
        <v>0.1</v>
      </c>
      <c r="K824">
        <v>14396.44</v>
      </c>
      <c r="L824">
        <v>10099.98</v>
      </c>
      <c r="M824">
        <v>4296.46</v>
      </c>
      <c r="N824" s="7" t="s">
        <v>20</v>
      </c>
      <c r="O824" s="9">
        <f>IFERROR(RawSalesTable_[[#This Row],[Profit]]/RawSalesTable_[[#This Row],[Revenue]],0)</f>
        <v>0.29843905854502917</v>
      </c>
    </row>
    <row r="825" spans="1:15">
      <c r="A825" s="7" t="s">
        <v>947</v>
      </c>
      <c r="B825" s="8">
        <v>45758</v>
      </c>
      <c r="C825" s="7" t="s">
        <v>15</v>
      </c>
      <c r="D825" s="7" t="s">
        <v>16</v>
      </c>
      <c r="E825" s="7" t="s">
        <v>44</v>
      </c>
      <c r="F825" s="7" t="s">
        <v>53</v>
      </c>
      <c r="G825" s="7" t="s">
        <v>64</v>
      </c>
      <c r="H825">
        <v>8</v>
      </c>
      <c r="I825">
        <v>8215.8700000000008</v>
      </c>
      <c r="J825">
        <v>0</v>
      </c>
      <c r="K825">
        <v>65726.960000000006</v>
      </c>
      <c r="L825">
        <v>38599.599999999999</v>
      </c>
      <c r="M825">
        <v>27127.360000000001</v>
      </c>
      <c r="N825" s="7" t="s">
        <v>59</v>
      </c>
      <c r="O825" s="9">
        <f>IFERROR(RawSalesTable_[[#This Row],[Profit]]/RawSalesTable_[[#This Row],[Revenue]],0)</f>
        <v>0.41272804949445402</v>
      </c>
    </row>
    <row r="826" spans="1:15">
      <c r="A826" s="7" t="s">
        <v>948</v>
      </c>
      <c r="B826" s="8">
        <v>45744</v>
      </c>
      <c r="C826" s="7" t="s">
        <v>15</v>
      </c>
      <c r="D826" s="7" t="s">
        <v>43</v>
      </c>
      <c r="E826" s="7" t="s">
        <v>17</v>
      </c>
      <c r="F826" s="7" t="s">
        <v>24</v>
      </c>
      <c r="G826" s="7" t="s">
        <v>64</v>
      </c>
      <c r="H826">
        <v>7</v>
      </c>
      <c r="I826">
        <v>98629.86</v>
      </c>
      <c r="J826">
        <v>0.05</v>
      </c>
      <c r="K826">
        <v>655888.56999999995</v>
      </c>
      <c r="L826">
        <v>484359.12</v>
      </c>
      <c r="M826">
        <v>171529.45</v>
      </c>
      <c r="N826" s="7" t="s">
        <v>33</v>
      </c>
      <c r="O826" s="9">
        <f>IFERROR(RawSalesTable_[[#This Row],[Profit]]/RawSalesTable_[[#This Row],[Revenue]],0)</f>
        <v>0.26152224302368926</v>
      </c>
    </row>
    <row r="827" spans="1:15">
      <c r="A827" s="7" t="s">
        <v>949</v>
      </c>
      <c r="B827" s="8">
        <v>45880</v>
      </c>
      <c r="C827" s="7" t="s">
        <v>28</v>
      </c>
      <c r="D827" s="7" t="s">
        <v>56</v>
      </c>
      <c r="E827" s="7" t="s">
        <v>44</v>
      </c>
      <c r="F827" s="7" t="s">
        <v>80</v>
      </c>
      <c r="G827" s="7" t="s">
        <v>61</v>
      </c>
      <c r="H827">
        <v>2</v>
      </c>
      <c r="I827">
        <v>46304.3</v>
      </c>
      <c r="J827">
        <v>0.15</v>
      </c>
      <c r="K827">
        <v>78717.31</v>
      </c>
      <c r="L827">
        <v>61609.03</v>
      </c>
      <c r="M827">
        <v>17108.28</v>
      </c>
      <c r="N827" s="7" t="s">
        <v>20</v>
      </c>
      <c r="O827" s="9">
        <f>IFERROR(RawSalesTable_[[#This Row],[Profit]]/RawSalesTable_[[#This Row],[Revenue]],0)</f>
        <v>0.2173382195097876</v>
      </c>
    </row>
    <row r="828" spans="1:15">
      <c r="A828" s="7" t="s">
        <v>950</v>
      </c>
      <c r="B828" s="8">
        <v>45746</v>
      </c>
      <c r="C828" s="7" t="s">
        <v>22</v>
      </c>
      <c r="D828" s="7" t="s">
        <v>23</v>
      </c>
      <c r="E828" s="7" t="s">
        <v>17</v>
      </c>
      <c r="F828" s="7" t="s">
        <v>24</v>
      </c>
      <c r="G828" s="7" t="s">
        <v>25</v>
      </c>
      <c r="H828">
        <v>7</v>
      </c>
      <c r="I828">
        <v>91832.57</v>
      </c>
      <c r="J828">
        <v>0.15</v>
      </c>
      <c r="K828">
        <v>546403.79</v>
      </c>
      <c r="L828">
        <v>481583.9</v>
      </c>
      <c r="M828">
        <v>64819.89</v>
      </c>
      <c r="N828" s="7" t="s">
        <v>33</v>
      </c>
      <c r="O828" s="9">
        <f>IFERROR(RawSalesTable_[[#This Row],[Profit]]/RawSalesTable_[[#This Row],[Revenue]],0)</f>
        <v>0.11863001535915407</v>
      </c>
    </row>
    <row r="829" spans="1:15">
      <c r="A829" s="7" t="s">
        <v>951</v>
      </c>
      <c r="B829" s="8">
        <v>45720</v>
      </c>
      <c r="C829" s="7" t="s">
        <v>28</v>
      </c>
      <c r="D829" s="7" t="s">
        <v>29</v>
      </c>
      <c r="E829" s="7" t="s">
        <v>49</v>
      </c>
      <c r="F829" s="7" t="s">
        <v>57</v>
      </c>
      <c r="G829" s="7" t="s">
        <v>70</v>
      </c>
      <c r="H829">
        <v>8</v>
      </c>
      <c r="I829">
        <v>11255.87</v>
      </c>
      <c r="J829">
        <v>0</v>
      </c>
      <c r="K829">
        <v>90046.96</v>
      </c>
      <c r="L829">
        <v>50864.52</v>
      </c>
      <c r="M829">
        <v>39182.44</v>
      </c>
      <c r="N829" s="7" t="s">
        <v>26</v>
      </c>
      <c r="O829" s="9">
        <f>IFERROR(RawSalesTable_[[#This Row],[Profit]]/RawSalesTable_[[#This Row],[Revenue]],0)</f>
        <v>0.43513340150517016</v>
      </c>
    </row>
    <row r="830" spans="1:15">
      <c r="A830" s="7" t="s">
        <v>952</v>
      </c>
      <c r="B830" s="8">
        <v>45988</v>
      </c>
      <c r="C830" s="7" t="s">
        <v>22</v>
      </c>
      <c r="D830" s="7" t="s">
        <v>37</v>
      </c>
      <c r="E830" s="7" t="s">
        <v>49</v>
      </c>
      <c r="F830" s="7" t="s">
        <v>57</v>
      </c>
      <c r="G830" s="7" t="s">
        <v>25</v>
      </c>
      <c r="H830">
        <v>2</v>
      </c>
      <c r="I830">
        <v>12041.59</v>
      </c>
      <c r="J830">
        <v>0</v>
      </c>
      <c r="K830">
        <v>24083.18</v>
      </c>
      <c r="L830">
        <v>12959.4</v>
      </c>
      <c r="M830">
        <v>11123.78</v>
      </c>
      <c r="N830" s="7" t="s">
        <v>59</v>
      </c>
      <c r="O830" s="9">
        <f>IFERROR(RawSalesTable_[[#This Row],[Profit]]/RawSalesTable_[[#This Row],[Revenue]],0)</f>
        <v>0.46188999957646792</v>
      </c>
    </row>
    <row r="831" spans="1:15">
      <c r="A831" s="7" t="s">
        <v>953</v>
      </c>
      <c r="B831" s="8">
        <v>46016</v>
      </c>
      <c r="C831" s="7" t="s">
        <v>15</v>
      </c>
      <c r="D831" s="7" t="s">
        <v>16</v>
      </c>
      <c r="E831" s="7" t="s">
        <v>17</v>
      </c>
      <c r="F831" s="7" t="s">
        <v>18</v>
      </c>
      <c r="G831" s="7" t="s">
        <v>64</v>
      </c>
      <c r="H831">
        <v>2</v>
      </c>
      <c r="I831">
        <v>14995.94</v>
      </c>
      <c r="J831">
        <v>0.1</v>
      </c>
      <c r="K831">
        <v>26992.69</v>
      </c>
      <c r="L831">
        <v>16120.25</v>
      </c>
      <c r="M831">
        <v>10872.44</v>
      </c>
      <c r="N831" s="7" t="s">
        <v>20</v>
      </c>
      <c r="O831" s="9">
        <f>IFERROR(RawSalesTable_[[#This Row],[Profit]]/RawSalesTable_[[#This Row],[Revenue]],0)</f>
        <v>0.40279201517151497</v>
      </c>
    </row>
    <row r="832" spans="1:15">
      <c r="A832" s="7" t="s">
        <v>954</v>
      </c>
      <c r="B832" s="8">
        <v>45718</v>
      </c>
      <c r="C832" s="7" t="s">
        <v>15</v>
      </c>
      <c r="D832" s="7" t="s">
        <v>43</v>
      </c>
      <c r="E832" s="7" t="s">
        <v>49</v>
      </c>
      <c r="F832" s="7" t="s">
        <v>91</v>
      </c>
      <c r="G832" s="7" t="s">
        <v>61</v>
      </c>
      <c r="H832">
        <v>2</v>
      </c>
      <c r="I832">
        <v>6763.65</v>
      </c>
      <c r="J832">
        <v>0</v>
      </c>
      <c r="K832">
        <v>13527.3</v>
      </c>
      <c r="L832">
        <v>7470.7</v>
      </c>
      <c r="M832">
        <v>6056.6</v>
      </c>
      <c r="N832" s="7" t="s">
        <v>26</v>
      </c>
      <c r="O832" s="9">
        <f>IFERROR(RawSalesTable_[[#This Row],[Profit]]/RawSalesTable_[[#This Row],[Revenue]],0)</f>
        <v>0.4477316241969943</v>
      </c>
    </row>
    <row r="833" spans="1:15">
      <c r="A833" s="7" t="s">
        <v>955</v>
      </c>
      <c r="B833" s="8">
        <v>45740</v>
      </c>
      <c r="C833" s="7" t="s">
        <v>22</v>
      </c>
      <c r="D833" s="7" t="s">
        <v>37</v>
      </c>
      <c r="E833" s="7" t="s">
        <v>49</v>
      </c>
      <c r="F833" s="7" t="s">
        <v>57</v>
      </c>
      <c r="G833" s="7" t="s">
        <v>19</v>
      </c>
      <c r="H833">
        <v>2</v>
      </c>
      <c r="I833">
        <v>10652.02</v>
      </c>
      <c r="J833">
        <v>0.1</v>
      </c>
      <c r="K833">
        <v>19173.64</v>
      </c>
      <c r="L833">
        <v>12797.67</v>
      </c>
      <c r="M833">
        <v>6375.97</v>
      </c>
      <c r="N833" s="7" t="s">
        <v>59</v>
      </c>
      <c r="O833" s="9">
        <f>IFERROR(RawSalesTable_[[#This Row],[Profit]]/RawSalesTable_[[#This Row],[Revenue]],0)</f>
        <v>0.33253831823274038</v>
      </c>
    </row>
    <row r="834" spans="1:15">
      <c r="A834" s="7" t="s">
        <v>956</v>
      </c>
      <c r="B834" s="8">
        <v>45994</v>
      </c>
      <c r="C834" s="7" t="s">
        <v>22</v>
      </c>
      <c r="D834" s="7" t="s">
        <v>23</v>
      </c>
      <c r="E834" s="7" t="s">
        <v>17</v>
      </c>
      <c r="F834" s="7" t="s">
        <v>18</v>
      </c>
      <c r="G834" s="7" t="s">
        <v>64</v>
      </c>
      <c r="H834">
        <v>6</v>
      </c>
      <c r="I834">
        <v>15581.76</v>
      </c>
      <c r="J834">
        <v>0</v>
      </c>
      <c r="K834">
        <v>93490.559999999998</v>
      </c>
      <c r="L834">
        <v>49180.99</v>
      </c>
      <c r="M834">
        <v>44309.57</v>
      </c>
      <c r="N834" s="7" t="s">
        <v>26</v>
      </c>
      <c r="O834" s="9">
        <f>IFERROR(RawSalesTable_[[#This Row],[Profit]]/RawSalesTable_[[#This Row],[Revenue]],0)</f>
        <v>0.47394699529021966</v>
      </c>
    </row>
    <row r="835" spans="1:15">
      <c r="A835" s="7" t="s">
        <v>957</v>
      </c>
      <c r="B835" s="8">
        <v>45838</v>
      </c>
      <c r="C835" s="7" t="s">
        <v>28</v>
      </c>
      <c r="D835" s="7" t="s">
        <v>52</v>
      </c>
      <c r="E835" s="7" t="s">
        <v>30</v>
      </c>
      <c r="F835" s="7" t="s">
        <v>40</v>
      </c>
      <c r="G835" s="7" t="s">
        <v>47</v>
      </c>
      <c r="H835">
        <v>3</v>
      </c>
      <c r="I835">
        <v>24802.12</v>
      </c>
      <c r="J835">
        <v>0.15</v>
      </c>
      <c r="K835">
        <v>63245.41</v>
      </c>
      <c r="L835">
        <v>47016.32</v>
      </c>
      <c r="M835">
        <v>16229.09</v>
      </c>
      <c r="N835" s="7" t="s">
        <v>33</v>
      </c>
      <c r="O835" s="9">
        <f>IFERROR(RawSalesTable_[[#This Row],[Profit]]/RawSalesTable_[[#This Row],[Revenue]],0)</f>
        <v>0.25660502477571101</v>
      </c>
    </row>
    <row r="836" spans="1:15">
      <c r="A836" s="7" t="s">
        <v>959</v>
      </c>
      <c r="B836" s="8">
        <v>45862</v>
      </c>
      <c r="C836" s="7" t="s">
        <v>28</v>
      </c>
      <c r="D836" s="7" t="s">
        <v>52</v>
      </c>
      <c r="E836" s="7" t="s">
        <v>49</v>
      </c>
      <c r="F836" s="7" t="s">
        <v>91</v>
      </c>
      <c r="G836" s="7" t="s">
        <v>70</v>
      </c>
      <c r="H836">
        <v>5</v>
      </c>
      <c r="I836">
        <v>6251.1</v>
      </c>
      <c r="J836">
        <v>0.15</v>
      </c>
      <c r="K836">
        <v>26567.17</v>
      </c>
      <c r="L836">
        <v>18598.61</v>
      </c>
      <c r="M836">
        <v>7968.56</v>
      </c>
      <c r="N836" s="7" t="s">
        <v>33</v>
      </c>
      <c r="O836" s="9">
        <f>IFERROR(RawSalesTable_[[#This Row],[Profit]]/RawSalesTable_[[#This Row],[Revenue]],0)</f>
        <v>0.29994011405806492</v>
      </c>
    </row>
    <row r="837" spans="1:15">
      <c r="A837" s="7" t="s">
        <v>960</v>
      </c>
      <c r="B837" s="8">
        <v>45982</v>
      </c>
      <c r="C837" s="7" t="s">
        <v>28</v>
      </c>
      <c r="D837" s="7" t="s">
        <v>29</v>
      </c>
      <c r="E837" s="7" t="s">
        <v>49</v>
      </c>
      <c r="F837" s="7" t="s">
        <v>1590</v>
      </c>
      <c r="G837" s="7" t="s">
        <v>47</v>
      </c>
      <c r="H837">
        <v>4</v>
      </c>
      <c r="I837">
        <v>3911.42</v>
      </c>
      <c r="J837">
        <v>0.15</v>
      </c>
      <c r="K837">
        <v>13298.83</v>
      </c>
      <c r="L837">
        <v>8306.41</v>
      </c>
      <c r="M837">
        <v>4992.42</v>
      </c>
      <c r="N837" s="7" t="s">
        <v>59</v>
      </c>
      <c r="O837" s="9">
        <f>IFERROR(RawSalesTable_[[#This Row],[Profit]]/RawSalesTable_[[#This Row],[Revenue]],0)</f>
        <v>0.37540294898122617</v>
      </c>
    </row>
    <row r="838" spans="1:15">
      <c r="A838" s="7" t="s">
        <v>961</v>
      </c>
      <c r="B838" s="8">
        <v>45967</v>
      </c>
      <c r="C838" s="7" t="s">
        <v>15</v>
      </c>
      <c r="D838" s="7" t="s">
        <v>43</v>
      </c>
      <c r="E838" s="7" t="s">
        <v>44</v>
      </c>
      <c r="F838" s="7" t="s">
        <v>53</v>
      </c>
      <c r="G838" s="7" t="s">
        <v>47</v>
      </c>
      <c r="H838">
        <v>3</v>
      </c>
      <c r="I838">
        <v>8250.25</v>
      </c>
      <c r="J838">
        <v>0.05</v>
      </c>
      <c r="K838">
        <v>23513.21</v>
      </c>
      <c r="L838">
        <v>14648.93</v>
      </c>
      <c r="M838">
        <v>8864.2800000000007</v>
      </c>
      <c r="N838" s="7" t="s">
        <v>33</v>
      </c>
      <c r="O838" s="9">
        <f>IFERROR(RawSalesTable_[[#This Row],[Profit]]/RawSalesTable_[[#This Row],[Revenue]],0)</f>
        <v>0.37699148691310125</v>
      </c>
    </row>
    <row r="839" spans="1:15">
      <c r="A839" s="7" t="s">
        <v>962</v>
      </c>
      <c r="B839" s="8">
        <v>45828</v>
      </c>
      <c r="C839" s="7" t="s">
        <v>28</v>
      </c>
      <c r="D839" s="7" t="s">
        <v>52</v>
      </c>
      <c r="E839" s="7" t="s">
        <v>17</v>
      </c>
      <c r="F839" s="7" t="s">
        <v>114</v>
      </c>
      <c r="G839" s="7" t="s">
        <v>58</v>
      </c>
      <c r="H839">
        <v>2</v>
      </c>
      <c r="I839">
        <v>50580.25</v>
      </c>
      <c r="J839">
        <v>0</v>
      </c>
      <c r="K839">
        <v>101160.5</v>
      </c>
      <c r="L839">
        <v>72664.009999999995</v>
      </c>
      <c r="M839">
        <v>28496.49</v>
      </c>
      <c r="N839" s="7" t="s">
        <v>26</v>
      </c>
      <c r="O839" s="9">
        <f>IFERROR(RawSalesTable_[[#This Row],[Profit]]/RawSalesTable_[[#This Row],[Revenue]],0)</f>
        <v>0.28169582000879789</v>
      </c>
    </row>
    <row r="840" spans="1:15">
      <c r="A840" s="7" t="s">
        <v>963</v>
      </c>
      <c r="B840" s="8">
        <v>45711</v>
      </c>
      <c r="C840" s="7" t="s">
        <v>22</v>
      </c>
      <c r="D840" s="7" t="s">
        <v>35</v>
      </c>
      <c r="E840" s="7" t="s">
        <v>17</v>
      </c>
      <c r="F840" s="7" t="s">
        <v>75</v>
      </c>
      <c r="G840" s="7" t="s">
        <v>19</v>
      </c>
      <c r="H840">
        <v>7</v>
      </c>
      <c r="I840">
        <v>199192.76</v>
      </c>
      <c r="J840">
        <v>0</v>
      </c>
      <c r="K840">
        <v>1394349.32</v>
      </c>
      <c r="L840">
        <v>990525.24</v>
      </c>
      <c r="M840">
        <v>403824.08</v>
      </c>
      <c r="N840" s="7" t="s">
        <v>26</v>
      </c>
      <c r="O840" s="9">
        <f>IFERROR(RawSalesTable_[[#This Row],[Profit]]/RawSalesTable_[[#This Row],[Revenue]],0)</f>
        <v>0.28961471433858482</v>
      </c>
    </row>
    <row r="841" spans="1:15">
      <c r="A841" s="7" t="s">
        <v>964</v>
      </c>
      <c r="B841" s="8">
        <v>45802</v>
      </c>
      <c r="C841" s="7" t="s">
        <v>15</v>
      </c>
      <c r="D841" s="7" t="s">
        <v>43</v>
      </c>
      <c r="E841" s="7" t="s">
        <v>30</v>
      </c>
      <c r="F841" s="7" t="s">
        <v>40</v>
      </c>
      <c r="G841" s="7" t="s">
        <v>58</v>
      </c>
      <c r="H841">
        <v>2</v>
      </c>
      <c r="I841">
        <v>24613.52</v>
      </c>
      <c r="J841">
        <v>0.15</v>
      </c>
      <c r="K841">
        <v>41842.980000000003</v>
      </c>
      <c r="L841">
        <v>31917.61</v>
      </c>
      <c r="M841">
        <v>9925.3700000000008</v>
      </c>
      <c r="N841" s="7" t="s">
        <v>33</v>
      </c>
      <c r="O841" s="9">
        <f>IFERROR(RawSalesTable_[[#This Row],[Profit]]/RawSalesTable_[[#This Row],[Revenue]],0)</f>
        <v>0.23720514169879869</v>
      </c>
    </row>
    <row r="842" spans="1:15">
      <c r="A842" s="7" t="s">
        <v>965</v>
      </c>
      <c r="B842" s="8">
        <v>45930</v>
      </c>
      <c r="C842" s="7" t="s">
        <v>22</v>
      </c>
      <c r="D842" s="7" t="s">
        <v>23</v>
      </c>
      <c r="E842" s="7" t="s">
        <v>30</v>
      </c>
      <c r="F842" s="7" t="s">
        <v>40</v>
      </c>
      <c r="G842" s="7" t="s">
        <v>25</v>
      </c>
      <c r="H842">
        <v>3</v>
      </c>
      <c r="I842">
        <v>23893.08</v>
      </c>
      <c r="J842">
        <v>0.15</v>
      </c>
      <c r="K842">
        <v>60927.35</v>
      </c>
      <c r="L842">
        <v>48226.98</v>
      </c>
      <c r="M842">
        <v>12700.37</v>
      </c>
      <c r="N842" s="7" t="s">
        <v>20</v>
      </c>
      <c r="O842" s="9">
        <f>IFERROR(RawSalesTable_[[#This Row],[Profit]]/RawSalesTable_[[#This Row],[Revenue]],0)</f>
        <v>0.20845104866697797</v>
      </c>
    </row>
    <row r="843" spans="1:15">
      <c r="A843" s="7" t="s">
        <v>966</v>
      </c>
      <c r="B843" s="8">
        <v>45794</v>
      </c>
      <c r="C843" s="7" t="s">
        <v>15</v>
      </c>
      <c r="D843" s="7" t="s">
        <v>16</v>
      </c>
      <c r="E843" s="7" t="s">
        <v>30</v>
      </c>
      <c r="F843" s="7" t="s">
        <v>31</v>
      </c>
      <c r="G843" s="7" t="s">
        <v>64</v>
      </c>
      <c r="H843">
        <v>3</v>
      </c>
      <c r="I843">
        <v>138403.35999999999</v>
      </c>
      <c r="J843">
        <v>0</v>
      </c>
      <c r="K843">
        <v>415210.08</v>
      </c>
      <c r="L843">
        <v>301944.36</v>
      </c>
      <c r="M843">
        <v>113265.72</v>
      </c>
      <c r="N843" s="7" t="s">
        <v>59</v>
      </c>
      <c r="O843" s="9">
        <f>IFERROR(RawSalesTable_[[#This Row],[Profit]]/RawSalesTable_[[#This Row],[Revenue]],0)</f>
        <v>0.27279135419833739</v>
      </c>
    </row>
    <row r="844" spans="1:15">
      <c r="A844" s="7" t="s">
        <v>967</v>
      </c>
      <c r="B844" s="8">
        <v>45915</v>
      </c>
      <c r="C844" s="7" t="s">
        <v>15</v>
      </c>
      <c r="D844" s="7" t="s">
        <v>16</v>
      </c>
      <c r="E844" s="7" t="s">
        <v>49</v>
      </c>
      <c r="F844" s="7" t="s">
        <v>107</v>
      </c>
      <c r="G844" s="7" t="s">
        <v>58</v>
      </c>
      <c r="H844">
        <v>3</v>
      </c>
      <c r="I844">
        <v>5149.21</v>
      </c>
      <c r="J844">
        <v>0.05</v>
      </c>
      <c r="K844">
        <v>14675.25</v>
      </c>
      <c r="L844">
        <v>8309.73</v>
      </c>
      <c r="M844">
        <v>6365.52</v>
      </c>
      <c r="N844" s="7" t="s">
        <v>59</v>
      </c>
      <c r="O844" s="9">
        <f>IFERROR(RawSalesTable_[[#This Row],[Profit]]/RawSalesTable_[[#This Row],[Revenue]],0)</f>
        <v>0.433758879746512</v>
      </c>
    </row>
    <row r="845" spans="1:15">
      <c r="A845" s="7" t="s">
        <v>968</v>
      </c>
      <c r="B845" s="8">
        <v>45704</v>
      </c>
      <c r="C845" s="7" t="s">
        <v>28</v>
      </c>
      <c r="D845" s="7" t="s">
        <v>29</v>
      </c>
      <c r="E845" s="7" t="s">
        <v>44</v>
      </c>
      <c r="F845" s="7" t="s">
        <v>69</v>
      </c>
      <c r="G845" s="7" t="s">
        <v>19</v>
      </c>
      <c r="H845">
        <v>2</v>
      </c>
      <c r="I845">
        <v>40720.519999999997</v>
      </c>
      <c r="J845">
        <v>0.05</v>
      </c>
      <c r="K845">
        <v>77368.990000000005</v>
      </c>
      <c r="L845">
        <v>53244.91</v>
      </c>
      <c r="M845">
        <v>24124.080000000002</v>
      </c>
      <c r="N845" s="7" t="s">
        <v>33</v>
      </c>
      <c r="O845" s="9">
        <f>IFERROR(RawSalesTable_[[#This Row],[Profit]]/RawSalesTable_[[#This Row],[Revenue]],0)</f>
        <v>0.31180554379732761</v>
      </c>
    </row>
    <row r="846" spans="1:15">
      <c r="A846" s="7" t="s">
        <v>969</v>
      </c>
      <c r="B846" s="8">
        <v>45910</v>
      </c>
      <c r="C846" s="7" t="s">
        <v>15</v>
      </c>
      <c r="D846" s="7" t="s">
        <v>16</v>
      </c>
      <c r="E846" s="7" t="s">
        <v>17</v>
      </c>
      <c r="F846" s="7" t="s">
        <v>24</v>
      </c>
      <c r="G846" s="7" t="s">
        <v>64</v>
      </c>
      <c r="H846">
        <v>1</v>
      </c>
      <c r="I846">
        <v>85885.09</v>
      </c>
      <c r="J846">
        <v>0.05</v>
      </c>
      <c r="K846">
        <v>81590.84</v>
      </c>
      <c r="L846">
        <v>68597.8</v>
      </c>
      <c r="M846">
        <v>12993.04</v>
      </c>
      <c r="N846" s="7" t="s">
        <v>20</v>
      </c>
      <c r="O846" s="9">
        <f>IFERROR(RawSalesTable_[[#This Row],[Profit]]/RawSalesTable_[[#This Row],[Revenue]],0)</f>
        <v>0.15924630755119082</v>
      </c>
    </row>
    <row r="847" spans="1:15">
      <c r="A847" s="7" t="s">
        <v>970</v>
      </c>
      <c r="B847" s="8">
        <v>46015</v>
      </c>
      <c r="C847" s="7" t="s">
        <v>15</v>
      </c>
      <c r="D847" s="7" t="s">
        <v>43</v>
      </c>
      <c r="E847" s="7" t="s">
        <v>44</v>
      </c>
      <c r="F847" s="7" t="s">
        <v>53</v>
      </c>
      <c r="G847" s="7" t="s">
        <v>19</v>
      </c>
      <c r="H847">
        <v>8</v>
      </c>
      <c r="I847">
        <v>8520.42</v>
      </c>
      <c r="J847">
        <v>0.15</v>
      </c>
      <c r="K847">
        <v>57938.86</v>
      </c>
      <c r="L847">
        <v>40460.89</v>
      </c>
      <c r="M847">
        <v>17477.97</v>
      </c>
      <c r="N847" s="7" t="s">
        <v>20</v>
      </c>
      <c r="O847" s="9">
        <f>IFERROR(RawSalesTable_[[#This Row],[Profit]]/RawSalesTable_[[#This Row],[Revenue]],0)</f>
        <v>0.30166230402186028</v>
      </c>
    </row>
    <row r="848" spans="1:15">
      <c r="A848" s="7" t="s">
        <v>971</v>
      </c>
      <c r="B848" s="8">
        <v>45996</v>
      </c>
      <c r="C848" s="7" t="s">
        <v>22</v>
      </c>
      <c r="D848" s="7" t="s">
        <v>37</v>
      </c>
      <c r="E848" s="7" t="s">
        <v>44</v>
      </c>
      <c r="F848" s="7" t="s">
        <v>80</v>
      </c>
      <c r="G848" s="7" t="s">
        <v>64</v>
      </c>
      <c r="H848">
        <v>7</v>
      </c>
      <c r="I848">
        <v>44393.83</v>
      </c>
      <c r="J848">
        <v>0.15</v>
      </c>
      <c r="K848">
        <v>264143.28999999998</v>
      </c>
      <c r="L848">
        <v>215731.47</v>
      </c>
      <c r="M848">
        <v>48411.82</v>
      </c>
      <c r="N848" s="7" t="s">
        <v>20</v>
      </c>
      <c r="O848" s="9">
        <f>IFERROR(RawSalesTable_[[#This Row],[Profit]]/RawSalesTable_[[#This Row],[Revenue]],0)</f>
        <v>0.18327862880787169</v>
      </c>
    </row>
    <row r="849" spans="1:15">
      <c r="A849" s="7" t="s">
        <v>972</v>
      </c>
      <c r="B849" s="8">
        <v>45684</v>
      </c>
      <c r="C849" s="7" t="s">
        <v>22</v>
      </c>
      <c r="D849" s="7" t="s">
        <v>37</v>
      </c>
      <c r="E849" s="7" t="s">
        <v>44</v>
      </c>
      <c r="F849" s="7" t="s">
        <v>45</v>
      </c>
      <c r="G849" s="7" t="s">
        <v>25</v>
      </c>
      <c r="H849">
        <v>2</v>
      </c>
      <c r="I849">
        <v>27893.75</v>
      </c>
      <c r="J849">
        <v>0</v>
      </c>
      <c r="K849">
        <v>55787.5</v>
      </c>
      <c r="L849">
        <v>38226.400000000001</v>
      </c>
      <c r="M849">
        <v>17561.099999999999</v>
      </c>
      <c r="N849" s="7" t="s">
        <v>20</v>
      </c>
      <c r="O849" s="9">
        <f>IFERROR(RawSalesTable_[[#This Row],[Profit]]/RawSalesTable_[[#This Row],[Revenue]],0)</f>
        <v>0.31478557024423032</v>
      </c>
    </row>
    <row r="850" spans="1:15">
      <c r="A850" s="7" t="s">
        <v>973</v>
      </c>
      <c r="B850" s="8">
        <v>45718</v>
      </c>
      <c r="C850" s="7" t="s">
        <v>28</v>
      </c>
      <c r="D850" s="7" t="s">
        <v>52</v>
      </c>
      <c r="E850" s="7" t="s">
        <v>30</v>
      </c>
      <c r="F850" s="7" t="s">
        <v>31</v>
      </c>
      <c r="G850" s="7" t="s">
        <v>58</v>
      </c>
      <c r="H850">
        <v>6</v>
      </c>
      <c r="I850">
        <v>143943.38</v>
      </c>
      <c r="J850">
        <v>0</v>
      </c>
      <c r="K850">
        <v>863660.28</v>
      </c>
      <c r="L850">
        <v>623101.82999999996</v>
      </c>
      <c r="M850">
        <v>240558.45</v>
      </c>
      <c r="N850" s="7" t="s">
        <v>59</v>
      </c>
      <c r="O850" s="9">
        <f>IFERROR(RawSalesTable_[[#This Row],[Profit]]/RawSalesTable_[[#This Row],[Revenue]],0)</f>
        <v>0.27853364982814771</v>
      </c>
    </row>
    <row r="851" spans="1:15">
      <c r="A851" s="7" t="s">
        <v>974</v>
      </c>
      <c r="B851" s="8">
        <v>45814</v>
      </c>
      <c r="C851" s="7" t="s">
        <v>28</v>
      </c>
      <c r="D851" s="7" t="s">
        <v>56</v>
      </c>
      <c r="E851" s="7" t="s">
        <v>30</v>
      </c>
      <c r="F851" s="7" t="s">
        <v>86</v>
      </c>
      <c r="G851" s="7" t="s">
        <v>64</v>
      </c>
      <c r="H851">
        <v>1</v>
      </c>
      <c r="I851">
        <v>34256.78</v>
      </c>
      <c r="J851">
        <v>0.1</v>
      </c>
      <c r="K851">
        <v>30831.1</v>
      </c>
      <c r="L851">
        <v>22444.95</v>
      </c>
      <c r="M851">
        <v>8386.15</v>
      </c>
      <c r="N851" s="7" t="s">
        <v>20</v>
      </c>
      <c r="O851" s="9">
        <f>IFERROR(RawSalesTable_[[#This Row],[Profit]]/RawSalesTable_[[#This Row],[Revenue]],0)</f>
        <v>0.27200294507818407</v>
      </c>
    </row>
    <row r="852" spans="1:15">
      <c r="A852" s="7" t="s">
        <v>975</v>
      </c>
      <c r="B852" s="8">
        <v>45712</v>
      </c>
      <c r="C852" s="7" t="s">
        <v>15</v>
      </c>
      <c r="D852" s="7" t="s">
        <v>63</v>
      </c>
      <c r="E852" s="7" t="s">
        <v>17</v>
      </c>
      <c r="F852" s="7" t="s">
        <v>18</v>
      </c>
      <c r="G852" s="7" t="s">
        <v>64</v>
      </c>
      <c r="H852">
        <v>1</v>
      </c>
      <c r="I852">
        <v>14768.03</v>
      </c>
      <c r="J852">
        <v>0.05</v>
      </c>
      <c r="K852">
        <v>14029.63</v>
      </c>
      <c r="L852">
        <v>8125.25</v>
      </c>
      <c r="M852">
        <v>5904.38</v>
      </c>
      <c r="N852" s="7" t="s">
        <v>59</v>
      </c>
      <c r="O852" s="9">
        <f>IFERROR(RawSalesTable_[[#This Row],[Profit]]/RawSalesTable_[[#This Row],[Revenue]],0)</f>
        <v>0.42085072806624269</v>
      </c>
    </row>
    <row r="853" spans="1:15">
      <c r="A853" s="7" t="s">
        <v>976</v>
      </c>
      <c r="B853" s="8">
        <v>45928</v>
      </c>
      <c r="C853" s="7" t="s">
        <v>15</v>
      </c>
      <c r="D853" s="7" t="s">
        <v>16</v>
      </c>
      <c r="E853" s="7" t="s">
        <v>49</v>
      </c>
      <c r="F853" s="7" t="s">
        <v>57</v>
      </c>
      <c r="G853" s="7" t="s">
        <v>61</v>
      </c>
      <c r="H853">
        <v>1</v>
      </c>
      <c r="I853">
        <v>10766.46</v>
      </c>
      <c r="J853">
        <v>0.05</v>
      </c>
      <c r="K853">
        <v>10228.14</v>
      </c>
      <c r="L853">
        <v>6394.88</v>
      </c>
      <c r="M853">
        <v>3833.26</v>
      </c>
      <c r="N853" s="7" t="s">
        <v>20</v>
      </c>
      <c r="O853" s="9">
        <f>IFERROR(RawSalesTable_[[#This Row],[Profit]]/RawSalesTable_[[#This Row],[Revenue]],0)</f>
        <v>0.37477586345122382</v>
      </c>
    </row>
    <row r="854" spans="1:15">
      <c r="A854" s="7" t="s">
        <v>977</v>
      </c>
      <c r="B854" s="8">
        <v>45844</v>
      </c>
      <c r="C854" s="7" t="s">
        <v>22</v>
      </c>
      <c r="D854" s="7" t="s">
        <v>35</v>
      </c>
      <c r="E854" s="7" t="s">
        <v>17</v>
      </c>
      <c r="F854" s="7" t="s">
        <v>24</v>
      </c>
      <c r="G854" s="7" t="s">
        <v>25</v>
      </c>
      <c r="H854">
        <v>5</v>
      </c>
      <c r="I854">
        <v>87968.12</v>
      </c>
      <c r="J854">
        <v>0.05</v>
      </c>
      <c r="K854">
        <v>417848.57</v>
      </c>
      <c r="L854">
        <v>338708.57</v>
      </c>
      <c r="M854">
        <v>79140</v>
      </c>
      <c r="N854" s="7" t="s">
        <v>26</v>
      </c>
      <c r="O854" s="9">
        <f>IFERROR(RawSalesTable_[[#This Row],[Profit]]/RawSalesTable_[[#This Row],[Revenue]],0)</f>
        <v>0.18939875754510779</v>
      </c>
    </row>
    <row r="855" spans="1:15">
      <c r="A855" s="7" t="s">
        <v>978</v>
      </c>
      <c r="B855" s="8">
        <v>45660</v>
      </c>
      <c r="C855" s="7" t="s">
        <v>15</v>
      </c>
      <c r="D855" s="7" t="s">
        <v>63</v>
      </c>
      <c r="E855" s="7" t="s">
        <v>17</v>
      </c>
      <c r="F855" s="7" t="s">
        <v>114</v>
      </c>
      <c r="G855" s="7" t="s">
        <v>32</v>
      </c>
      <c r="H855">
        <v>8</v>
      </c>
      <c r="I855">
        <v>49186.46</v>
      </c>
      <c r="J855">
        <v>0.05</v>
      </c>
      <c r="K855">
        <v>373817.1</v>
      </c>
      <c r="L855">
        <v>298510.53999999998</v>
      </c>
      <c r="M855">
        <v>75306.559999999998</v>
      </c>
      <c r="N855" s="7" t="s">
        <v>26</v>
      </c>
      <c r="O855" s="9">
        <f>IFERROR(RawSalesTable_[[#This Row],[Profit]]/RawSalesTable_[[#This Row],[Revenue]],0)</f>
        <v>0.20145295653944134</v>
      </c>
    </row>
    <row r="856" spans="1:15">
      <c r="A856" s="7" t="s">
        <v>979</v>
      </c>
      <c r="B856" s="8">
        <v>45674</v>
      </c>
      <c r="C856" s="7" t="s">
        <v>22</v>
      </c>
      <c r="D856" s="7" t="s">
        <v>23</v>
      </c>
      <c r="E856" s="7" t="s">
        <v>30</v>
      </c>
      <c r="F856" s="7" t="s">
        <v>31</v>
      </c>
      <c r="G856" s="7" t="s">
        <v>61</v>
      </c>
      <c r="H856">
        <v>3</v>
      </c>
      <c r="I856">
        <v>132722.19</v>
      </c>
      <c r="J856">
        <v>0.15</v>
      </c>
      <c r="K856">
        <v>338441.58</v>
      </c>
      <c r="L856">
        <v>300935.03999999998</v>
      </c>
      <c r="M856">
        <v>37506.54</v>
      </c>
      <c r="N856" s="7" t="s">
        <v>26</v>
      </c>
      <c r="O856" s="9">
        <f>IFERROR(RawSalesTable_[[#This Row],[Profit]]/RawSalesTable_[[#This Row],[Revenue]],0)</f>
        <v>0.11082131220401464</v>
      </c>
    </row>
    <row r="857" spans="1:15">
      <c r="A857" s="7" t="s">
        <v>980</v>
      </c>
      <c r="B857" s="8">
        <v>45723</v>
      </c>
      <c r="C857" s="7" t="s">
        <v>28</v>
      </c>
      <c r="D857" s="7" t="s">
        <v>29</v>
      </c>
      <c r="E857" s="7" t="s">
        <v>30</v>
      </c>
      <c r="F857" s="7" t="s">
        <v>31</v>
      </c>
      <c r="G857" s="7" t="s">
        <v>32</v>
      </c>
      <c r="H857">
        <v>7</v>
      </c>
      <c r="I857">
        <v>134763.87</v>
      </c>
      <c r="J857">
        <v>0.05</v>
      </c>
      <c r="K857">
        <v>896179.74</v>
      </c>
      <c r="L857">
        <v>725373.1</v>
      </c>
      <c r="M857">
        <v>170806.64</v>
      </c>
      <c r="N857" s="7" t="s">
        <v>20</v>
      </c>
      <c r="O857" s="9">
        <f>IFERROR(RawSalesTable_[[#This Row],[Profit]]/RawSalesTable_[[#This Row],[Revenue]],0)</f>
        <v>0.19059417701185705</v>
      </c>
    </row>
    <row r="858" spans="1:15">
      <c r="A858" s="7" t="s">
        <v>981</v>
      </c>
      <c r="B858" s="8">
        <v>45834</v>
      </c>
      <c r="C858" s="7" t="s">
        <v>15</v>
      </c>
      <c r="D858" s="7" t="s">
        <v>43</v>
      </c>
      <c r="E858" s="7" t="s">
        <v>49</v>
      </c>
      <c r="F858" s="7" t="s">
        <v>1590</v>
      </c>
      <c r="G858" s="7" t="s">
        <v>64</v>
      </c>
      <c r="H858">
        <v>2</v>
      </c>
      <c r="I858">
        <v>4507.5600000000004</v>
      </c>
      <c r="J858">
        <v>-0.05</v>
      </c>
      <c r="K858">
        <v>9015.1200000000008</v>
      </c>
      <c r="L858">
        <v>4111.08</v>
      </c>
      <c r="M858">
        <v>4904.04</v>
      </c>
      <c r="N858" s="7" t="s">
        <v>26</v>
      </c>
      <c r="O858" s="9">
        <f>IFERROR(RawSalesTable_[[#This Row],[Profit]]/RawSalesTable_[[#This Row],[Revenue]],0)</f>
        <v>0.54397944786092689</v>
      </c>
    </row>
    <row r="859" spans="1:15">
      <c r="A859" s="7" t="s">
        <v>982</v>
      </c>
      <c r="B859" s="8">
        <v>45700</v>
      </c>
      <c r="C859" s="7" t="s">
        <v>22</v>
      </c>
      <c r="D859" s="7" t="s">
        <v>37</v>
      </c>
      <c r="E859" s="7" t="s">
        <v>30</v>
      </c>
      <c r="F859" s="7" t="s">
        <v>40</v>
      </c>
      <c r="G859" s="7" t="s">
        <v>25</v>
      </c>
      <c r="H859">
        <v>1</v>
      </c>
      <c r="I859">
        <v>24242.57</v>
      </c>
      <c r="J859">
        <v>0.05</v>
      </c>
      <c r="K859">
        <v>23030.44</v>
      </c>
      <c r="L859">
        <v>15638.14</v>
      </c>
      <c r="M859">
        <v>7392.3</v>
      </c>
      <c r="N859" s="7" t="s">
        <v>26</v>
      </c>
      <c r="O859" s="9">
        <f>IFERROR(RawSalesTable_[[#This Row],[Profit]]/RawSalesTable_[[#This Row],[Revenue]],0)</f>
        <v>0.32097953838485066</v>
      </c>
    </row>
    <row r="860" spans="1:15">
      <c r="A860" s="7" t="s">
        <v>983</v>
      </c>
      <c r="B860" s="8">
        <v>45784</v>
      </c>
      <c r="C860" s="7" t="s">
        <v>15</v>
      </c>
      <c r="D860" s="7" t="s">
        <v>16</v>
      </c>
      <c r="E860" s="7" t="s">
        <v>44</v>
      </c>
      <c r="F860" s="7" t="s">
        <v>45</v>
      </c>
      <c r="G860" s="7" t="s">
        <v>25</v>
      </c>
      <c r="H860">
        <v>5</v>
      </c>
      <c r="I860">
        <v>29716.28</v>
      </c>
      <c r="J860">
        <v>0.05</v>
      </c>
      <c r="K860">
        <v>141152.32999999999</v>
      </c>
      <c r="L860">
        <v>98761.81</v>
      </c>
      <c r="M860">
        <v>42390.52</v>
      </c>
      <c r="N860" s="7" t="s">
        <v>26</v>
      </c>
      <c r="O860" s="9">
        <f>IFERROR(RawSalesTable_[[#This Row],[Profit]]/RawSalesTable_[[#This Row],[Revenue]],0)</f>
        <v>0.30031753638073139</v>
      </c>
    </row>
    <row r="861" spans="1:15">
      <c r="A861" s="7" t="s">
        <v>984</v>
      </c>
      <c r="B861" s="8">
        <v>45734</v>
      </c>
      <c r="C861" s="7" t="s">
        <v>28</v>
      </c>
      <c r="D861" s="7" t="s">
        <v>29</v>
      </c>
      <c r="E861" s="7" t="s">
        <v>17</v>
      </c>
      <c r="F861" s="7" t="s">
        <v>24</v>
      </c>
      <c r="G861" s="7" t="s">
        <v>47</v>
      </c>
      <c r="H861">
        <v>4</v>
      </c>
      <c r="I861">
        <v>99250.36</v>
      </c>
      <c r="J861">
        <v>0.1</v>
      </c>
      <c r="K861">
        <v>357301.3</v>
      </c>
      <c r="L861">
        <v>275814.40999999997</v>
      </c>
      <c r="M861">
        <v>81486.89</v>
      </c>
      <c r="N861" s="7" t="s">
        <v>33</v>
      </c>
      <c r="O861" s="9">
        <f>IFERROR(RawSalesTable_[[#This Row],[Profit]]/RawSalesTable_[[#This Row],[Revenue]],0)</f>
        <v>0.2280621145235128</v>
      </c>
    </row>
    <row r="862" spans="1:15">
      <c r="A862" s="7" t="s">
        <v>985</v>
      </c>
      <c r="B862" s="8">
        <v>45760</v>
      </c>
      <c r="C862" s="7" t="s">
        <v>22</v>
      </c>
      <c r="D862" s="7" t="s">
        <v>35</v>
      </c>
      <c r="E862" s="7" t="s">
        <v>17</v>
      </c>
      <c r="F862" s="7" t="s">
        <v>18</v>
      </c>
      <c r="G862" s="7" t="s">
        <v>19</v>
      </c>
      <c r="H862">
        <v>4</v>
      </c>
      <c r="I862">
        <v>15495.51</v>
      </c>
      <c r="J862">
        <v>0.05</v>
      </c>
      <c r="K862">
        <v>58882.94</v>
      </c>
      <c r="L862">
        <v>31856.55</v>
      </c>
      <c r="M862">
        <v>27026.39</v>
      </c>
      <c r="N862" s="7" t="s">
        <v>33</v>
      </c>
      <c r="O862" s="9">
        <f>IFERROR(RawSalesTable_[[#This Row],[Profit]]/RawSalesTable_[[#This Row],[Revenue]],0)</f>
        <v>0.4589850642647938</v>
      </c>
    </row>
    <row r="863" spans="1:15">
      <c r="A863" s="7" t="s">
        <v>986</v>
      </c>
      <c r="B863" s="8">
        <v>45876</v>
      </c>
      <c r="C863" s="7" t="s">
        <v>28</v>
      </c>
      <c r="D863" s="7" t="s">
        <v>56</v>
      </c>
      <c r="E863" s="7" t="s">
        <v>30</v>
      </c>
      <c r="F863" s="7" t="s">
        <v>86</v>
      </c>
      <c r="G863" s="7" t="s">
        <v>64</v>
      </c>
      <c r="H863">
        <v>4</v>
      </c>
      <c r="I863">
        <v>32135.02</v>
      </c>
      <c r="J863">
        <v>0.05</v>
      </c>
      <c r="K863">
        <v>122113.08</v>
      </c>
      <c r="L863">
        <v>87686.5</v>
      </c>
      <c r="M863">
        <v>34426.58</v>
      </c>
      <c r="N863" s="7" t="s">
        <v>59</v>
      </c>
      <c r="O863" s="9">
        <f>IFERROR(RawSalesTable_[[#This Row],[Profit]]/RawSalesTable_[[#This Row],[Revenue]],0)</f>
        <v>0.28192377098341964</v>
      </c>
    </row>
    <row r="864" spans="1:15">
      <c r="A864" s="7" t="s">
        <v>987</v>
      </c>
      <c r="B864" s="8">
        <v>45682</v>
      </c>
      <c r="C864" s="7" t="s">
        <v>22</v>
      </c>
      <c r="D864" s="7" t="s">
        <v>35</v>
      </c>
      <c r="E864" s="7" t="s">
        <v>30</v>
      </c>
      <c r="F864" s="7" t="s">
        <v>38</v>
      </c>
      <c r="G864" s="7" t="s">
        <v>61</v>
      </c>
      <c r="H864">
        <v>6</v>
      </c>
      <c r="I864">
        <v>27914.05</v>
      </c>
      <c r="J864">
        <v>0</v>
      </c>
      <c r="K864">
        <v>167484.29999999999</v>
      </c>
      <c r="L864">
        <v>107178</v>
      </c>
      <c r="M864">
        <v>60306.3</v>
      </c>
      <c r="N864" s="7" t="s">
        <v>33</v>
      </c>
      <c r="O864" s="9">
        <f>IFERROR(RawSalesTable_[[#This Row],[Profit]]/RawSalesTable_[[#This Row],[Revenue]],0)</f>
        <v>0.36007136191272859</v>
      </c>
    </row>
    <row r="865" spans="1:15">
      <c r="A865" s="7" t="s">
        <v>988</v>
      </c>
      <c r="B865" s="8">
        <v>45752</v>
      </c>
      <c r="C865" s="7" t="s">
        <v>22</v>
      </c>
      <c r="D865" s="7" t="s">
        <v>23</v>
      </c>
      <c r="E865" s="7" t="s">
        <v>30</v>
      </c>
      <c r="F865" s="7" t="s">
        <v>86</v>
      </c>
      <c r="G865" s="7" t="s">
        <v>58</v>
      </c>
      <c r="H865">
        <v>5</v>
      </c>
      <c r="I865">
        <v>32852.47</v>
      </c>
      <c r="J865">
        <v>0.1</v>
      </c>
      <c r="K865">
        <v>147836.12</v>
      </c>
      <c r="L865">
        <v>109918.5</v>
      </c>
      <c r="M865">
        <v>37917.620000000003</v>
      </c>
      <c r="N865" s="7" t="s">
        <v>20</v>
      </c>
      <c r="O865" s="9">
        <f>IFERROR(RawSalesTable_[[#This Row],[Profit]]/RawSalesTable_[[#This Row],[Revenue]],0)</f>
        <v>0.25648413932941422</v>
      </c>
    </row>
    <row r="866" spans="1:15">
      <c r="A866" s="7" t="s">
        <v>989</v>
      </c>
      <c r="B866" s="8">
        <v>45724</v>
      </c>
      <c r="C866" s="7" t="s">
        <v>28</v>
      </c>
      <c r="D866" s="7" t="s">
        <v>56</v>
      </c>
      <c r="E866" s="7" t="s">
        <v>30</v>
      </c>
      <c r="F866" s="7" t="s">
        <v>31</v>
      </c>
      <c r="G866" s="7" t="s">
        <v>32</v>
      </c>
      <c r="H866">
        <v>2</v>
      </c>
      <c r="I866">
        <v>138649.26999999999</v>
      </c>
      <c r="J866">
        <v>0.15</v>
      </c>
      <c r="K866">
        <v>235703.76</v>
      </c>
      <c r="L866">
        <v>203742</v>
      </c>
      <c r="M866">
        <v>31961.759999999998</v>
      </c>
      <c r="N866" s="7" t="s">
        <v>59</v>
      </c>
      <c r="O866" s="9">
        <f>IFERROR(RawSalesTable_[[#This Row],[Profit]]/RawSalesTable_[[#This Row],[Revenue]],0)</f>
        <v>0.13560140067345552</v>
      </c>
    </row>
    <row r="867" spans="1:15">
      <c r="A867" s="7" t="s">
        <v>990</v>
      </c>
      <c r="B867" s="8">
        <v>45712</v>
      </c>
      <c r="C867" s="7" t="s">
        <v>15</v>
      </c>
      <c r="D867" s="7" t="s">
        <v>63</v>
      </c>
      <c r="E867" s="7" t="s">
        <v>30</v>
      </c>
      <c r="F867" s="7" t="s">
        <v>86</v>
      </c>
      <c r="G867" s="7" t="s">
        <v>61</v>
      </c>
      <c r="H867">
        <v>5</v>
      </c>
      <c r="I867">
        <v>31468.98</v>
      </c>
      <c r="J867">
        <v>0.05</v>
      </c>
      <c r="K867">
        <v>149477.65</v>
      </c>
      <c r="L867">
        <v>109811.95</v>
      </c>
      <c r="M867">
        <v>39665.699999999997</v>
      </c>
      <c r="N867" s="7" t="s">
        <v>33</v>
      </c>
      <c r="O867" s="9">
        <f>IFERROR(RawSalesTable_[[#This Row],[Profit]]/RawSalesTable_[[#This Row],[Revenue]],0)</f>
        <v>0.26536207921384902</v>
      </c>
    </row>
    <row r="868" spans="1:15">
      <c r="A868" s="7" t="s">
        <v>991</v>
      </c>
      <c r="B868" s="8">
        <v>45974</v>
      </c>
      <c r="C868" s="7" t="s">
        <v>22</v>
      </c>
      <c r="D868" s="7" t="s">
        <v>37</v>
      </c>
      <c r="E868" s="7" t="s">
        <v>44</v>
      </c>
      <c r="F868" s="7" t="s">
        <v>45</v>
      </c>
      <c r="G868" s="7" t="s">
        <v>32</v>
      </c>
      <c r="H868">
        <v>8</v>
      </c>
      <c r="I868">
        <v>30440.28</v>
      </c>
      <c r="J868">
        <v>0</v>
      </c>
      <c r="K868">
        <v>243522.24</v>
      </c>
      <c r="L868">
        <v>157460.94</v>
      </c>
      <c r="M868">
        <v>86061.3</v>
      </c>
      <c r="N868" s="7" t="s">
        <v>59</v>
      </c>
      <c r="O868" s="9">
        <f>IFERROR(RawSalesTable_[[#This Row],[Profit]]/RawSalesTable_[[#This Row],[Revenue]],0)</f>
        <v>0.35340221903346491</v>
      </c>
    </row>
    <row r="869" spans="1:15">
      <c r="A869" s="7" t="s">
        <v>992</v>
      </c>
      <c r="B869" s="8">
        <v>45787</v>
      </c>
      <c r="C869" s="7" t="s">
        <v>15</v>
      </c>
      <c r="D869" s="7" t="s">
        <v>63</v>
      </c>
      <c r="E869" s="7" t="s">
        <v>44</v>
      </c>
      <c r="F869" s="7" t="s">
        <v>45</v>
      </c>
      <c r="G869" s="7" t="s">
        <v>32</v>
      </c>
      <c r="H869">
        <v>1</v>
      </c>
      <c r="I869">
        <v>26802.91</v>
      </c>
      <c r="J869">
        <v>0.05</v>
      </c>
      <c r="K869">
        <v>25462.76</v>
      </c>
      <c r="L869">
        <v>19162.16</v>
      </c>
      <c r="M869">
        <v>6300.6</v>
      </c>
      <c r="N869" s="7" t="s">
        <v>59</v>
      </c>
      <c r="O869" s="9">
        <f>IFERROR(RawSalesTable_[[#This Row],[Profit]]/RawSalesTable_[[#This Row],[Revenue]],0)</f>
        <v>0.24744371780592522</v>
      </c>
    </row>
    <row r="870" spans="1:15">
      <c r="A870" s="7" t="s">
        <v>993</v>
      </c>
      <c r="B870" s="8">
        <v>45915</v>
      </c>
      <c r="C870" s="7" t="s">
        <v>28</v>
      </c>
      <c r="D870" s="7" t="s">
        <v>29</v>
      </c>
      <c r="E870" s="7" t="s">
        <v>17</v>
      </c>
      <c r="F870" s="7" t="s">
        <v>114</v>
      </c>
      <c r="G870" s="7" t="s">
        <v>64</v>
      </c>
      <c r="H870">
        <v>2</v>
      </c>
      <c r="I870">
        <v>51857.07</v>
      </c>
      <c r="J870">
        <v>0.1</v>
      </c>
      <c r="K870">
        <v>93342.73</v>
      </c>
      <c r="L870">
        <v>75569.11</v>
      </c>
      <c r="M870">
        <v>17773.62</v>
      </c>
      <c r="N870" s="7" t="s">
        <v>26</v>
      </c>
      <c r="O870" s="9">
        <f>IFERROR(RawSalesTable_[[#This Row],[Profit]]/RawSalesTable_[[#This Row],[Revenue]],0)</f>
        <v>0.1904124724014393</v>
      </c>
    </row>
    <row r="871" spans="1:15">
      <c r="A871" s="7" t="s">
        <v>994</v>
      </c>
      <c r="B871" s="8">
        <v>46013</v>
      </c>
      <c r="C871" s="7" t="s">
        <v>15</v>
      </c>
      <c r="D871" s="7" t="s">
        <v>63</v>
      </c>
      <c r="E871" s="7" t="s">
        <v>44</v>
      </c>
      <c r="F871" s="7" t="s">
        <v>69</v>
      </c>
      <c r="G871" s="7" t="s">
        <v>47</v>
      </c>
      <c r="H871">
        <v>1</v>
      </c>
      <c r="I871">
        <v>40771.279999999999</v>
      </c>
      <c r="J871">
        <v>0</v>
      </c>
      <c r="K871">
        <v>40771.279999999999</v>
      </c>
      <c r="L871">
        <v>26665.79</v>
      </c>
      <c r="M871">
        <v>14105.49</v>
      </c>
      <c r="N871" s="7" t="s">
        <v>20</v>
      </c>
      <c r="O871" s="9">
        <f>IFERROR(RawSalesTable_[[#This Row],[Profit]]/RawSalesTable_[[#This Row],[Revenue]],0)</f>
        <v>0.34596632727743648</v>
      </c>
    </row>
    <row r="872" spans="1:15">
      <c r="A872" s="7" t="s">
        <v>995</v>
      </c>
      <c r="B872" s="8">
        <v>45857</v>
      </c>
      <c r="C872" s="7" t="s">
        <v>28</v>
      </c>
      <c r="D872" s="7" t="s">
        <v>29</v>
      </c>
      <c r="E872" s="7" t="s">
        <v>17</v>
      </c>
      <c r="F872" s="7" t="s">
        <v>24</v>
      </c>
      <c r="G872" s="7" t="s">
        <v>25</v>
      </c>
      <c r="H872">
        <v>8</v>
      </c>
      <c r="I872">
        <v>95690.71</v>
      </c>
      <c r="J872">
        <v>0.05</v>
      </c>
      <c r="K872">
        <v>727249.4</v>
      </c>
      <c r="L872">
        <v>549099.94999999995</v>
      </c>
      <c r="M872">
        <v>178149.45</v>
      </c>
      <c r="N872" s="7" t="s">
        <v>59</v>
      </c>
      <c r="O872" s="9">
        <f>IFERROR(RawSalesTable_[[#This Row],[Profit]]/RawSalesTable_[[#This Row],[Revenue]],0)</f>
        <v>0.24496335094948171</v>
      </c>
    </row>
    <row r="873" spans="1:15">
      <c r="A873" s="7" t="s">
        <v>996</v>
      </c>
      <c r="B873" s="8">
        <v>45920</v>
      </c>
      <c r="C873" s="7" t="s">
        <v>22</v>
      </c>
      <c r="D873" s="7" t="s">
        <v>23</v>
      </c>
      <c r="E873" s="7" t="s">
        <v>17</v>
      </c>
      <c r="F873" s="7" t="s">
        <v>24</v>
      </c>
      <c r="G873" s="7" t="s">
        <v>70</v>
      </c>
      <c r="H873">
        <v>4</v>
      </c>
      <c r="I873">
        <v>93355.9</v>
      </c>
      <c r="J873">
        <v>0</v>
      </c>
      <c r="K873">
        <v>373423.6</v>
      </c>
      <c r="L873">
        <v>280579.11</v>
      </c>
      <c r="M873">
        <v>92844.49</v>
      </c>
      <c r="N873" s="7" t="s">
        <v>59</v>
      </c>
      <c r="O873" s="9">
        <f>IFERROR(RawSalesTable_[[#This Row],[Profit]]/RawSalesTable_[[#This Row],[Revenue]],0)</f>
        <v>0.24863048291538084</v>
      </c>
    </row>
    <row r="874" spans="1:15">
      <c r="A874" s="7" t="s">
        <v>997</v>
      </c>
      <c r="B874" s="8">
        <v>45807</v>
      </c>
      <c r="C874" s="7" t="s">
        <v>28</v>
      </c>
      <c r="D874" s="7" t="s">
        <v>52</v>
      </c>
      <c r="E874" s="7" t="s">
        <v>30</v>
      </c>
      <c r="F874" s="7" t="s">
        <v>38</v>
      </c>
      <c r="G874" s="7" t="s">
        <v>64</v>
      </c>
      <c r="H874">
        <v>2</v>
      </c>
      <c r="I874">
        <v>25579.19</v>
      </c>
      <c r="J874">
        <v>0</v>
      </c>
      <c r="K874">
        <v>51158.38</v>
      </c>
      <c r="L874">
        <v>36264.589999999997</v>
      </c>
      <c r="M874">
        <v>14893.79</v>
      </c>
      <c r="N874" s="7" t="s">
        <v>26</v>
      </c>
      <c r="O874" s="9">
        <f>IFERROR(RawSalesTable_[[#This Row],[Profit]]/RawSalesTable_[[#This Row],[Revenue]],0)</f>
        <v>0.29113099359283856</v>
      </c>
    </row>
    <row r="875" spans="1:15">
      <c r="A875" s="7" t="s">
        <v>998</v>
      </c>
      <c r="B875" s="8">
        <v>45658</v>
      </c>
      <c r="C875" s="7" t="s">
        <v>28</v>
      </c>
      <c r="D875" s="7" t="s">
        <v>52</v>
      </c>
      <c r="E875" s="7" t="s">
        <v>30</v>
      </c>
      <c r="F875" s="7" t="s">
        <v>31</v>
      </c>
      <c r="G875" s="7" t="s">
        <v>32</v>
      </c>
      <c r="H875">
        <v>4</v>
      </c>
      <c r="I875">
        <v>145573.98000000001</v>
      </c>
      <c r="J875">
        <v>0</v>
      </c>
      <c r="K875">
        <v>582295.92000000004</v>
      </c>
      <c r="L875">
        <v>406998.34</v>
      </c>
      <c r="M875">
        <v>175297.58</v>
      </c>
      <c r="N875" s="7" t="s">
        <v>59</v>
      </c>
      <c r="O875" s="9">
        <f>IFERROR(RawSalesTable_[[#This Row],[Profit]]/RawSalesTable_[[#This Row],[Revenue]],0)</f>
        <v>0.30104552338268137</v>
      </c>
    </row>
    <row r="876" spans="1:15">
      <c r="A876" s="7" t="s">
        <v>999</v>
      </c>
      <c r="B876" s="8">
        <v>45687</v>
      </c>
      <c r="C876" s="7" t="s">
        <v>28</v>
      </c>
      <c r="D876" s="7" t="s">
        <v>52</v>
      </c>
      <c r="E876" s="7" t="s">
        <v>30</v>
      </c>
      <c r="F876" s="7" t="s">
        <v>86</v>
      </c>
      <c r="G876" s="7" t="s">
        <v>64</v>
      </c>
      <c r="H876">
        <v>7</v>
      </c>
      <c r="I876">
        <v>35103.21</v>
      </c>
      <c r="J876">
        <v>0.05</v>
      </c>
      <c r="K876">
        <v>233436.35</v>
      </c>
      <c r="L876">
        <v>156354.1</v>
      </c>
      <c r="M876">
        <v>77082.25</v>
      </c>
      <c r="N876" s="7" t="s">
        <v>59</v>
      </c>
      <c r="O876" s="9">
        <f>IFERROR(RawSalesTable_[[#This Row],[Profit]]/RawSalesTable_[[#This Row],[Revenue]],0)</f>
        <v>0.33020671373588562</v>
      </c>
    </row>
    <row r="877" spans="1:15">
      <c r="A877" s="7" t="s">
        <v>1000</v>
      </c>
      <c r="B877" s="8">
        <v>45956</v>
      </c>
      <c r="C877" s="7" t="s">
        <v>22</v>
      </c>
      <c r="D877" s="7" t="s">
        <v>37</v>
      </c>
      <c r="E877" s="7" t="s">
        <v>30</v>
      </c>
      <c r="F877" s="7" t="s">
        <v>86</v>
      </c>
      <c r="G877" s="7" t="s">
        <v>19</v>
      </c>
      <c r="H877">
        <v>5</v>
      </c>
      <c r="I877">
        <v>35490.07</v>
      </c>
      <c r="J877">
        <v>0.1</v>
      </c>
      <c r="K877">
        <v>159705.32</v>
      </c>
      <c r="L877">
        <v>114301.38</v>
      </c>
      <c r="M877">
        <v>45403.94</v>
      </c>
      <c r="N877" s="7" t="s">
        <v>20</v>
      </c>
      <c r="O877" s="9">
        <f>IFERROR(RawSalesTable_[[#This Row],[Profit]]/RawSalesTable_[[#This Row],[Revenue]],0)</f>
        <v>0.28429823126743681</v>
      </c>
    </row>
    <row r="878" spans="1:15">
      <c r="A878" s="7" t="s">
        <v>1001</v>
      </c>
      <c r="B878" s="8">
        <v>45860</v>
      </c>
      <c r="C878" s="7" t="s">
        <v>15</v>
      </c>
      <c r="D878" s="7" t="s">
        <v>63</v>
      </c>
      <c r="E878" s="7" t="s">
        <v>44</v>
      </c>
      <c r="F878" s="7" t="s">
        <v>53</v>
      </c>
      <c r="G878" s="7" t="s">
        <v>61</v>
      </c>
      <c r="H878">
        <v>4</v>
      </c>
      <c r="I878">
        <v>8261</v>
      </c>
      <c r="J878">
        <v>0</v>
      </c>
      <c r="K878">
        <v>33044</v>
      </c>
      <c r="L878">
        <v>19810.04</v>
      </c>
      <c r="M878">
        <v>13233.96</v>
      </c>
      <c r="N878" s="7" t="s">
        <v>20</v>
      </c>
      <c r="O878" s="9">
        <f>IFERROR(RawSalesTable_[[#This Row],[Profit]]/RawSalesTable_[[#This Row],[Revenue]],0)</f>
        <v>0.40049509744582978</v>
      </c>
    </row>
    <row r="879" spans="1:15">
      <c r="A879" s="7" t="s">
        <v>1002</v>
      </c>
      <c r="B879" s="8">
        <v>45893</v>
      </c>
      <c r="C879" s="7" t="s">
        <v>22</v>
      </c>
      <c r="D879" s="7" t="s">
        <v>37</v>
      </c>
      <c r="E879" s="7" t="s">
        <v>49</v>
      </c>
      <c r="F879" s="7" t="s">
        <v>57</v>
      </c>
      <c r="G879" s="7" t="s">
        <v>61</v>
      </c>
      <c r="H879">
        <v>3</v>
      </c>
      <c r="I879">
        <v>12239.99</v>
      </c>
      <c r="J879">
        <v>0</v>
      </c>
      <c r="K879">
        <v>36719.97</v>
      </c>
      <c r="L879">
        <v>19591.990000000002</v>
      </c>
      <c r="M879">
        <v>17127.98</v>
      </c>
      <c r="N879" s="7" t="s">
        <v>26</v>
      </c>
      <c r="O879" s="9">
        <f>IFERROR(RawSalesTable_[[#This Row],[Profit]]/RawSalesTable_[[#This Row],[Revenue]],0)</f>
        <v>0.46644863816609872</v>
      </c>
    </row>
    <row r="880" spans="1:15">
      <c r="A880" s="7" t="s">
        <v>1003</v>
      </c>
      <c r="B880" s="8">
        <v>45859</v>
      </c>
      <c r="C880" s="7" t="s">
        <v>22</v>
      </c>
      <c r="D880" s="7" t="s">
        <v>37</v>
      </c>
      <c r="E880" s="7" t="s">
        <v>49</v>
      </c>
      <c r="F880" s="7" t="s">
        <v>1590</v>
      </c>
      <c r="G880" s="7" t="s">
        <v>47</v>
      </c>
      <c r="H880">
        <v>5</v>
      </c>
      <c r="I880">
        <v>3878.14</v>
      </c>
      <c r="J880">
        <v>0</v>
      </c>
      <c r="K880">
        <v>19390.7</v>
      </c>
      <c r="L880">
        <v>10835.66</v>
      </c>
      <c r="M880">
        <v>8555.0400000000009</v>
      </c>
      <c r="N880" s="7" t="s">
        <v>33</v>
      </c>
      <c r="O880" s="9">
        <f>IFERROR(RawSalesTable_[[#This Row],[Profit]]/RawSalesTable_[[#This Row],[Revenue]],0)</f>
        <v>0.44119294300876194</v>
      </c>
    </row>
    <row r="881" spans="1:15">
      <c r="A881" s="7" t="s">
        <v>1004</v>
      </c>
      <c r="B881" s="8">
        <v>45927</v>
      </c>
      <c r="C881" s="7" t="s">
        <v>22</v>
      </c>
      <c r="D881" s="7" t="s">
        <v>23</v>
      </c>
      <c r="E881" s="7" t="s">
        <v>49</v>
      </c>
      <c r="F881" s="7" t="s">
        <v>1590</v>
      </c>
      <c r="G881" s="7" t="s">
        <v>61</v>
      </c>
      <c r="H881">
        <v>8</v>
      </c>
      <c r="I881">
        <v>4474.9399999999996</v>
      </c>
      <c r="J881">
        <v>0.05</v>
      </c>
      <c r="K881">
        <v>34009.54</v>
      </c>
      <c r="L881">
        <v>16413.87</v>
      </c>
      <c r="M881">
        <v>17595.669999999998</v>
      </c>
      <c r="N881" s="7" t="s">
        <v>33</v>
      </c>
      <c r="O881" s="9">
        <f>IFERROR(RawSalesTable_[[#This Row],[Profit]]/RawSalesTable_[[#This Row],[Revenue]],0)</f>
        <v>0.51737453667412137</v>
      </c>
    </row>
    <row r="882" spans="1:15">
      <c r="A882" s="7" t="s">
        <v>1005</v>
      </c>
      <c r="B882" s="8">
        <v>45987</v>
      </c>
      <c r="C882" s="7" t="s">
        <v>15</v>
      </c>
      <c r="D882" s="7" t="s">
        <v>16</v>
      </c>
      <c r="E882" s="7" t="s">
        <v>49</v>
      </c>
      <c r="F882" s="7" t="s">
        <v>107</v>
      </c>
      <c r="G882" s="7" t="s">
        <v>64</v>
      </c>
      <c r="H882">
        <v>1</v>
      </c>
      <c r="I882">
        <v>4875.55</v>
      </c>
      <c r="J882">
        <v>0</v>
      </c>
      <c r="K882">
        <v>4875.55</v>
      </c>
      <c r="L882">
        <v>2763.29</v>
      </c>
      <c r="M882">
        <v>2112.2600000000002</v>
      </c>
      <c r="N882" s="7" t="s">
        <v>26</v>
      </c>
      <c r="O882" s="9">
        <f>IFERROR(RawSalesTable_[[#This Row],[Profit]]/RawSalesTable_[[#This Row],[Revenue]],0)</f>
        <v>0.4332352247438751</v>
      </c>
    </row>
    <row r="883" spans="1:15">
      <c r="A883" s="7" t="s">
        <v>1006</v>
      </c>
      <c r="B883" s="8">
        <v>45712</v>
      </c>
      <c r="C883" s="7" t="s">
        <v>22</v>
      </c>
      <c r="D883" s="7" t="s">
        <v>23</v>
      </c>
      <c r="E883" s="7" t="s">
        <v>30</v>
      </c>
      <c r="F883" s="7" t="s">
        <v>86</v>
      </c>
      <c r="G883" s="7" t="s">
        <v>32</v>
      </c>
      <c r="H883">
        <v>1</v>
      </c>
      <c r="I883">
        <v>34543.870000000003</v>
      </c>
      <c r="J883">
        <v>0</v>
      </c>
      <c r="K883">
        <v>34543.870000000003</v>
      </c>
      <c r="L883">
        <v>23333.25</v>
      </c>
      <c r="M883">
        <v>11210.62</v>
      </c>
      <c r="N883" s="7" t="s">
        <v>33</v>
      </c>
      <c r="O883" s="9">
        <f>IFERROR(RawSalesTable_[[#This Row],[Profit]]/RawSalesTable_[[#This Row],[Revenue]],0)</f>
        <v>0.32453283317705861</v>
      </c>
    </row>
    <row r="884" spans="1:15">
      <c r="A884" s="7" t="s">
        <v>1007</v>
      </c>
      <c r="B884" s="8">
        <v>45686</v>
      </c>
      <c r="C884" s="7" t="s">
        <v>22</v>
      </c>
      <c r="D884" s="7" t="s">
        <v>23</v>
      </c>
      <c r="E884" s="7" t="s">
        <v>49</v>
      </c>
      <c r="F884" s="7" t="s">
        <v>107</v>
      </c>
      <c r="G884" s="7" t="s">
        <v>58</v>
      </c>
      <c r="H884">
        <v>3</v>
      </c>
      <c r="I884">
        <v>5039.74</v>
      </c>
      <c r="J884">
        <v>0.05</v>
      </c>
      <c r="K884">
        <v>14363.26</v>
      </c>
      <c r="L884">
        <v>7944.61</v>
      </c>
      <c r="M884">
        <v>6418.65</v>
      </c>
      <c r="N884" s="7" t="s">
        <v>33</v>
      </c>
      <c r="O884" s="9">
        <f>IFERROR(RawSalesTable_[[#This Row],[Profit]]/RawSalesTable_[[#This Row],[Revenue]],0)</f>
        <v>0.44687974735540537</v>
      </c>
    </row>
    <row r="885" spans="1:15">
      <c r="A885" s="7" t="s">
        <v>1008</v>
      </c>
      <c r="B885" s="8">
        <v>45772</v>
      </c>
      <c r="C885" s="7" t="s">
        <v>22</v>
      </c>
      <c r="D885" s="7" t="s">
        <v>23</v>
      </c>
      <c r="E885" s="7" t="s">
        <v>17</v>
      </c>
      <c r="F885" s="7" t="s">
        <v>18</v>
      </c>
      <c r="G885" s="7" t="s">
        <v>64</v>
      </c>
      <c r="H885">
        <v>2</v>
      </c>
      <c r="I885">
        <v>14526.78</v>
      </c>
      <c r="J885">
        <v>0.05</v>
      </c>
      <c r="K885">
        <v>27600.880000000001</v>
      </c>
      <c r="L885">
        <v>16070.83</v>
      </c>
      <c r="M885">
        <v>11530.05</v>
      </c>
      <c r="N885" s="7" t="s">
        <v>26</v>
      </c>
      <c r="O885" s="9">
        <f>IFERROR(RawSalesTable_[[#This Row],[Profit]]/RawSalesTable_[[#This Row],[Revenue]],0)</f>
        <v>0.41774211546878209</v>
      </c>
    </row>
    <row r="886" spans="1:15">
      <c r="A886" s="7" t="s">
        <v>1009</v>
      </c>
      <c r="B886" s="8">
        <v>45715</v>
      </c>
      <c r="C886" s="7" t="s">
        <v>28</v>
      </c>
      <c r="D886" s="7" t="s">
        <v>56</v>
      </c>
      <c r="E886" s="7" t="s">
        <v>44</v>
      </c>
      <c r="F886" s="7" t="s">
        <v>69</v>
      </c>
      <c r="G886" s="7" t="s">
        <v>70</v>
      </c>
      <c r="H886">
        <v>5</v>
      </c>
      <c r="I886">
        <v>36333.379999999997</v>
      </c>
      <c r="J886">
        <v>0.15</v>
      </c>
      <c r="K886">
        <v>154416.85999999999</v>
      </c>
      <c r="L886">
        <v>129601.17</v>
      </c>
      <c r="M886">
        <v>24815.69</v>
      </c>
      <c r="N886" s="7" t="s">
        <v>26</v>
      </c>
      <c r="O886" s="9">
        <f>IFERROR(RawSalesTable_[[#This Row],[Profit]]/RawSalesTable_[[#This Row],[Revenue]],0)</f>
        <v>0.16070583225173729</v>
      </c>
    </row>
    <row r="887" spans="1:15">
      <c r="A887" s="7" t="s">
        <v>1010</v>
      </c>
      <c r="B887" s="8">
        <v>45701</v>
      </c>
      <c r="C887" s="7" t="s">
        <v>22</v>
      </c>
      <c r="D887" s="7" t="s">
        <v>23</v>
      </c>
      <c r="E887" s="7" t="s">
        <v>17</v>
      </c>
      <c r="F887" s="7" t="s">
        <v>18</v>
      </c>
      <c r="G887" s="7" t="s">
        <v>64</v>
      </c>
      <c r="H887">
        <v>6</v>
      </c>
      <c r="I887">
        <v>13516.99</v>
      </c>
      <c r="J887">
        <v>0.05</v>
      </c>
      <c r="K887">
        <v>77046.84</v>
      </c>
      <c r="L887">
        <v>48131.6</v>
      </c>
      <c r="M887">
        <v>28915.24</v>
      </c>
      <c r="N887" s="7" t="s">
        <v>26</v>
      </c>
      <c r="O887" s="9">
        <f>IFERROR(RawSalesTable_[[#This Row],[Profit]]/RawSalesTable_[[#This Row],[Revenue]],0)</f>
        <v>0.37529430149244281</v>
      </c>
    </row>
    <row r="888" spans="1:15">
      <c r="A888" s="7" t="s">
        <v>1011</v>
      </c>
      <c r="B888" s="8">
        <v>45977</v>
      </c>
      <c r="C888" s="7" t="s">
        <v>22</v>
      </c>
      <c r="D888" s="7" t="s">
        <v>35</v>
      </c>
      <c r="E888" s="7" t="s">
        <v>30</v>
      </c>
      <c r="F888" s="7" t="s">
        <v>86</v>
      </c>
      <c r="G888" s="7" t="s">
        <v>58</v>
      </c>
      <c r="H888">
        <v>7</v>
      </c>
      <c r="I888">
        <v>31153.16</v>
      </c>
      <c r="J888">
        <v>0.15</v>
      </c>
      <c r="K888">
        <v>185361.3</v>
      </c>
      <c r="L888">
        <v>160350.95000000001</v>
      </c>
      <c r="M888">
        <v>25010.35</v>
      </c>
      <c r="N888" s="7" t="s">
        <v>59</v>
      </c>
      <c r="O888" s="9">
        <f>IFERROR(RawSalesTable_[[#This Row],[Profit]]/RawSalesTable_[[#This Row],[Revenue]],0)</f>
        <v>0.1349275711812552</v>
      </c>
    </row>
    <row r="889" spans="1:15">
      <c r="A889" s="7" t="s">
        <v>1012</v>
      </c>
      <c r="B889" s="8">
        <v>45659</v>
      </c>
      <c r="C889" s="7" t="s">
        <v>22</v>
      </c>
      <c r="D889" s="7" t="s">
        <v>35</v>
      </c>
      <c r="E889" s="7" t="s">
        <v>49</v>
      </c>
      <c r="F889" s="7" t="s">
        <v>57</v>
      </c>
      <c r="G889" s="7" t="s">
        <v>61</v>
      </c>
      <c r="H889">
        <v>5</v>
      </c>
      <c r="I889">
        <v>12071.72</v>
      </c>
      <c r="J889">
        <v>0.15</v>
      </c>
      <c r="K889">
        <v>51304.81</v>
      </c>
      <c r="L889">
        <v>33342.01</v>
      </c>
      <c r="M889">
        <v>17962.8</v>
      </c>
      <c r="N889" s="7" t="s">
        <v>26</v>
      </c>
      <c r="O889" s="9">
        <f>IFERROR(RawSalesTable_[[#This Row],[Profit]]/RawSalesTable_[[#This Row],[Revenue]],0)</f>
        <v>0.35011921884127434</v>
      </c>
    </row>
    <row r="890" spans="1:15">
      <c r="A890" s="7" t="s">
        <v>1013</v>
      </c>
      <c r="B890" s="8">
        <v>45800</v>
      </c>
      <c r="C890" s="7" t="s">
        <v>28</v>
      </c>
      <c r="D890" s="7" t="s">
        <v>52</v>
      </c>
      <c r="E890" s="7" t="s">
        <v>49</v>
      </c>
      <c r="F890" s="7" t="s">
        <v>107</v>
      </c>
      <c r="G890" s="7" t="s">
        <v>61</v>
      </c>
      <c r="H890">
        <v>8</v>
      </c>
      <c r="I890">
        <v>5461.79</v>
      </c>
      <c r="J890">
        <v>0</v>
      </c>
      <c r="K890">
        <v>43694.32</v>
      </c>
      <c r="L890">
        <v>21825.7</v>
      </c>
      <c r="M890">
        <v>21868.62</v>
      </c>
      <c r="N890" s="7" t="s">
        <v>33</v>
      </c>
      <c r="O890" s="9">
        <f>IFERROR(RawSalesTable_[[#This Row],[Profit]]/RawSalesTable_[[#This Row],[Revenue]],0)</f>
        <v>0.50049113935175094</v>
      </c>
    </row>
    <row r="891" spans="1:15">
      <c r="A891" s="7" t="s">
        <v>1014</v>
      </c>
      <c r="B891" s="8">
        <v>45869</v>
      </c>
      <c r="C891" s="7" t="s">
        <v>28</v>
      </c>
      <c r="D891" s="7" t="s">
        <v>52</v>
      </c>
      <c r="E891" s="7" t="s">
        <v>44</v>
      </c>
      <c r="F891" s="7" t="s">
        <v>53</v>
      </c>
      <c r="G891" s="7" t="s">
        <v>32</v>
      </c>
      <c r="H891">
        <v>6</v>
      </c>
      <c r="I891">
        <v>8254.27</v>
      </c>
      <c r="J891">
        <v>0.05</v>
      </c>
      <c r="K891">
        <v>47049.34</v>
      </c>
      <c r="L891">
        <v>29508.49</v>
      </c>
      <c r="M891">
        <v>17540.849999999999</v>
      </c>
      <c r="N891" s="7" t="s">
        <v>26</v>
      </c>
      <c r="O891" s="9">
        <f>IFERROR(RawSalesTable_[[#This Row],[Profit]]/RawSalesTable_[[#This Row],[Revenue]],0)</f>
        <v>0.37281819468668426</v>
      </c>
    </row>
    <row r="892" spans="1:15">
      <c r="A892" s="7" t="s">
        <v>1015</v>
      </c>
      <c r="B892" s="8">
        <v>45775</v>
      </c>
      <c r="C892" s="7" t="s">
        <v>15</v>
      </c>
      <c r="D892" s="7" t="s">
        <v>16</v>
      </c>
      <c r="E892" s="7" t="s">
        <v>49</v>
      </c>
      <c r="F892" s="7" t="s">
        <v>107</v>
      </c>
      <c r="G892" s="7" t="s">
        <v>25</v>
      </c>
      <c r="H892">
        <v>8</v>
      </c>
      <c r="I892">
        <v>5232.24</v>
      </c>
      <c r="J892">
        <v>0.05</v>
      </c>
      <c r="K892">
        <v>39765.019999999997</v>
      </c>
      <c r="L892">
        <v>21757.1</v>
      </c>
      <c r="M892">
        <v>18007.919999999998</v>
      </c>
      <c r="N892" s="7" t="s">
        <v>33</v>
      </c>
      <c r="O892" s="9">
        <f>IFERROR(RawSalesTable_[[#This Row],[Profit]]/RawSalesTable_[[#This Row],[Revenue]],0)</f>
        <v>0.45285831617838995</v>
      </c>
    </row>
    <row r="893" spans="1:15">
      <c r="A893" s="7" t="s">
        <v>1016</v>
      </c>
      <c r="B893" s="8">
        <v>45666</v>
      </c>
      <c r="C893" s="7" t="s">
        <v>15</v>
      </c>
      <c r="D893" s="7" t="s">
        <v>43</v>
      </c>
      <c r="E893" s="7" t="s">
        <v>49</v>
      </c>
      <c r="F893" s="7" t="s">
        <v>1590</v>
      </c>
      <c r="G893" s="7" t="s">
        <v>32</v>
      </c>
      <c r="H893">
        <v>2</v>
      </c>
      <c r="I893">
        <v>4022.05</v>
      </c>
      <c r="J893">
        <v>0</v>
      </c>
      <c r="K893">
        <v>8044.1</v>
      </c>
      <c r="L893">
        <v>4133.76</v>
      </c>
      <c r="M893">
        <v>3910.34</v>
      </c>
      <c r="N893" s="7" t="s">
        <v>20</v>
      </c>
      <c r="O893" s="9">
        <f>IFERROR(RawSalesTable_[[#This Row],[Profit]]/RawSalesTable_[[#This Row],[Revenue]],0)</f>
        <v>0.48611280317251154</v>
      </c>
    </row>
    <row r="894" spans="1:15">
      <c r="A894" s="7" t="s">
        <v>1017</v>
      </c>
      <c r="B894" s="8">
        <v>45731</v>
      </c>
      <c r="C894" s="7" t="s">
        <v>22</v>
      </c>
      <c r="D894" s="7" t="s">
        <v>23</v>
      </c>
      <c r="E894" s="7" t="s">
        <v>17</v>
      </c>
      <c r="F894" s="7" t="s">
        <v>18</v>
      </c>
      <c r="G894" s="7" t="s">
        <v>25</v>
      </c>
      <c r="H894">
        <v>6</v>
      </c>
      <c r="I894">
        <v>15309.1</v>
      </c>
      <c r="J894">
        <v>0</v>
      </c>
      <c r="K894">
        <v>91854.6</v>
      </c>
      <c r="L894">
        <v>48738.94</v>
      </c>
      <c r="M894">
        <v>43115.66</v>
      </c>
      <c r="N894" s="7" t="s">
        <v>26</v>
      </c>
      <c r="O894" s="9">
        <f>IFERROR(RawSalesTable_[[#This Row],[Profit]]/RawSalesTable_[[#This Row],[Revenue]],0)</f>
        <v>0.46939031904771239</v>
      </c>
    </row>
    <row r="895" spans="1:15">
      <c r="A895" s="7" t="s">
        <v>1018</v>
      </c>
      <c r="B895" s="8">
        <v>45671</v>
      </c>
      <c r="C895" s="7" t="s">
        <v>22</v>
      </c>
      <c r="D895" s="7" t="s">
        <v>23</v>
      </c>
      <c r="E895" s="7" t="s">
        <v>17</v>
      </c>
      <c r="F895" s="7" t="s">
        <v>24</v>
      </c>
      <c r="G895" s="7" t="s">
        <v>25</v>
      </c>
      <c r="H895">
        <v>2</v>
      </c>
      <c r="I895">
        <v>98801.41</v>
      </c>
      <c r="J895">
        <v>0.15</v>
      </c>
      <c r="K895">
        <v>167962.4</v>
      </c>
      <c r="L895">
        <v>133282.09</v>
      </c>
      <c r="M895">
        <v>34680.31</v>
      </c>
      <c r="N895" s="7" t="s">
        <v>59</v>
      </c>
      <c r="O895" s="9">
        <f>IFERROR(RawSalesTable_[[#This Row],[Profit]]/RawSalesTable_[[#This Row],[Revenue]],0)</f>
        <v>0.20647662810248008</v>
      </c>
    </row>
    <row r="896" spans="1:15">
      <c r="A896" s="7" t="s">
        <v>1019</v>
      </c>
      <c r="B896" s="8">
        <v>45845</v>
      </c>
      <c r="C896" s="7" t="s">
        <v>22</v>
      </c>
      <c r="D896" s="7" t="s">
        <v>37</v>
      </c>
      <c r="E896" s="7" t="s">
        <v>17</v>
      </c>
      <c r="F896" s="7" t="s">
        <v>75</v>
      </c>
      <c r="G896" s="7" t="s">
        <v>61</v>
      </c>
      <c r="H896">
        <v>8</v>
      </c>
      <c r="I896">
        <v>194988.14</v>
      </c>
      <c r="J896">
        <v>0</v>
      </c>
      <c r="K896">
        <v>1559905.12</v>
      </c>
      <c r="L896">
        <v>1104320.3700000001</v>
      </c>
      <c r="M896">
        <v>455584.75</v>
      </c>
      <c r="N896" s="7" t="s">
        <v>33</v>
      </c>
      <c r="O896" s="9">
        <f>IFERROR(RawSalesTable_[[#This Row],[Profit]]/RawSalesTable_[[#This Row],[Revenue]],0)</f>
        <v>0.29205926960480771</v>
      </c>
    </row>
    <row r="897" spans="1:15">
      <c r="A897" s="7" t="s">
        <v>1020</v>
      </c>
      <c r="B897" s="8">
        <v>45928</v>
      </c>
      <c r="C897" s="7" t="s">
        <v>22</v>
      </c>
      <c r="D897" s="7" t="s">
        <v>23</v>
      </c>
      <c r="E897" s="7" t="s">
        <v>17</v>
      </c>
      <c r="F897" s="7" t="s">
        <v>114</v>
      </c>
      <c r="G897" s="7" t="s">
        <v>58</v>
      </c>
      <c r="H897">
        <v>3</v>
      </c>
      <c r="I897">
        <v>54208.28</v>
      </c>
      <c r="J897">
        <v>0.05</v>
      </c>
      <c r="K897">
        <v>154493.6</v>
      </c>
      <c r="L897">
        <v>111914.37</v>
      </c>
      <c r="M897">
        <v>42579.23</v>
      </c>
      <c r="N897" s="7" t="s">
        <v>20</v>
      </c>
      <c r="O897" s="9">
        <f>IFERROR(RawSalesTable_[[#This Row],[Profit]]/RawSalesTable_[[#This Row],[Revenue]],0)</f>
        <v>0.2756051383358275</v>
      </c>
    </row>
    <row r="898" spans="1:15">
      <c r="A898" s="7" t="s">
        <v>1021</v>
      </c>
      <c r="B898" s="8">
        <v>45986</v>
      </c>
      <c r="C898" s="7" t="s">
        <v>28</v>
      </c>
      <c r="D898" s="7" t="s">
        <v>29</v>
      </c>
      <c r="E898" s="7" t="s">
        <v>30</v>
      </c>
      <c r="F898" s="7" t="s">
        <v>40</v>
      </c>
      <c r="G898" s="7" t="s">
        <v>64</v>
      </c>
      <c r="H898">
        <v>1</v>
      </c>
      <c r="I898">
        <v>23664.13</v>
      </c>
      <c r="J898">
        <v>0</v>
      </c>
      <c r="K898">
        <v>23664.13</v>
      </c>
      <c r="L898">
        <v>15392.36</v>
      </c>
      <c r="M898">
        <v>8271.77</v>
      </c>
      <c r="N898" s="7" t="s">
        <v>26</v>
      </c>
      <c r="O898" s="9">
        <f>IFERROR(RawSalesTable_[[#This Row],[Profit]]/RawSalesTable_[[#This Row],[Revenue]],0)</f>
        <v>0.34954887418214825</v>
      </c>
    </row>
    <row r="899" spans="1:15">
      <c r="A899" s="7" t="s">
        <v>1022</v>
      </c>
      <c r="B899" s="8">
        <v>45790</v>
      </c>
      <c r="C899" s="7" t="s">
        <v>15</v>
      </c>
      <c r="D899" s="7" t="s">
        <v>16</v>
      </c>
      <c r="E899" s="7" t="s">
        <v>17</v>
      </c>
      <c r="F899" s="7" t="s">
        <v>114</v>
      </c>
      <c r="G899" s="7" t="s">
        <v>58</v>
      </c>
      <c r="H899">
        <v>7</v>
      </c>
      <c r="I899">
        <v>53496.800000000003</v>
      </c>
      <c r="J899">
        <v>0.05</v>
      </c>
      <c r="K899">
        <v>355753.72</v>
      </c>
      <c r="L899">
        <v>257746.08</v>
      </c>
      <c r="M899">
        <v>98007.64</v>
      </c>
      <c r="N899" s="7" t="s">
        <v>26</v>
      </c>
      <c r="O899" s="9">
        <f>IFERROR(RawSalesTable_[[#This Row],[Profit]]/RawSalesTable_[[#This Row],[Revenue]],0)</f>
        <v>0.27549294495079352</v>
      </c>
    </row>
    <row r="900" spans="1:15">
      <c r="A900" s="7" t="s">
        <v>1023</v>
      </c>
      <c r="B900" s="8">
        <v>45863</v>
      </c>
      <c r="C900" s="7" t="s">
        <v>28</v>
      </c>
      <c r="D900" s="7" t="s">
        <v>52</v>
      </c>
      <c r="E900" s="7" t="s">
        <v>30</v>
      </c>
      <c r="F900" s="7" t="s">
        <v>31</v>
      </c>
      <c r="G900" s="7" t="s">
        <v>64</v>
      </c>
      <c r="H900">
        <v>7</v>
      </c>
      <c r="I900">
        <v>145323.21</v>
      </c>
      <c r="J900">
        <v>0</v>
      </c>
      <c r="K900">
        <v>1017262.47</v>
      </c>
      <c r="L900">
        <v>722567.74</v>
      </c>
      <c r="M900">
        <v>294694.73</v>
      </c>
      <c r="N900" s="7" t="s">
        <v>26</v>
      </c>
      <c r="O900" s="9">
        <f>IFERROR(RawSalesTable_[[#This Row],[Profit]]/RawSalesTable_[[#This Row],[Revenue]],0)</f>
        <v>0.28969389778038307</v>
      </c>
    </row>
    <row r="901" spans="1:15">
      <c r="A901" s="7" t="s">
        <v>1024</v>
      </c>
      <c r="B901" s="8">
        <v>45852</v>
      </c>
      <c r="C901" s="7" t="s">
        <v>28</v>
      </c>
      <c r="D901" s="7" t="s">
        <v>52</v>
      </c>
      <c r="E901" s="7" t="s">
        <v>17</v>
      </c>
      <c r="F901" s="7" t="s">
        <v>114</v>
      </c>
      <c r="G901" s="7" t="s">
        <v>61</v>
      </c>
      <c r="H901">
        <v>8</v>
      </c>
      <c r="I901">
        <v>50445.74</v>
      </c>
      <c r="J901">
        <v>0.15</v>
      </c>
      <c r="K901">
        <v>343031.03</v>
      </c>
      <c r="L901">
        <v>291520.24</v>
      </c>
      <c r="M901">
        <v>51510.79</v>
      </c>
      <c r="N901" s="7" t="s">
        <v>33</v>
      </c>
      <c r="O901" s="9">
        <f>IFERROR(RawSalesTable_[[#This Row],[Profit]]/RawSalesTable_[[#This Row],[Revenue]],0)</f>
        <v>0.15016364554541903</v>
      </c>
    </row>
    <row r="902" spans="1:15">
      <c r="A902" s="7" t="s">
        <v>1025</v>
      </c>
      <c r="B902" s="8">
        <v>45829</v>
      </c>
      <c r="C902" s="7" t="s">
        <v>28</v>
      </c>
      <c r="D902" s="7" t="s">
        <v>29</v>
      </c>
      <c r="E902" s="7" t="s">
        <v>49</v>
      </c>
      <c r="F902" s="7" t="s">
        <v>1590</v>
      </c>
      <c r="G902" s="7" t="s">
        <v>64</v>
      </c>
      <c r="H902">
        <v>5</v>
      </c>
      <c r="I902">
        <v>3936.85</v>
      </c>
      <c r="J902">
        <v>0</v>
      </c>
      <c r="K902">
        <v>19684.25</v>
      </c>
      <c r="L902">
        <v>10451.59</v>
      </c>
      <c r="M902">
        <v>9232.66</v>
      </c>
      <c r="N902" s="7" t="s">
        <v>26</v>
      </c>
      <c r="O902" s="9">
        <f>IFERROR(RawSalesTable_[[#This Row],[Profit]]/RawSalesTable_[[#This Row],[Revenue]],0)</f>
        <v>0.46903793642125047</v>
      </c>
    </row>
    <row r="903" spans="1:15">
      <c r="A903" s="7" t="s">
        <v>1026</v>
      </c>
      <c r="B903" s="8">
        <v>45761</v>
      </c>
      <c r="C903" s="7" t="s">
        <v>28</v>
      </c>
      <c r="D903" s="7" t="s">
        <v>52</v>
      </c>
      <c r="E903" s="7" t="s">
        <v>17</v>
      </c>
      <c r="F903" s="7" t="s">
        <v>75</v>
      </c>
      <c r="G903" s="7" t="s">
        <v>64</v>
      </c>
      <c r="H903">
        <v>4</v>
      </c>
      <c r="I903">
        <v>187874.48</v>
      </c>
      <c r="J903">
        <v>0.05</v>
      </c>
      <c r="K903">
        <v>713923.02</v>
      </c>
      <c r="L903">
        <v>558424.68999999994</v>
      </c>
      <c r="M903">
        <v>155498.32999999999</v>
      </c>
      <c r="N903" s="7" t="s">
        <v>26</v>
      </c>
      <c r="O903" s="9">
        <f>IFERROR(RawSalesTable_[[#This Row],[Profit]]/RawSalesTable_[[#This Row],[Revenue]],0)</f>
        <v>0.21780825893525604</v>
      </c>
    </row>
    <row r="904" spans="1:15">
      <c r="A904" s="7" t="s">
        <v>1027</v>
      </c>
      <c r="B904" s="8">
        <v>45662</v>
      </c>
      <c r="C904" s="7" t="s">
        <v>28</v>
      </c>
      <c r="D904" s="7" t="s">
        <v>52</v>
      </c>
      <c r="E904" s="7" t="s">
        <v>17</v>
      </c>
      <c r="F904" s="7" t="s">
        <v>114</v>
      </c>
      <c r="G904" s="7" t="s">
        <v>32</v>
      </c>
      <c r="H904">
        <v>1</v>
      </c>
      <c r="I904">
        <v>48239.77</v>
      </c>
      <c r="J904">
        <v>0</v>
      </c>
      <c r="K904">
        <v>48239.77</v>
      </c>
      <c r="L904">
        <v>37815.67</v>
      </c>
      <c r="M904">
        <v>10424.1</v>
      </c>
      <c r="N904" s="7" t="s">
        <v>59</v>
      </c>
      <c r="O904" s="9">
        <f>IFERROR(RawSalesTable_[[#This Row],[Profit]]/RawSalesTable_[[#This Row],[Revenue]],0)</f>
        <v>0.21608933873440941</v>
      </c>
    </row>
    <row r="905" spans="1:15">
      <c r="A905" s="7" t="s">
        <v>1028</v>
      </c>
      <c r="B905" s="8">
        <v>45707</v>
      </c>
      <c r="C905" s="7" t="s">
        <v>28</v>
      </c>
      <c r="D905" s="7" t="s">
        <v>29</v>
      </c>
      <c r="E905" s="7" t="s">
        <v>44</v>
      </c>
      <c r="F905" s="7" t="s">
        <v>69</v>
      </c>
      <c r="G905" s="7" t="s">
        <v>32</v>
      </c>
      <c r="H905">
        <v>7</v>
      </c>
      <c r="I905">
        <v>39372.18</v>
      </c>
      <c r="J905">
        <v>0</v>
      </c>
      <c r="K905">
        <v>275605.26</v>
      </c>
      <c r="L905">
        <v>185491.85</v>
      </c>
      <c r="M905">
        <v>90113.41</v>
      </c>
      <c r="N905" s="7" t="s">
        <v>20</v>
      </c>
      <c r="O905" s="9">
        <f>IFERROR(RawSalesTable_[[#This Row],[Profit]]/RawSalesTable_[[#This Row],[Revenue]],0)</f>
        <v>0.32696549405479419</v>
      </c>
    </row>
    <row r="906" spans="1:15">
      <c r="A906" s="7" t="s">
        <v>1029</v>
      </c>
      <c r="B906" s="8">
        <v>45677</v>
      </c>
      <c r="C906" s="7" t="s">
        <v>15</v>
      </c>
      <c r="D906" s="7" t="s">
        <v>43</v>
      </c>
      <c r="E906" s="7" t="s">
        <v>17</v>
      </c>
      <c r="F906" s="7" t="s">
        <v>24</v>
      </c>
      <c r="G906" s="7" t="s">
        <v>58</v>
      </c>
      <c r="H906">
        <v>1</v>
      </c>
      <c r="I906">
        <v>93283.22</v>
      </c>
      <c r="J906">
        <v>0.05</v>
      </c>
      <c r="K906">
        <v>88619.06</v>
      </c>
      <c r="L906">
        <v>68230.3</v>
      </c>
      <c r="M906">
        <v>20388.759999999998</v>
      </c>
      <c r="N906" s="7" t="s">
        <v>26</v>
      </c>
      <c r="O906" s="9">
        <f>IFERROR(RawSalesTable_[[#This Row],[Profit]]/RawSalesTable_[[#This Row],[Revenue]],0)</f>
        <v>0.23007195066162967</v>
      </c>
    </row>
    <row r="907" spans="1:15">
      <c r="A907" s="7" t="s">
        <v>1030</v>
      </c>
      <c r="B907" s="8">
        <v>46006</v>
      </c>
      <c r="C907" s="7" t="s">
        <v>22</v>
      </c>
      <c r="D907" s="7" t="s">
        <v>37</v>
      </c>
      <c r="E907" s="7" t="s">
        <v>49</v>
      </c>
      <c r="F907" s="7" t="s">
        <v>91</v>
      </c>
      <c r="G907" s="7" t="s">
        <v>61</v>
      </c>
      <c r="H907">
        <v>2</v>
      </c>
      <c r="I907">
        <v>6970.93</v>
      </c>
      <c r="J907">
        <v>0</v>
      </c>
      <c r="K907">
        <v>13941.86</v>
      </c>
      <c r="L907">
        <v>7429.74</v>
      </c>
      <c r="M907">
        <v>6512.12</v>
      </c>
      <c r="N907" s="7" t="s">
        <v>26</v>
      </c>
      <c r="O907" s="9">
        <f>IFERROR(RawSalesTable_[[#This Row],[Profit]]/RawSalesTable_[[#This Row],[Revenue]],0)</f>
        <v>0.46709119156267526</v>
      </c>
    </row>
    <row r="908" spans="1:15">
      <c r="A908" s="7" t="s">
        <v>1031</v>
      </c>
      <c r="B908" s="8">
        <v>45878</v>
      </c>
      <c r="C908" s="7" t="s">
        <v>15</v>
      </c>
      <c r="D908" s="7" t="s">
        <v>43</v>
      </c>
      <c r="E908" s="7" t="s">
        <v>30</v>
      </c>
      <c r="F908" s="7" t="s">
        <v>40</v>
      </c>
      <c r="G908" s="7" t="s">
        <v>64</v>
      </c>
      <c r="H908">
        <v>3</v>
      </c>
      <c r="I908">
        <v>23868.959999999999</v>
      </c>
      <c r="J908">
        <v>0.05</v>
      </c>
      <c r="K908">
        <v>68026.539999999994</v>
      </c>
      <c r="L908">
        <v>48046.68</v>
      </c>
      <c r="M908">
        <v>19979.86</v>
      </c>
      <c r="N908" s="7" t="s">
        <v>20</v>
      </c>
      <c r="O908" s="9">
        <f>IFERROR(RawSalesTable_[[#This Row],[Profit]]/RawSalesTable_[[#This Row],[Revenue]],0)</f>
        <v>0.29370683853684171</v>
      </c>
    </row>
    <row r="909" spans="1:15">
      <c r="A909" s="7" t="s">
        <v>1032</v>
      </c>
      <c r="B909" s="8">
        <v>45816</v>
      </c>
      <c r="C909" s="7" t="s">
        <v>22</v>
      </c>
      <c r="D909" s="7" t="s">
        <v>23</v>
      </c>
      <c r="E909" s="7" t="s">
        <v>17</v>
      </c>
      <c r="F909" s="7" t="s">
        <v>24</v>
      </c>
      <c r="G909" s="7" t="s">
        <v>19</v>
      </c>
      <c r="H909">
        <v>8</v>
      </c>
      <c r="I909">
        <v>86073.82</v>
      </c>
      <c r="J909">
        <v>0</v>
      </c>
      <c r="K909">
        <v>688590.56</v>
      </c>
      <c r="L909">
        <v>533111.06999999995</v>
      </c>
      <c r="M909">
        <v>155479.49</v>
      </c>
      <c r="N909" s="7" t="s">
        <v>20</v>
      </c>
      <c r="O909" s="9">
        <f>IFERROR(RawSalesTable_[[#This Row],[Profit]]/RawSalesTable_[[#This Row],[Revenue]],0)</f>
        <v>0.2257938157037761</v>
      </c>
    </row>
    <row r="910" spans="1:15">
      <c r="A910" s="7" t="s">
        <v>1033</v>
      </c>
      <c r="B910" s="8">
        <v>45838</v>
      </c>
      <c r="C910" s="7" t="s">
        <v>22</v>
      </c>
      <c r="D910" s="7" t="s">
        <v>35</v>
      </c>
      <c r="E910" s="7" t="s">
        <v>30</v>
      </c>
      <c r="F910" s="7" t="s">
        <v>86</v>
      </c>
      <c r="G910" s="7" t="s">
        <v>19</v>
      </c>
      <c r="H910">
        <v>5</v>
      </c>
      <c r="I910">
        <v>31212.57</v>
      </c>
      <c r="J910">
        <v>0.05</v>
      </c>
      <c r="K910">
        <v>148259.71</v>
      </c>
      <c r="L910">
        <v>113665.03</v>
      </c>
      <c r="M910">
        <v>34594.68</v>
      </c>
      <c r="N910" s="7" t="s">
        <v>33</v>
      </c>
      <c r="O910" s="9">
        <f>IFERROR(RawSalesTable_[[#This Row],[Profit]]/RawSalesTable_[[#This Row],[Revenue]],0)</f>
        <v>0.23333837628577583</v>
      </c>
    </row>
    <row r="911" spans="1:15">
      <c r="A911" s="7" t="s">
        <v>1034</v>
      </c>
      <c r="B911" s="8">
        <v>45729</v>
      </c>
      <c r="C911" s="7" t="s">
        <v>22</v>
      </c>
      <c r="D911" s="7" t="s">
        <v>37</v>
      </c>
      <c r="E911" s="7" t="s">
        <v>49</v>
      </c>
      <c r="F911" s="7" t="s">
        <v>57</v>
      </c>
      <c r="G911" s="7" t="s">
        <v>19</v>
      </c>
      <c r="H911">
        <v>8</v>
      </c>
      <c r="I911">
        <v>12380.41</v>
      </c>
      <c r="J911">
        <v>0.05</v>
      </c>
      <c r="K911">
        <v>94091.12</v>
      </c>
      <c r="L911">
        <v>52807.06</v>
      </c>
      <c r="M911">
        <v>41284.06</v>
      </c>
      <c r="N911" s="7" t="s">
        <v>20</v>
      </c>
      <c r="O911" s="9">
        <f>IFERROR(RawSalesTable_[[#This Row],[Profit]]/RawSalesTable_[[#This Row],[Revenue]],0)</f>
        <v>0.43876680392368589</v>
      </c>
    </row>
    <row r="912" spans="1:15">
      <c r="A912" s="7" t="s">
        <v>1035</v>
      </c>
      <c r="B912" s="8">
        <v>45845</v>
      </c>
      <c r="C912" s="7" t="s">
        <v>22</v>
      </c>
      <c r="D912" s="7" t="s">
        <v>35</v>
      </c>
      <c r="E912" s="7" t="s">
        <v>30</v>
      </c>
      <c r="F912" s="7" t="s">
        <v>40</v>
      </c>
      <c r="G912" s="7" t="s">
        <v>32</v>
      </c>
      <c r="H912">
        <v>7</v>
      </c>
      <c r="I912">
        <v>25899.439999999999</v>
      </c>
      <c r="J912">
        <v>0.15</v>
      </c>
      <c r="K912">
        <v>154101.67000000001</v>
      </c>
      <c r="L912">
        <v>108280.6</v>
      </c>
      <c r="M912">
        <v>45821.07</v>
      </c>
      <c r="N912" s="7" t="s">
        <v>59</v>
      </c>
      <c r="O912" s="9">
        <f>IFERROR(RawSalesTable_[[#This Row],[Profit]]/RawSalesTable_[[#This Row],[Revenue]],0)</f>
        <v>0.29734311120703621</v>
      </c>
    </row>
    <row r="913" spans="1:15">
      <c r="A913" s="7" t="s">
        <v>1036</v>
      </c>
      <c r="B913" s="8">
        <v>45987</v>
      </c>
      <c r="C913" s="7" t="s">
        <v>22</v>
      </c>
      <c r="D913" s="7" t="s">
        <v>37</v>
      </c>
      <c r="E913" s="7" t="s">
        <v>49</v>
      </c>
      <c r="F913" s="7" t="s">
        <v>107</v>
      </c>
      <c r="G913" s="7" t="s">
        <v>64</v>
      </c>
      <c r="H913">
        <v>5</v>
      </c>
      <c r="I913">
        <v>5514</v>
      </c>
      <c r="J913">
        <v>0.15</v>
      </c>
      <c r="K913">
        <v>23434.5</v>
      </c>
      <c r="L913">
        <v>13135.33</v>
      </c>
      <c r="M913">
        <v>10299.17</v>
      </c>
      <c r="N913" s="7" t="s">
        <v>26</v>
      </c>
      <c r="O913" s="9">
        <f>IFERROR(RawSalesTable_[[#This Row],[Profit]]/RawSalesTable_[[#This Row],[Revenue]],0)</f>
        <v>0.43948750773432332</v>
      </c>
    </row>
    <row r="914" spans="1:15">
      <c r="A914" s="7" t="s">
        <v>1037</v>
      </c>
      <c r="B914" s="8">
        <v>45695</v>
      </c>
      <c r="C914" s="7" t="s">
        <v>15</v>
      </c>
      <c r="D914" s="7" t="s">
        <v>43</v>
      </c>
      <c r="E914" s="7" t="s">
        <v>17</v>
      </c>
      <c r="F914" s="7" t="s">
        <v>24</v>
      </c>
      <c r="G914" s="7" t="s">
        <v>47</v>
      </c>
      <c r="H914">
        <v>2</v>
      </c>
      <c r="I914">
        <v>88918.52</v>
      </c>
      <c r="J914">
        <v>0</v>
      </c>
      <c r="K914">
        <v>177837.04</v>
      </c>
      <c r="L914">
        <v>137347.67000000001</v>
      </c>
      <c r="M914">
        <v>40489.370000000003</v>
      </c>
      <c r="N914" s="7" t="s">
        <v>20</v>
      </c>
      <c r="O914" s="9">
        <f>IFERROR(RawSalesTable_[[#This Row],[Profit]]/RawSalesTable_[[#This Row],[Revenue]],0)</f>
        <v>0.22767681018532474</v>
      </c>
    </row>
    <row r="915" spans="1:15">
      <c r="A915" s="7" t="s">
        <v>1038</v>
      </c>
      <c r="B915" s="8">
        <v>45896</v>
      </c>
      <c r="C915" s="7" t="s">
        <v>28</v>
      </c>
      <c r="D915" s="7" t="s">
        <v>29</v>
      </c>
      <c r="E915" s="7" t="s">
        <v>17</v>
      </c>
      <c r="F915" s="7" t="s">
        <v>18</v>
      </c>
      <c r="G915" s="7" t="s">
        <v>19</v>
      </c>
      <c r="H915">
        <v>8</v>
      </c>
      <c r="I915">
        <v>14426.89</v>
      </c>
      <c r="J915">
        <v>0.1</v>
      </c>
      <c r="K915">
        <v>103873.61</v>
      </c>
      <c r="L915">
        <v>67765.38</v>
      </c>
      <c r="M915">
        <v>36108.230000000003</v>
      </c>
      <c r="N915" s="7" t="s">
        <v>33</v>
      </c>
      <c r="O915" s="9">
        <f>IFERROR(RawSalesTable_[[#This Row],[Profit]]/RawSalesTable_[[#This Row],[Revenue]],0)</f>
        <v>0.34761697412846249</v>
      </c>
    </row>
    <row r="916" spans="1:15">
      <c r="A916" s="7" t="s">
        <v>1039</v>
      </c>
      <c r="B916" s="8">
        <v>45833</v>
      </c>
      <c r="C916" s="7" t="s">
        <v>22</v>
      </c>
      <c r="D916" s="7" t="s">
        <v>37</v>
      </c>
      <c r="E916" s="7" t="s">
        <v>17</v>
      </c>
      <c r="F916" s="7" t="s">
        <v>114</v>
      </c>
      <c r="G916" s="7" t="s">
        <v>70</v>
      </c>
      <c r="H916">
        <v>7</v>
      </c>
      <c r="I916">
        <v>49499.6</v>
      </c>
      <c r="J916">
        <v>0.05</v>
      </c>
      <c r="K916">
        <v>329172.34000000003</v>
      </c>
      <c r="L916">
        <v>248988.07</v>
      </c>
      <c r="M916">
        <v>80184.27</v>
      </c>
      <c r="N916" s="7" t="s">
        <v>26</v>
      </c>
      <c r="O916" s="9">
        <f>IFERROR(RawSalesTable_[[#This Row],[Profit]]/RawSalesTable_[[#This Row],[Revenue]],0)</f>
        <v>0.2435935838351424</v>
      </c>
    </row>
    <row r="917" spans="1:15">
      <c r="A917" s="7" t="s">
        <v>1040</v>
      </c>
      <c r="B917" s="8">
        <v>45898</v>
      </c>
      <c r="C917" s="7" t="s">
        <v>15</v>
      </c>
      <c r="D917" s="7" t="s">
        <v>43</v>
      </c>
      <c r="E917" s="7" t="s">
        <v>49</v>
      </c>
      <c r="F917" s="7" t="s">
        <v>91</v>
      </c>
      <c r="G917" s="7" t="s">
        <v>61</v>
      </c>
      <c r="H917">
        <v>5</v>
      </c>
      <c r="I917">
        <v>6452.76</v>
      </c>
      <c r="J917">
        <v>0.1</v>
      </c>
      <c r="K917">
        <v>29037.42</v>
      </c>
      <c r="L917">
        <v>17656.23</v>
      </c>
      <c r="M917">
        <v>11381.19</v>
      </c>
      <c r="N917" s="7" t="s">
        <v>26</v>
      </c>
      <c r="O917" s="9">
        <f>IFERROR(RawSalesTable_[[#This Row],[Profit]]/RawSalesTable_[[#This Row],[Revenue]],0)</f>
        <v>0.39194907812057689</v>
      </c>
    </row>
    <row r="918" spans="1:15">
      <c r="A918" s="7" t="s">
        <v>1042</v>
      </c>
      <c r="B918" s="8">
        <v>45798</v>
      </c>
      <c r="C918" s="7" t="s">
        <v>22</v>
      </c>
      <c r="D918" s="7" t="s">
        <v>23</v>
      </c>
      <c r="E918" s="7" t="s">
        <v>49</v>
      </c>
      <c r="F918" s="7" t="s">
        <v>57</v>
      </c>
      <c r="G918" s="7" t="s">
        <v>25</v>
      </c>
      <c r="H918">
        <v>5</v>
      </c>
      <c r="I918">
        <v>11749.66</v>
      </c>
      <c r="J918">
        <v>0</v>
      </c>
      <c r="K918">
        <v>58748.3</v>
      </c>
      <c r="L918">
        <v>31847.45</v>
      </c>
      <c r="M918">
        <v>26900.85</v>
      </c>
      <c r="N918" s="7" t="s">
        <v>33</v>
      </c>
      <c r="O918" s="9">
        <f>IFERROR(RawSalesTable_[[#This Row],[Profit]]/RawSalesTable_[[#This Row],[Revenue]],0)</f>
        <v>0.45790005838466813</v>
      </c>
    </row>
    <row r="919" spans="1:15">
      <c r="A919" s="7" t="s">
        <v>1043</v>
      </c>
      <c r="B919" s="8">
        <v>45685</v>
      </c>
      <c r="C919" s="7" t="s">
        <v>28</v>
      </c>
      <c r="D919" s="7" t="s">
        <v>29</v>
      </c>
      <c r="E919" s="7" t="s">
        <v>49</v>
      </c>
      <c r="F919" s="7" t="s">
        <v>107</v>
      </c>
      <c r="G919" s="7" t="s">
        <v>19</v>
      </c>
      <c r="H919">
        <v>4</v>
      </c>
      <c r="I919">
        <v>5341.14</v>
      </c>
      <c r="J919">
        <v>0.05</v>
      </c>
      <c r="K919">
        <v>20296.330000000002</v>
      </c>
      <c r="L919">
        <v>10615.16</v>
      </c>
      <c r="M919">
        <v>9681.17</v>
      </c>
      <c r="N919" s="7" t="s">
        <v>20</v>
      </c>
      <c r="O919" s="9">
        <f>IFERROR(RawSalesTable_[[#This Row],[Profit]]/RawSalesTable_[[#This Row],[Revenue]],0)</f>
        <v>0.47699116047088314</v>
      </c>
    </row>
    <row r="920" spans="1:15">
      <c r="A920" s="7" t="s">
        <v>1044</v>
      </c>
      <c r="B920" s="8">
        <v>46010</v>
      </c>
      <c r="C920" s="7" t="s">
        <v>28</v>
      </c>
      <c r="D920" s="7" t="s">
        <v>56</v>
      </c>
      <c r="E920" s="7" t="s">
        <v>44</v>
      </c>
      <c r="F920" s="7" t="s">
        <v>45</v>
      </c>
      <c r="G920" s="7" t="s">
        <v>61</v>
      </c>
      <c r="H920">
        <v>6</v>
      </c>
      <c r="I920">
        <v>30515.25</v>
      </c>
      <c r="J920">
        <v>0.05</v>
      </c>
      <c r="K920">
        <v>173936.92</v>
      </c>
      <c r="L920">
        <v>114374.49</v>
      </c>
      <c r="M920">
        <v>59562.43</v>
      </c>
      <c r="N920" s="7" t="s">
        <v>20</v>
      </c>
      <c r="O920" s="9">
        <f>IFERROR(RawSalesTable_[[#This Row],[Profit]]/RawSalesTable_[[#This Row],[Revenue]],0)</f>
        <v>0.34243695932985357</v>
      </c>
    </row>
    <row r="921" spans="1:15">
      <c r="A921" s="7" t="s">
        <v>1045</v>
      </c>
      <c r="B921" s="8">
        <v>45732</v>
      </c>
      <c r="C921" s="7" t="s">
        <v>28</v>
      </c>
      <c r="D921" s="7" t="s">
        <v>29</v>
      </c>
      <c r="E921" s="7" t="s">
        <v>49</v>
      </c>
      <c r="F921" s="7" t="s">
        <v>91</v>
      </c>
      <c r="G921" s="7" t="s">
        <v>32</v>
      </c>
      <c r="H921">
        <v>4</v>
      </c>
      <c r="I921">
        <v>6060.92</v>
      </c>
      <c r="J921">
        <v>0.15</v>
      </c>
      <c r="K921">
        <v>20607.13</v>
      </c>
      <c r="L921">
        <v>14551.12</v>
      </c>
      <c r="M921">
        <v>6056.01</v>
      </c>
      <c r="N921" s="7" t="s">
        <v>59</v>
      </c>
      <c r="O921" s="9">
        <f>IFERROR(RawSalesTable_[[#This Row],[Profit]]/RawSalesTable_[[#This Row],[Revenue]],0)</f>
        <v>0.29387935146718636</v>
      </c>
    </row>
    <row r="922" spans="1:15">
      <c r="A922" s="7" t="s">
        <v>1046</v>
      </c>
      <c r="B922" s="8">
        <v>46003</v>
      </c>
      <c r="C922" s="7" t="s">
        <v>22</v>
      </c>
      <c r="D922" s="7" t="s">
        <v>23</v>
      </c>
      <c r="E922" s="7" t="s">
        <v>49</v>
      </c>
      <c r="F922" s="7" t="s">
        <v>1590</v>
      </c>
      <c r="G922" s="7" t="s">
        <v>25</v>
      </c>
      <c r="H922">
        <v>8</v>
      </c>
      <c r="I922">
        <v>4444.8100000000004</v>
      </c>
      <c r="J922">
        <v>0</v>
      </c>
      <c r="K922">
        <v>35558.480000000003</v>
      </c>
      <c r="L922">
        <v>17227.41</v>
      </c>
      <c r="M922">
        <v>18331.07</v>
      </c>
      <c r="N922" s="7" t="s">
        <v>59</v>
      </c>
      <c r="O922" s="9">
        <f>IFERROR(RawSalesTable_[[#This Row],[Profit]]/RawSalesTable_[[#This Row],[Revenue]],0)</f>
        <v>0.51551894231699436</v>
      </c>
    </row>
    <row r="923" spans="1:15">
      <c r="A923" s="7" t="s">
        <v>1047</v>
      </c>
      <c r="B923" s="8">
        <v>45707</v>
      </c>
      <c r="C923" s="7" t="s">
        <v>15</v>
      </c>
      <c r="D923" s="7" t="s">
        <v>43</v>
      </c>
      <c r="E923" s="7" t="s">
        <v>17</v>
      </c>
      <c r="F923" s="7" t="s">
        <v>114</v>
      </c>
      <c r="G923" s="7" t="s">
        <v>64</v>
      </c>
      <c r="H923">
        <v>3</v>
      </c>
      <c r="I923">
        <v>53117.32</v>
      </c>
      <c r="J923">
        <v>0.15</v>
      </c>
      <c r="K923">
        <v>135449.17000000001</v>
      </c>
      <c r="L923">
        <v>113645.89</v>
      </c>
      <c r="M923">
        <v>21803.279999999999</v>
      </c>
      <c r="N923" s="7" t="s">
        <v>26</v>
      </c>
      <c r="O923" s="9">
        <f>IFERROR(RawSalesTable_[[#This Row],[Profit]]/RawSalesTable_[[#This Row],[Revenue]],0)</f>
        <v>0.16097020011270646</v>
      </c>
    </row>
    <row r="924" spans="1:15">
      <c r="A924" s="7" t="s">
        <v>1048</v>
      </c>
      <c r="B924" s="8">
        <v>46005</v>
      </c>
      <c r="C924" s="7" t="s">
        <v>15</v>
      </c>
      <c r="D924" s="7" t="s">
        <v>16</v>
      </c>
      <c r="E924" s="7" t="s">
        <v>49</v>
      </c>
      <c r="F924" s="7" t="s">
        <v>1590</v>
      </c>
      <c r="G924" s="7" t="s">
        <v>64</v>
      </c>
      <c r="H924">
        <v>7</v>
      </c>
      <c r="I924">
        <v>4009.24</v>
      </c>
      <c r="J924">
        <v>0</v>
      </c>
      <c r="K924">
        <v>28064.68</v>
      </c>
      <c r="L924">
        <v>15239</v>
      </c>
      <c r="M924">
        <v>12825.68</v>
      </c>
      <c r="N924" s="7" t="s">
        <v>59</v>
      </c>
      <c r="O924" s="9">
        <f>IFERROR(RawSalesTable_[[#This Row],[Profit]]/RawSalesTable_[[#This Row],[Revenue]],0)</f>
        <v>0.45700432002075209</v>
      </c>
    </row>
    <row r="925" spans="1:15">
      <c r="A925" s="7" t="s">
        <v>1049</v>
      </c>
      <c r="B925" s="8">
        <v>45869</v>
      </c>
      <c r="C925" s="7" t="s">
        <v>28</v>
      </c>
      <c r="D925" s="7" t="s">
        <v>52</v>
      </c>
      <c r="E925" s="7" t="s">
        <v>30</v>
      </c>
      <c r="F925" s="7" t="s">
        <v>38</v>
      </c>
      <c r="G925" s="7" t="s">
        <v>25</v>
      </c>
      <c r="H925">
        <v>2</v>
      </c>
      <c r="I925">
        <v>27861.05</v>
      </c>
      <c r="J925">
        <v>0.15</v>
      </c>
      <c r="K925">
        <v>47363.78</v>
      </c>
      <c r="L925">
        <v>37437.599999999999</v>
      </c>
      <c r="M925">
        <v>9926.18</v>
      </c>
      <c r="N925" s="7" t="s">
        <v>59</v>
      </c>
      <c r="O925" s="9">
        <f>IFERROR(RawSalesTable_[[#This Row],[Profit]]/RawSalesTable_[[#This Row],[Revenue]],0)</f>
        <v>0.20957322240750212</v>
      </c>
    </row>
    <row r="926" spans="1:15">
      <c r="A926" s="7" t="s">
        <v>1050</v>
      </c>
      <c r="B926" s="8">
        <v>45748</v>
      </c>
      <c r="C926" s="7" t="s">
        <v>28</v>
      </c>
      <c r="D926" s="7" t="s">
        <v>29</v>
      </c>
      <c r="E926" s="7" t="s">
        <v>49</v>
      </c>
      <c r="F926" s="7" t="s">
        <v>57</v>
      </c>
      <c r="G926" s="7" t="s">
        <v>61</v>
      </c>
      <c r="H926">
        <v>2</v>
      </c>
      <c r="I926">
        <v>12284.48</v>
      </c>
      <c r="J926">
        <v>0.05</v>
      </c>
      <c r="K926">
        <v>23340.51</v>
      </c>
      <c r="L926">
        <v>12999.83</v>
      </c>
      <c r="M926">
        <v>10340.68</v>
      </c>
      <c r="N926" s="7" t="s">
        <v>20</v>
      </c>
      <c r="O926" s="9">
        <f>IFERROR(RawSalesTable_[[#This Row],[Profit]]/RawSalesTable_[[#This Row],[Revenue]],0)</f>
        <v>0.44303573486611908</v>
      </c>
    </row>
    <row r="927" spans="1:15">
      <c r="A927" s="7" t="s">
        <v>1051</v>
      </c>
      <c r="B927" s="8">
        <v>45666</v>
      </c>
      <c r="C927" s="7" t="s">
        <v>28</v>
      </c>
      <c r="D927" s="7" t="s">
        <v>56</v>
      </c>
      <c r="E927" s="7" t="s">
        <v>49</v>
      </c>
      <c r="F927" s="7" t="s">
        <v>57</v>
      </c>
      <c r="G927" s="7" t="s">
        <v>25</v>
      </c>
      <c r="H927">
        <v>2</v>
      </c>
      <c r="I927">
        <v>12411.47</v>
      </c>
      <c r="J927">
        <v>0</v>
      </c>
      <c r="K927">
        <v>24822.94</v>
      </c>
      <c r="L927">
        <v>12691.57</v>
      </c>
      <c r="M927">
        <v>12131.37</v>
      </c>
      <c r="N927" s="7" t="s">
        <v>33</v>
      </c>
      <c r="O927" s="9">
        <f>IFERROR(RawSalesTable_[[#This Row],[Profit]]/RawSalesTable_[[#This Row],[Revenue]],0)</f>
        <v>0.48871608278471451</v>
      </c>
    </row>
    <row r="928" spans="1:15">
      <c r="A928" s="7" t="s">
        <v>1052</v>
      </c>
      <c r="B928" s="8">
        <v>45890</v>
      </c>
      <c r="C928" s="7" t="s">
        <v>28</v>
      </c>
      <c r="D928" s="7" t="s">
        <v>29</v>
      </c>
      <c r="E928" s="7" t="s">
        <v>17</v>
      </c>
      <c r="F928" s="7" t="s">
        <v>114</v>
      </c>
      <c r="G928" s="7" t="s">
        <v>25</v>
      </c>
      <c r="H928">
        <v>1</v>
      </c>
      <c r="I928">
        <v>53395.35</v>
      </c>
      <c r="J928">
        <v>0.05</v>
      </c>
      <c r="K928">
        <v>50725.58</v>
      </c>
      <c r="L928">
        <v>35946.33</v>
      </c>
      <c r="M928">
        <v>14779.25</v>
      </c>
      <c r="N928" s="7" t="s">
        <v>33</v>
      </c>
      <c r="O928" s="9">
        <f>IFERROR(RawSalesTable_[[#This Row],[Profit]]/RawSalesTable_[[#This Row],[Revenue]],0)</f>
        <v>0.29135694456327554</v>
      </c>
    </row>
    <row r="929" spans="1:15">
      <c r="A929" s="7" t="s">
        <v>1053</v>
      </c>
      <c r="B929" s="8">
        <v>45860</v>
      </c>
      <c r="C929" s="7" t="s">
        <v>22</v>
      </c>
      <c r="D929" s="7" t="s">
        <v>35</v>
      </c>
      <c r="E929" s="7" t="s">
        <v>17</v>
      </c>
      <c r="F929" s="7" t="s">
        <v>18</v>
      </c>
      <c r="G929" s="7" t="s">
        <v>64</v>
      </c>
      <c r="H929">
        <v>8</v>
      </c>
      <c r="I929">
        <v>14298.01</v>
      </c>
      <c r="J929">
        <v>0.15</v>
      </c>
      <c r="K929">
        <v>97226.47</v>
      </c>
      <c r="L929">
        <v>66864.009999999995</v>
      </c>
      <c r="M929">
        <v>30362.46</v>
      </c>
      <c r="N929" s="7" t="s">
        <v>59</v>
      </c>
      <c r="O929" s="9">
        <f>IFERROR(RawSalesTable_[[#This Row],[Profit]]/RawSalesTable_[[#This Row],[Revenue]],0)</f>
        <v>0.31228594435239704</v>
      </c>
    </row>
    <row r="930" spans="1:15">
      <c r="A930" s="7" t="s">
        <v>1054</v>
      </c>
      <c r="B930" s="8">
        <v>45660</v>
      </c>
      <c r="C930" s="7" t="s">
        <v>22</v>
      </c>
      <c r="D930" s="7" t="s">
        <v>37</v>
      </c>
      <c r="E930" s="7" t="s">
        <v>30</v>
      </c>
      <c r="F930" s="7" t="s">
        <v>38</v>
      </c>
      <c r="G930" s="7" t="s">
        <v>25</v>
      </c>
      <c r="H930">
        <v>5</v>
      </c>
      <c r="I930">
        <v>26167.95</v>
      </c>
      <c r="J930">
        <v>0.05</v>
      </c>
      <c r="K930">
        <v>124297.76</v>
      </c>
      <c r="L930">
        <v>91541.8</v>
      </c>
      <c r="M930">
        <v>32755.96</v>
      </c>
      <c r="N930" s="7" t="s">
        <v>33</v>
      </c>
      <c r="O930" s="9">
        <f>IFERROR(RawSalesTable_[[#This Row],[Profit]]/RawSalesTable_[[#This Row],[Revenue]],0)</f>
        <v>0.2635281601213087</v>
      </c>
    </row>
    <row r="931" spans="1:15">
      <c r="A931" s="7" t="s">
        <v>1055</v>
      </c>
      <c r="B931" s="8">
        <v>45781</v>
      </c>
      <c r="C931" s="7" t="s">
        <v>22</v>
      </c>
      <c r="D931" s="7" t="s">
        <v>23</v>
      </c>
      <c r="E931" s="7" t="s">
        <v>44</v>
      </c>
      <c r="F931" s="7" t="s">
        <v>69</v>
      </c>
      <c r="G931" s="7" t="s">
        <v>25</v>
      </c>
      <c r="H931">
        <v>6</v>
      </c>
      <c r="I931">
        <v>36997.35</v>
      </c>
      <c r="J931">
        <v>0.1</v>
      </c>
      <c r="K931">
        <v>199785.69</v>
      </c>
      <c r="L931">
        <v>162161.69</v>
      </c>
      <c r="M931">
        <v>37624</v>
      </c>
      <c r="N931" s="7" t="s">
        <v>26</v>
      </c>
      <c r="O931" s="9">
        <f>IFERROR(RawSalesTable_[[#This Row],[Profit]]/RawSalesTable_[[#This Row],[Revenue]],0)</f>
        <v>0.18832179622074033</v>
      </c>
    </row>
    <row r="932" spans="1:15">
      <c r="A932" s="7" t="s">
        <v>1056</v>
      </c>
      <c r="B932" s="8">
        <v>45746</v>
      </c>
      <c r="C932" s="7" t="s">
        <v>15</v>
      </c>
      <c r="D932" s="7" t="s">
        <v>43</v>
      </c>
      <c r="E932" s="7" t="s">
        <v>49</v>
      </c>
      <c r="F932" s="7" t="s">
        <v>91</v>
      </c>
      <c r="G932" s="7" t="s">
        <v>25</v>
      </c>
      <c r="H932">
        <v>7</v>
      </c>
      <c r="I932">
        <v>6114.03</v>
      </c>
      <c r="J932">
        <v>0.15</v>
      </c>
      <c r="K932">
        <v>36378.480000000003</v>
      </c>
      <c r="L932">
        <v>25132.69</v>
      </c>
      <c r="M932">
        <v>11245.79</v>
      </c>
      <c r="N932" s="7" t="s">
        <v>59</v>
      </c>
      <c r="O932" s="9">
        <f>IFERROR(RawSalesTable_[[#This Row],[Profit]]/RawSalesTable_[[#This Row],[Revenue]],0)</f>
        <v>0.30913303689433974</v>
      </c>
    </row>
    <row r="933" spans="1:15">
      <c r="A933" s="7" t="s">
        <v>1057</v>
      </c>
      <c r="B933" s="8">
        <v>45981</v>
      </c>
      <c r="C933" s="7" t="s">
        <v>15</v>
      </c>
      <c r="D933" s="7" t="s">
        <v>16</v>
      </c>
      <c r="E933" s="7" t="s">
        <v>49</v>
      </c>
      <c r="F933" s="7" t="s">
        <v>1590</v>
      </c>
      <c r="G933" s="7" t="s">
        <v>25</v>
      </c>
      <c r="H933">
        <v>2</v>
      </c>
      <c r="I933">
        <v>4341.1400000000003</v>
      </c>
      <c r="J933">
        <v>0</v>
      </c>
      <c r="K933">
        <v>8682.2800000000007</v>
      </c>
      <c r="L933">
        <v>4222.25</v>
      </c>
      <c r="M933">
        <v>4460.03</v>
      </c>
      <c r="N933" s="7" t="s">
        <v>59</v>
      </c>
      <c r="O933" s="9">
        <f>IFERROR(RawSalesTable_[[#This Row],[Profit]]/RawSalesTable_[[#This Row],[Revenue]],0)</f>
        <v>0.51369340772239547</v>
      </c>
    </row>
    <row r="934" spans="1:15">
      <c r="A934" s="7" t="s">
        <v>1058</v>
      </c>
      <c r="B934" s="8">
        <v>45961</v>
      </c>
      <c r="C934" s="7" t="s">
        <v>15</v>
      </c>
      <c r="D934" s="7" t="s">
        <v>16</v>
      </c>
      <c r="E934" s="7" t="s">
        <v>30</v>
      </c>
      <c r="F934" s="7" t="s">
        <v>86</v>
      </c>
      <c r="G934" s="7" t="s">
        <v>61</v>
      </c>
      <c r="H934">
        <v>2</v>
      </c>
      <c r="I934">
        <v>30852.44</v>
      </c>
      <c r="J934">
        <v>0.05</v>
      </c>
      <c r="K934">
        <v>58619.64</v>
      </c>
      <c r="L934">
        <v>43686.35</v>
      </c>
      <c r="M934">
        <v>14933.29</v>
      </c>
      <c r="N934" s="7" t="s">
        <v>33</v>
      </c>
      <c r="O934" s="9">
        <f>IFERROR(RawSalesTable_[[#This Row],[Profit]]/RawSalesTable_[[#This Row],[Revenue]],0)</f>
        <v>0.25474892032772634</v>
      </c>
    </row>
    <row r="935" spans="1:15">
      <c r="A935" s="7" t="s">
        <v>1059</v>
      </c>
      <c r="B935" s="8">
        <v>45982</v>
      </c>
      <c r="C935" s="7" t="s">
        <v>15</v>
      </c>
      <c r="D935" s="7" t="s">
        <v>43</v>
      </c>
      <c r="E935" s="7" t="s">
        <v>17</v>
      </c>
      <c r="F935" s="7" t="s">
        <v>114</v>
      </c>
      <c r="G935" s="7" t="s">
        <v>32</v>
      </c>
      <c r="H935">
        <v>1</v>
      </c>
      <c r="I935">
        <v>54016.27</v>
      </c>
      <c r="J935">
        <v>0</v>
      </c>
      <c r="K935">
        <v>54016.27</v>
      </c>
      <c r="L935">
        <v>37917.620000000003</v>
      </c>
      <c r="M935">
        <v>16098.65</v>
      </c>
      <c r="N935" s="7" t="s">
        <v>59</v>
      </c>
      <c r="O935" s="9">
        <f>IFERROR(RawSalesTable_[[#This Row],[Profit]]/RawSalesTable_[[#This Row],[Revenue]],0)</f>
        <v>0.29803335180307711</v>
      </c>
    </row>
    <row r="936" spans="1:15">
      <c r="A936" s="7" t="s">
        <v>1060</v>
      </c>
      <c r="B936" s="8">
        <v>45851</v>
      </c>
      <c r="C936" s="7" t="s">
        <v>22</v>
      </c>
      <c r="D936" s="7" t="s">
        <v>37</v>
      </c>
      <c r="E936" s="7" t="s">
        <v>44</v>
      </c>
      <c r="F936" s="7" t="s">
        <v>69</v>
      </c>
      <c r="G936" s="7" t="s">
        <v>58</v>
      </c>
      <c r="H936">
        <v>4</v>
      </c>
      <c r="I936">
        <v>38215.339999999997</v>
      </c>
      <c r="J936">
        <v>0</v>
      </c>
      <c r="K936">
        <v>152861.35999999999</v>
      </c>
      <c r="L936">
        <v>106167.56</v>
      </c>
      <c r="M936">
        <v>46693.8</v>
      </c>
      <c r="N936" s="7" t="s">
        <v>33</v>
      </c>
      <c r="O936" s="9">
        <f>IFERROR(RawSalesTable_[[#This Row],[Profit]]/RawSalesTable_[[#This Row],[Revenue]],0)</f>
        <v>0.30546503053485857</v>
      </c>
    </row>
    <row r="937" spans="1:15">
      <c r="A937" s="7" t="s">
        <v>1062</v>
      </c>
      <c r="B937" s="8">
        <v>45909</v>
      </c>
      <c r="C937" s="7" t="s">
        <v>22</v>
      </c>
      <c r="D937" s="7" t="s">
        <v>23</v>
      </c>
      <c r="E937" s="7" t="s">
        <v>17</v>
      </c>
      <c r="F937" s="7" t="s">
        <v>114</v>
      </c>
      <c r="G937" s="7" t="s">
        <v>64</v>
      </c>
      <c r="H937">
        <v>6</v>
      </c>
      <c r="I937">
        <v>55433.82</v>
      </c>
      <c r="J937">
        <v>0</v>
      </c>
      <c r="K937">
        <v>332602.92</v>
      </c>
      <c r="L937">
        <v>218420.97</v>
      </c>
      <c r="M937">
        <v>114181.95</v>
      </c>
      <c r="N937" s="7" t="s">
        <v>20</v>
      </c>
      <c r="O937" s="9">
        <f>IFERROR(RawSalesTable_[[#This Row],[Profit]]/RawSalesTable_[[#This Row],[Revenue]],0)</f>
        <v>0.34329809852541282</v>
      </c>
    </row>
    <row r="938" spans="1:15">
      <c r="A938" s="7" t="s">
        <v>1063</v>
      </c>
      <c r="B938" s="8">
        <v>45888</v>
      </c>
      <c r="C938" s="7" t="s">
        <v>22</v>
      </c>
      <c r="D938" s="7" t="s">
        <v>35</v>
      </c>
      <c r="E938" s="7" t="s">
        <v>17</v>
      </c>
      <c r="F938" s="7" t="s">
        <v>24</v>
      </c>
      <c r="G938" s="7" t="s">
        <v>61</v>
      </c>
      <c r="H938">
        <v>7</v>
      </c>
      <c r="I938">
        <v>90163.74</v>
      </c>
      <c r="J938">
        <v>0.05</v>
      </c>
      <c r="K938">
        <v>599588.87</v>
      </c>
      <c r="L938">
        <v>482829.95</v>
      </c>
      <c r="M938">
        <v>116758.92</v>
      </c>
      <c r="N938" s="7" t="s">
        <v>26</v>
      </c>
      <c r="O938" s="9">
        <f>IFERROR(RawSalesTable_[[#This Row],[Profit]]/RawSalesTable_[[#This Row],[Revenue]],0)</f>
        <v>0.19473163336070598</v>
      </c>
    </row>
    <row r="939" spans="1:15">
      <c r="A939" s="7" t="s">
        <v>1064</v>
      </c>
      <c r="B939" s="8">
        <v>45972</v>
      </c>
      <c r="C939" s="7" t="s">
        <v>28</v>
      </c>
      <c r="D939" s="7" t="s">
        <v>52</v>
      </c>
      <c r="E939" s="7" t="s">
        <v>44</v>
      </c>
      <c r="F939" s="7" t="s">
        <v>80</v>
      </c>
      <c r="G939" s="7" t="s">
        <v>64</v>
      </c>
      <c r="H939">
        <v>2</v>
      </c>
      <c r="I939">
        <v>46274.3</v>
      </c>
      <c r="J939">
        <v>0.05</v>
      </c>
      <c r="K939">
        <v>87921.17</v>
      </c>
      <c r="L939">
        <v>62240.17</v>
      </c>
      <c r="M939">
        <v>25681</v>
      </c>
      <c r="N939" s="7" t="s">
        <v>26</v>
      </c>
      <c r="O939" s="9">
        <f>IFERROR(RawSalesTable_[[#This Row],[Profit]]/RawSalesTable_[[#This Row],[Revenue]],0)</f>
        <v>0.29209119942330158</v>
      </c>
    </row>
    <row r="940" spans="1:15">
      <c r="A940" s="7" t="s">
        <v>1065</v>
      </c>
      <c r="B940" s="8">
        <v>45920</v>
      </c>
      <c r="C940" s="7" t="s">
        <v>15</v>
      </c>
      <c r="D940" s="7" t="s">
        <v>43</v>
      </c>
      <c r="E940" s="7" t="s">
        <v>30</v>
      </c>
      <c r="F940" s="7" t="s">
        <v>31</v>
      </c>
      <c r="G940" s="7" t="s">
        <v>61</v>
      </c>
      <c r="H940">
        <v>4</v>
      </c>
      <c r="I940">
        <v>137291.99</v>
      </c>
      <c r="J940">
        <v>0.1</v>
      </c>
      <c r="K940">
        <v>494251.16</v>
      </c>
      <c r="L940">
        <v>392531.52</v>
      </c>
      <c r="M940">
        <v>101719.64</v>
      </c>
      <c r="N940" s="7" t="s">
        <v>26</v>
      </c>
      <c r="O940" s="9">
        <f>IFERROR(RawSalesTable_[[#This Row],[Profit]]/RawSalesTable_[[#This Row],[Revenue]],0)</f>
        <v>0.20580556654636886</v>
      </c>
    </row>
    <row r="941" spans="1:15">
      <c r="A941" s="7" t="s">
        <v>1066</v>
      </c>
      <c r="B941" s="8">
        <v>45722</v>
      </c>
      <c r="C941" s="7" t="s">
        <v>28</v>
      </c>
      <c r="D941" s="7" t="s">
        <v>52</v>
      </c>
      <c r="E941" s="7" t="s">
        <v>44</v>
      </c>
      <c r="F941" s="7" t="s">
        <v>80</v>
      </c>
      <c r="G941" s="7" t="s">
        <v>58</v>
      </c>
      <c r="H941">
        <v>6</v>
      </c>
      <c r="I941">
        <v>40513.33</v>
      </c>
      <c r="J941">
        <v>0</v>
      </c>
      <c r="K941">
        <v>243079.98</v>
      </c>
      <c r="L941">
        <v>189895.23</v>
      </c>
      <c r="M941">
        <v>53184.75</v>
      </c>
      <c r="N941" s="7" t="s">
        <v>59</v>
      </c>
      <c r="O941" s="9">
        <f>IFERROR(RawSalesTable_[[#This Row],[Profit]]/RawSalesTable_[[#This Row],[Revenue]],0)</f>
        <v>0.21879527059365397</v>
      </c>
    </row>
    <row r="942" spans="1:15">
      <c r="A942" s="7" t="s">
        <v>1067</v>
      </c>
      <c r="B942" s="8">
        <v>45862</v>
      </c>
      <c r="C942" s="7" t="s">
        <v>28</v>
      </c>
      <c r="D942" s="7" t="s">
        <v>52</v>
      </c>
      <c r="E942" s="7" t="s">
        <v>17</v>
      </c>
      <c r="F942" s="7" t="s">
        <v>18</v>
      </c>
      <c r="G942" s="7" t="s">
        <v>47</v>
      </c>
      <c r="H942">
        <v>5</v>
      </c>
      <c r="I942">
        <v>14423.54</v>
      </c>
      <c r="J942">
        <v>0.05</v>
      </c>
      <c r="K942">
        <v>68511.820000000007</v>
      </c>
      <c r="L942">
        <v>41021.5</v>
      </c>
      <c r="M942">
        <v>27490.32</v>
      </c>
      <c r="N942" s="7" t="s">
        <v>59</v>
      </c>
      <c r="O942" s="9">
        <f>IFERROR(RawSalesTable_[[#This Row],[Profit]]/RawSalesTable_[[#This Row],[Revenue]],0)</f>
        <v>0.4012493026750712</v>
      </c>
    </row>
    <row r="943" spans="1:15">
      <c r="A943" s="7" t="s">
        <v>1068</v>
      </c>
      <c r="B943" s="8">
        <v>45763</v>
      </c>
      <c r="C943" s="7" t="s">
        <v>22</v>
      </c>
      <c r="D943" s="7" t="s">
        <v>23</v>
      </c>
      <c r="E943" s="7" t="s">
        <v>30</v>
      </c>
      <c r="F943" s="7" t="s">
        <v>40</v>
      </c>
      <c r="G943" s="7" t="s">
        <v>70</v>
      </c>
      <c r="H943">
        <v>2</v>
      </c>
      <c r="I943">
        <v>24827.9</v>
      </c>
      <c r="J943">
        <v>0.1</v>
      </c>
      <c r="K943">
        <v>44690.22</v>
      </c>
      <c r="L943">
        <v>31341.23</v>
      </c>
      <c r="M943">
        <v>13348.99</v>
      </c>
      <c r="N943" s="7" t="s">
        <v>20</v>
      </c>
      <c r="O943" s="9">
        <f>IFERROR(RawSalesTable_[[#This Row],[Profit]]/RawSalesTable_[[#This Row],[Revenue]],0)</f>
        <v>0.29870047630107882</v>
      </c>
    </row>
    <row r="944" spans="1:15">
      <c r="A944" s="7" t="s">
        <v>1071</v>
      </c>
      <c r="B944" s="8">
        <v>45929</v>
      </c>
      <c r="C944" s="7" t="s">
        <v>28</v>
      </c>
      <c r="D944" s="7" t="s">
        <v>52</v>
      </c>
      <c r="E944" s="7" t="s">
        <v>17</v>
      </c>
      <c r="F944" s="7" t="s">
        <v>18</v>
      </c>
      <c r="G944" s="7" t="s">
        <v>32</v>
      </c>
      <c r="H944">
        <v>7</v>
      </c>
      <c r="I944">
        <v>14020.86</v>
      </c>
      <c r="J944">
        <v>0.15</v>
      </c>
      <c r="K944">
        <v>83424.12</v>
      </c>
      <c r="L944">
        <v>59496.62</v>
      </c>
      <c r="M944">
        <v>23927.5</v>
      </c>
      <c r="N944" s="7" t="s">
        <v>20</v>
      </c>
      <c r="O944" s="9">
        <f>IFERROR(RawSalesTable_[[#This Row],[Profit]]/RawSalesTable_[[#This Row],[Revenue]],0)</f>
        <v>0.28681752951064993</v>
      </c>
    </row>
    <row r="945" spans="1:15">
      <c r="A945" s="7" t="s">
        <v>1072</v>
      </c>
      <c r="B945" s="8">
        <v>45768</v>
      </c>
      <c r="C945" s="7" t="s">
        <v>22</v>
      </c>
      <c r="D945" s="7" t="s">
        <v>23</v>
      </c>
      <c r="E945" s="7" t="s">
        <v>44</v>
      </c>
      <c r="F945" s="7" t="s">
        <v>69</v>
      </c>
      <c r="G945" s="7" t="s">
        <v>32</v>
      </c>
      <c r="H945">
        <v>7</v>
      </c>
      <c r="I945">
        <v>39768.65</v>
      </c>
      <c r="J945">
        <v>0.05</v>
      </c>
      <c r="K945">
        <v>264461.52</v>
      </c>
      <c r="L945">
        <v>179665.35</v>
      </c>
      <c r="M945">
        <v>84796.17</v>
      </c>
      <c r="N945" s="7" t="s">
        <v>59</v>
      </c>
      <c r="O945" s="9">
        <f>IFERROR(RawSalesTable_[[#This Row],[Profit]]/RawSalesTable_[[#This Row],[Revenue]],0)</f>
        <v>0.32063708171986605</v>
      </c>
    </row>
    <row r="946" spans="1:15">
      <c r="A946" s="7" t="s">
        <v>1073</v>
      </c>
      <c r="B946" s="8">
        <v>45896</v>
      </c>
      <c r="C946" s="7" t="s">
        <v>22</v>
      </c>
      <c r="D946" s="7" t="s">
        <v>35</v>
      </c>
      <c r="E946" s="7" t="s">
        <v>17</v>
      </c>
      <c r="F946" s="7" t="s">
        <v>75</v>
      </c>
      <c r="G946" s="7" t="s">
        <v>32</v>
      </c>
      <c r="H946">
        <v>6</v>
      </c>
      <c r="I946">
        <v>190573.46</v>
      </c>
      <c r="J946">
        <v>0.15</v>
      </c>
      <c r="K946">
        <v>971924.65</v>
      </c>
      <c r="L946">
        <v>846053.77</v>
      </c>
      <c r="M946">
        <v>125870.88</v>
      </c>
      <c r="N946" s="7" t="s">
        <v>26</v>
      </c>
      <c r="O946" s="9">
        <f>IFERROR(RawSalesTable_[[#This Row],[Profit]]/RawSalesTable_[[#This Row],[Revenue]],0)</f>
        <v>0.12950682956749784</v>
      </c>
    </row>
    <row r="947" spans="1:15">
      <c r="A947" s="7" t="s">
        <v>1074</v>
      </c>
      <c r="B947" s="8">
        <v>45969</v>
      </c>
      <c r="C947" s="7" t="s">
        <v>15</v>
      </c>
      <c r="D947" s="7" t="s">
        <v>16</v>
      </c>
      <c r="E947" s="7" t="s">
        <v>49</v>
      </c>
      <c r="F947" s="7" t="s">
        <v>57</v>
      </c>
      <c r="G947" s="7" t="s">
        <v>19</v>
      </c>
      <c r="H947">
        <v>4</v>
      </c>
      <c r="I947">
        <v>11550.16</v>
      </c>
      <c r="J947">
        <v>0</v>
      </c>
      <c r="K947">
        <v>46200.639999999999</v>
      </c>
      <c r="L947">
        <v>26240.94</v>
      </c>
      <c r="M947">
        <v>19959.7</v>
      </c>
      <c r="N947" s="7" t="s">
        <v>20</v>
      </c>
      <c r="O947" s="9">
        <f>IFERROR(RawSalesTable_[[#This Row],[Profit]]/RawSalesTable_[[#This Row],[Revenue]],0)</f>
        <v>0.43202215380566161</v>
      </c>
    </row>
    <row r="948" spans="1:15">
      <c r="A948" s="7" t="s">
        <v>1075</v>
      </c>
      <c r="B948" s="8">
        <v>45798</v>
      </c>
      <c r="C948" s="7" t="s">
        <v>15</v>
      </c>
      <c r="D948" s="7" t="s">
        <v>63</v>
      </c>
      <c r="E948" s="7" t="s">
        <v>30</v>
      </c>
      <c r="F948" s="7" t="s">
        <v>38</v>
      </c>
      <c r="G948" s="7" t="s">
        <v>25</v>
      </c>
      <c r="H948">
        <v>4</v>
      </c>
      <c r="I948">
        <v>25691.57</v>
      </c>
      <c r="J948">
        <v>0.05</v>
      </c>
      <c r="K948">
        <v>97627.97</v>
      </c>
      <c r="L948">
        <v>72353.2</v>
      </c>
      <c r="M948">
        <v>25274.77</v>
      </c>
      <c r="N948" s="7" t="s">
        <v>33</v>
      </c>
      <c r="O948" s="9">
        <f>IFERROR(RawSalesTable_[[#This Row],[Profit]]/RawSalesTable_[[#This Row],[Revenue]],0)</f>
        <v>0.25888861562931198</v>
      </c>
    </row>
    <row r="949" spans="1:15">
      <c r="A949" s="7" t="s">
        <v>1076</v>
      </c>
      <c r="B949" s="8">
        <v>45987</v>
      </c>
      <c r="C949" s="7" t="s">
        <v>22</v>
      </c>
      <c r="D949" s="7" t="s">
        <v>35</v>
      </c>
      <c r="E949" s="7" t="s">
        <v>44</v>
      </c>
      <c r="F949" s="7" t="s">
        <v>69</v>
      </c>
      <c r="G949" s="7" t="s">
        <v>64</v>
      </c>
      <c r="H949">
        <v>7</v>
      </c>
      <c r="I949">
        <v>36397.449999999997</v>
      </c>
      <c r="J949">
        <v>0</v>
      </c>
      <c r="K949">
        <v>254782.15</v>
      </c>
      <c r="L949">
        <v>180171.37</v>
      </c>
      <c r="M949">
        <v>74610.78</v>
      </c>
      <c r="N949" s="7" t="s">
        <v>20</v>
      </c>
      <c r="O949" s="9">
        <f>IFERROR(RawSalesTable_[[#This Row],[Profit]]/RawSalesTable_[[#This Row],[Revenue]],0)</f>
        <v>0.29284147260708804</v>
      </c>
    </row>
    <row r="950" spans="1:15">
      <c r="A950" s="7" t="s">
        <v>1077</v>
      </c>
      <c r="B950" s="8">
        <v>45706</v>
      </c>
      <c r="C950" s="7" t="s">
        <v>28</v>
      </c>
      <c r="D950" s="7" t="s">
        <v>52</v>
      </c>
      <c r="E950" s="7" t="s">
        <v>49</v>
      </c>
      <c r="F950" s="7" t="s">
        <v>91</v>
      </c>
      <c r="G950" s="7" t="s">
        <v>25</v>
      </c>
      <c r="H950">
        <v>1</v>
      </c>
      <c r="I950">
        <v>6330.89</v>
      </c>
      <c r="J950">
        <v>0</v>
      </c>
      <c r="K950">
        <v>6330.89</v>
      </c>
      <c r="L950">
        <v>3509.5</v>
      </c>
      <c r="M950">
        <v>2821.39</v>
      </c>
      <c r="N950" s="7" t="s">
        <v>59</v>
      </c>
      <c r="O950" s="9">
        <f>IFERROR(RawSalesTable_[[#This Row],[Profit]]/RawSalesTable_[[#This Row],[Revenue]],0)</f>
        <v>0.44565456041725565</v>
      </c>
    </row>
    <row r="951" spans="1:15">
      <c r="A951" s="7" t="s">
        <v>1078</v>
      </c>
      <c r="B951" s="8">
        <v>45682</v>
      </c>
      <c r="C951" s="7" t="s">
        <v>28</v>
      </c>
      <c r="D951" s="7" t="s">
        <v>56</v>
      </c>
      <c r="E951" s="7" t="s">
        <v>30</v>
      </c>
      <c r="F951" s="7" t="s">
        <v>40</v>
      </c>
      <c r="G951" s="7" t="s">
        <v>25</v>
      </c>
      <c r="H951">
        <v>2</v>
      </c>
      <c r="I951">
        <v>24721.279999999999</v>
      </c>
      <c r="J951">
        <v>0.05</v>
      </c>
      <c r="K951">
        <v>46970.43</v>
      </c>
      <c r="L951">
        <v>31744.33</v>
      </c>
      <c r="M951">
        <v>15226.1</v>
      </c>
      <c r="N951" s="7" t="s">
        <v>59</v>
      </c>
      <c r="O951" s="9">
        <f>IFERROR(RawSalesTable_[[#This Row],[Profit]]/RawSalesTable_[[#This Row],[Revenue]],0)</f>
        <v>0.32416352160284673</v>
      </c>
    </row>
    <row r="952" spans="1:15">
      <c r="A952" s="7" t="s">
        <v>1079</v>
      </c>
      <c r="B952" s="8">
        <v>45682</v>
      </c>
      <c r="C952" s="7" t="s">
        <v>15</v>
      </c>
      <c r="D952" s="7" t="s">
        <v>63</v>
      </c>
      <c r="E952" s="7" t="s">
        <v>49</v>
      </c>
      <c r="F952" s="7" t="s">
        <v>91</v>
      </c>
      <c r="G952" s="7" t="s">
        <v>64</v>
      </c>
      <c r="H952">
        <v>6</v>
      </c>
      <c r="I952">
        <v>6955.21</v>
      </c>
      <c r="J952">
        <v>0</v>
      </c>
      <c r="K952">
        <v>41731.26</v>
      </c>
      <c r="L952">
        <v>20996.28</v>
      </c>
      <c r="M952">
        <v>20734.98</v>
      </c>
      <c r="N952" s="7" t="s">
        <v>26</v>
      </c>
      <c r="O952" s="9">
        <f>IFERROR(RawSalesTable_[[#This Row],[Profit]]/RawSalesTable_[[#This Row],[Revenue]],0)</f>
        <v>0.49686925340859583</v>
      </c>
    </row>
    <row r="953" spans="1:15">
      <c r="A953" s="7" t="s">
        <v>1080</v>
      </c>
      <c r="B953" s="8">
        <v>45846</v>
      </c>
      <c r="C953" s="7" t="s">
        <v>22</v>
      </c>
      <c r="D953" s="7" t="s">
        <v>35</v>
      </c>
      <c r="E953" s="7" t="s">
        <v>49</v>
      </c>
      <c r="F953" s="7" t="s">
        <v>1590</v>
      </c>
      <c r="G953" s="7" t="s">
        <v>64</v>
      </c>
      <c r="H953">
        <v>3</v>
      </c>
      <c r="I953">
        <v>3923.15</v>
      </c>
      <c r="J953">
        <v>0.15</v>
      </c>
      <c r="K953">
        <v>10004.030000000001</v>
      </c>
      <c r="L953">
        <v>6508.9</v>
      </c>
      <c r="M953">
        <v>3495.13</v>
      </c>
      <c r="N953" s="7" t="s">
        <v>33</v>
      </c>
      <c r="O953" s="9">
        <f>IFERROR(RawSalesTable_[[#This Row],[Profit]]/RawSalesTable_[[#This Row],[Revenue]],0)</f>
        <v>0.34937220300219013</v>
      </c>
    </row>
    <row r="954" spans="1:15">
      <c r="A954" s="7" t="s">
        <v>1081</v>
      </c>
      <c r="B954" s="8">
        <v>45852</v>
      </c>
      <c r="C954" s="7" t="s">
        <v>28</v>
      </c>
      <c r="D954" s="7" t="s">
        <v>52</v>
      </c>
      <c r="E954" s="7" t="s">
        <v>17</v>
      </c>
      <c r="F954" s="7" t="s">
        <v>75</v>
      </c>
      <c r="G954" s="7" t="s">
        <v>58</v>
      </c>
      <c r="H954">
        <v>5</v>
      </c>
      <c r="I954">
        <v>172421.25</v>
      </c>
      <c r="J954">
        <v>0.05</v>
      </c>
      <c r="K954">
        <v>819000.94</v>
      </c>
      <c r="L954">
        <v>722889.7</v>
      </c>
      <c r="M954">
        <v>96111.24</v>
      </c>
      <c r="N954" s="7" t="s">
        <v>26</v>
      </c>
      <c r="O954" s="9">
        <f>IFERROR(RawSalesTable_[[#This Row],[Profit]]/RawSalesTable_[[#This Row],[Revenue]],0)</f>
        <v>0.11735180670244409</v>
      </c>
    </row>
    <row r="955" spans="1:15">
      <c r="A955" s="7" t="s">
        <v>1082</v>
      </c>
      <c r="B955" s="8">
        <v>45869</v>
      </c>
      <c r="C955" s="7" t="s">
        <v>22</v>
      </c>
      <c r="D955" s="7" t="s">
        <v>37</v>
      </c>
      <c r="E955" s="7" t="s">
        <v>49</v>
      </c>
      <c r="F955" s="7" t="s">
        <v>91</v>
      </c>
      <c r="G955" s="7" t="s">
        <v>70</v>
      </c>
      <c r="H955">
        <v>3</v>
      </c>
      <c r="I955">
        <v>6312.11</v>
      </c>
      <c r="J955">
        <v>0</v>
      </c>
      <c r="K955">
        <v>18936.330000000002</v>
      </c>
      <c r="L955">
        <v>11045.29</v>
      </c>
      <c r="M955">
        <v>7891.04</v>
      </c>
      <c r="N955" s="7" t="s">
        <v>33</v>
      </c>
      <c r="O955" s="9">
        <f>IFERROR(RawSalesTable_[[#This Row],[Profit]]/RawSalesTable_[[#This Row],[Revenue]],0)</f>
        <v>0.4167143263768639</v>
      </c>
    </row>
    <row r="956" spans="1:15">
      <c r="A956" s="7" t="s">
        <v>1083</v>
      </c>
      <c r="B956" s="8">
        <v>45905</v>
      </c>
      <c r="C956" s="7" t="s">
        <v>15</v>
      </c>
      <c r="D956" s="7" t="s">
        <v>43</v>
      </c>
      <c r="E956" s="7" t="s">
        <v>44</v>
      </c>
      <c r="F956" s="7" t="s">
        <v>53</v>
      </c>
      <c r="G956" s="7" t="s">
        <v>47</v>
      </c>
      <c r="H956">
        <v>8</v>
      </c>
      <c r="I956">
        <v>9147.84</v>
      </c>
      <c r="J956">
        <v>0.05</v>
      </c>
      <c r="K956">
        <v>69523.58</v>
      </c>
      <c r="L956">
        <v>40144.14</v>
      </c>
      <c r="M956">
        <v>29379.439999999999</v>
      </c>
      <c r="N956" s="7" t="s">
        <v>33</v>
      </c>
      <c r="O956" s="9">
        <f>IFERROR(RawSalesTable_[[#This Row],[Profit]]/RawSalesTable_[[#This Row],[Revenue]],0)</f>
        <v>0.42258238140210841</v>
      </c>
    </row>
    <row r="957" spans="1:15">
      <c r="A957" s="7" t="s">
        <v>1084</v>
      </c>
      <c r="B957" s="8">
        <v>46013</v>
      </c>
      <c r="C957" s="7" t="s">
        <v>28</v>
      </c>
      <c r="D957" s="7" t="s">
        <v>56</v>
      </c>
      <c r="E957" s="7" t="s">
        <v>17</v>
      </c>
      <c r="F957" s="7" t="s">
        <v>18</v>
      </c>
      <c r="G957" s="7" t="s">
        <v>19</v>
      </c>
      <c r="H957">
        <v>4</v>
      </c>
      <c r="I957">
        <v>14870</v>
      </c>
      <c r="J957">
        <v>0.15</v>
      </c>
      <c r="K957">
        <v>50558</v>
      </c>
      <c r="L957">
        <v>33781.06</v>
      </c>
      <c r="M957">
        <v>16776.939999999999</v>
      </c>
      <c r="N957" s="7" t="s">
        <v>33</v>
      </c>
      <c r="O957" s="9">
        <f>IFERROR(RawSalesTable_[[#This Row],[Profit]]/RawSalesTable_[[#This Row],[Revenue]],0)</f>
        <v>0.33183551564539732</v>
      </c>
    </row>
    <row r="958" spans="1:15">
      <c r="A958" s="7" t="s">
        <v>1085</v>
      </c>
      <c r="B958" s="8">
        <v>45711</v>
      </c>
      <c r="C958" s="7" t="s">
        <v>28</v>
      </c>
      <c r="D958" s="7" t="s">
        <v>52</v>
      </c>
      <c r="E958" s="7" t="s">
        <v>44</v>
      </c>
      <c r="F958" s="7" t="s">
        <v>80</v>
      </c>
      <c r="G958" s="7" t="s">
        <v>32</v>
      </c>
      <c r="H958">
        <v>4</v>
      </c>
      <c r="I958">
        <v>42780.87</v>
      </c>
      <c r="J958">
        <v>0.05</v>
      </c>
      <c r="K958">
        <v>162567.31</v>
      </c>
      <c r="L958">
        <v>121911.12</v>
      </c>
      <c r="M958">
        <v>40656.19</v>
      </c>
      <c r="N958" s="7" t="s">
        <v>26</v>
      </c>
      <c r="O958" s="9">
        <f>IFERROR(RawSalesTable_[[#This Row],[Profit]]/RawSalesTable_[[#This Row],[Revenue]],0)</f>
        <v>0.25008834802027541</v>
      </c>
    </row>
    <row r="959" spans="1:15">
      <c r="A959" s="7" t="s">
        <v>1086</v>
      </c>
      <c r="B959" s="8">
        <v>45724</v>
      </c>
      <c r="C959" s="7" t="s">
        <v>15</v>
      </c>
      <c r="D959" s="7" t="s">
        <v>43</v>
      </c>
      <c r="E959" s="7" t="s">
        <v>30</v>
      </c>
      <c r="F959" s="7" t="s">
        <v>38</v>
      </c>
      <c r="G959" s="7" t="s">
        <v>47</v>
      </c>
      <c r="H959">
        <v>8</v>
      </c>
      <c r="I959">
        <v>27670.85</v>
      </c>
      <c r="J959">
        <v>0.1</v>
      </c>
      <c r="K959">
        <v>199230.12</v>
      </c>
      <c r="L959">
        <v>140745.06</v>
      </c>
      <c r="M959">
        <v>58485.06</v>
      </c>
      <c r="N959" s="7" t="s">
        <v>59</v>
      </c>
      <c r="O959" s="9">
        <f>IFERROR(RawSalesTable_[[#This Row],[Profit]]/RawSalesTable_[[#This Row],[Revenue]],0)</f>
        <v>0.29355531181730954</v>
      </c>
    </row>
    <row r="960" spans="1:15">
      <c r="A960" s="7" t="s">
        <v>1087</v>
      </c>
      <c r="B960" s="8">
        <v>45815</v>
      </c>
      <c r="C960" s="7" t="s">
        <v>28</v>
      </c>
      <c r="D960" s="7" t="s">
        <v>56</v>
      </c>
      <c r="E960" s="7" t="s">
        <v>44</v>
      </c>
      <c r="F960" s="7" t="s">
        <v>53</v>
      </c>
      <c r="G960" s="7" t="s">
        <v>19</v>
      </c>
      <c r="H960">
        <v>4</v>
      </c>
      <c r="I960">
        <v>7913.35</v>
      </c>
      <c r="J960">
        <v>0.05</v>
      </c>
      <c r="K960">
        <v>30070.73</v>
      </c>
      <c r="L960">
        <v>19237.28</v>
      </c>
      <c r="M960">
        <v>10833.45</v>
      </c>
      <c r="N960" s="7" t="s">
        <v>26</v>
      </c>
      <c r="O960" s="9">
        <f>IFERROR(RawSalesTable_[[#This Row],[Profit]]/RawSalesTable_[[#This Row],[Revenue]],0)</f>
        <v>0.36026561377126531</v>
      </c>
    </row>
    <row r="961" spans="1:15">
      <c r="A961" s="7" t="s">
        <v>1088</v>
      </c>
      <c r="B961" s="8">
        <v>45901</v>
      </c>
      <c r="C961" s="7" t="s">
        <v>28</v>
      </c>
      <c r="D961" s="7" t="s">
        <v>52</v>
      </c>
      <c r="E961" s="7" t="s">
        <v>17</v>
      </c>
      <c r="F961" s="7" t="s">
        <v>24</v>
      </c>
      <c r="G961" s="7" t="s">
        <v>70</v>
      </c>
      <c r="H961">
        <v>1</v>
      </c>
      <c r="I961">
        <v>97801.12</v>
      </c>
      <c r="J961">
        <v>0</v>
      </c>
      <c r="K961">
        <v>97801.12</v>
      </c>
      <c r="L961">
        <v>67229.759999999995</v>
      </c>
      <c r="M961">
        <v>30571.360000000001</v>
      </c>
      <c r="N961" s="7" t="s">
        <v>59</v>
      </c>
      <c r="O961" s="9">
        <f>IFERROR(RawSalesTable_[[#This Row],[Profit]]/RawSalesTable_[[#This Row],[Revenue]],0)</f>
        <v>0.3125870133184569</v>
      </c>
    </row>
    <row r="962" spans="1:15">
      <c r="A962" s="7" t="s">
        <v>1089</v>
      </c>
      <c r="B962" s="8">
        <v>45918</v>
      </c>
      <c r="C962" s="7" t="s">
        <v>28</v>
      </c>
      <c r="D962" s="7" t="s">
        <v>52</v>
      </c>
      <c r="E962" s="7" t="s">
        <v>17</v>
      </c>
      <c r="F962" s="7" t="s">
        <v>18</v>
      </c>
      <c r="G962" s="7" t="s">
        <v>32</v>
      </c>
      <c r="H962">
        <v>7</v>
      </c>
      <c r="I962">
        <v>13831.99</v>
      </c>
      <c r="J962">
        <v>0.05</v>
      </c>
      <c r="K962">
        <v>91982.73</v>
      </c>
      <c r="L962">
        <v>57695.8</v>
      </c>
      <c r="M962">
        <v>34286.93</v>
      </c>
      <c r="N962" s="7" t="s">
        <v>33</v>
      </c>
      <c r="O962" s="9">
        <f>IFERROR(RawSalesTable_[[#This Row],[Profit]]/RawSalesTable_[[#This Row],[Revenue]],0)</f>
        <v>0.37275399414650989</v>
      </c>
    </row>
    <row r="963" spans="1:15">
      <c r="A963" s="7" t="s">
        <v>1090</v>
      </c>
      <c r="B963" s="8">
        <v>45757</v>
      </c>
      <c r="C963" s="7" t="s">
        <v>28</v>
      </c>
      <c r="D963" s="7" t="s">
        <v>56</v>
      </c>
      <c r="E963" s="7" t="s">
        <v>30</v>
      </c>
      <c r="F963" s="7" t="s">
        <v>31</v>
      </c>
      <c r="G963" s="7" t="s">
        <v>58</v>
      </c>
      <c r="H963">
        <v>1</v>
      </c>
      <c r="I963">
        <v>138210.23000000001</v>
      </c>
      <c r="J963">
        <v>0.15</v>
      </c>
      <c r="K963">
        <v>117478.7</v>
      </c>
      <c r="L963">
        <v>104531.1</v>
      </c>
      <c r="M963">
        <v>12947.6</v>
      </c>
      <c r="N963" s="7" t="s">
        <v>26</v>
      </c>
      <c r="O963" s="9">
        <f>IFERROR(RawSalesTable_[[#This Row],[Profit]]/RawSalesTable_[[#This Row],[Revenue]],0)</f>
        <v>0.11021231933959093</v>
      </c>
    </row>
    <row r="964" spans="1:15">
      <c r="A964" s="7" t="s">
        <v>1091</v>
      </c>
      <c r="B964" s="8">
        <v>45714</v>
      </c>
      <c r="C964" s="7" t="s">
        <v>28</v>
      </c>
      <c r="D964" s="7" t="s">
        <v>52</v>
      </c>
      <c r="E964" s="7" t="s">
        <v>30</v>
      </c>
      <c r="F964" s="7" t="s">
        <v>40</v>
      </c>
      <c r="G964" s="7" t="s">
        <v>47</v>
      </c>
      <c r="H964">
        <v>7</v>
      </c>
      <c r="I964">
        <v>22968</v>
      </c>
      <c r="J964">
        <v>0</v>
      </c>
      <c r="K964">
        <v>160776</v>
      </c>
      <c r="L964">
        <v>112286</v>
      </c>
      <c r="M964">
        <v>48490</v>
      </c>
      <c r="N964" s="7" t="s">
        <v>33</v>
      </c>
      <c r="O964" s="9">
        <f>IFERROR(RawSalesTable_[[#This Row],[Profit]]/RawSalesTable_[[#This Row],[Revenue]],0)</f>
        <v>0.30159974125491368</v>
      </c>
    </row>
    <row r="965" spans="1:15">
      <c r="A965" s="7" t="s">
        <v>1092</v>
      </c>
      <c r="B965" s="8">
        <v>45975</v>
      </c>
      <c r="C965" s="7" t="s">
        <v>22</v>
      </c>
      <c r="D965" s="7" t="s">
        <v>23</v>
      </c>
      <c r="E965" s="7" t="s">
        <v>30</v>
      </c>
      <c r="F965" s="7" t="s">
        <v>86</v>
      </c>
      <c r="G965" s="7" t="s">
        <v>25</v>
      </c>
      <c r="H965">
        <v>2</v>
      </c>
      <c r="I965">
        <v>33169.660000000003</v>
      </c>
      <c r="J965">
        <v>0.05</v>
      </c>
      <c r="K965">
        <v>63022.35</v>
      </c>
      <c r="L965">
        <v>44363.360000000001</v>
      </c>
      <c r="M965">
        <v>18658.990000000002</v>
      </c>
      <c r="N965" s="7" t="s">
        <v>20</v>
      </c>
      <c r="O965" s="9">
        <f>IFERROR(RawSalesTable_[[#This Row],[Profit]]/RawSalesTable_[[#This Row],[Revenue]],0)</f>
        <v>0.29606941029650596</v>
      </c>
    </row>
    <row r="966" spans="1:15">
      <c r="A966" s="7" t="s">
        <v>1093</v>
      </c>
      <c r="B966" s="8">
        <v>45805</v>
      </c>
      <c r="C966" s="7" t="s">
        <v>28</v>
      </c>
      <c r="D966" s="7" t="s">
        <v>52</v>
      </c>
      <c r="E966" s="7" t="s">
        <v>44</v>
      </c>
      <c r="F966" s="7" t="s">
        <v>69</v>
      </c>
      <c r="G966" s="7" t="s">
        <v>58</v>
      </c>
      <c r="H966">
        <v>8</v>
      </c>
      <c r="I966">
        <v>36210.69</v>
      </c>
      <c r="J966">
        <v>0</v>
      </c>
      <c r="K966">
        <v>289685.52</v>
      </c>
      <c r="L966">
        <v>206821.54</v>
      </c>
      <c r="M966">
        <v>82863.98</v>
      </c>
      <c r="N966" s="7" t="s">
        <v>33</v>
      </c>
      <c r="O966" s="9">
        <f>IFERROR(RawSalesTable_[[#This Row],[Profit]]/RawSalesTable_[[#This Row],[Revenue]],0)</f>
        <v>0.28604805652695375</v>
      </c>
    </row>
    <row r="967" spans="1:15">
      <c r="A967" s="7" t="s">
        <v>1094</v>
      </c>
      <c r="B967" s="8">
        <v>45753</v>
      </c>
      <c r="C967" s="7" t="s">
        <v>22</v>
      </c>
      <c r="D967" s="7" t="s">
        <v>23</v>
      </c>
      <c r="E967" s="7" t="s">
        <v>49</v>
      </c>
      <c r="F967" s="7" t="s">
        <v>57</v>
      </c>
      <c r="G967" s="7" t="s">
        <v>32</v>
      </c>
      <c r="H967">
        <v>4</v>
      </c>
      <c r="I967">
        <v>10893.23</v>
      </c>
      <c r="J967">
        <v>0.15</v>
      </c>
      <c r="K967">
        <v>37036.980000000003</v>
      </c>
      <c r="L967">
        <v>25346.41</v>
      </c>
      <c r="M967">
        <v>11690.57</v>
      </c>
      <c r="N967" s="7" t="s">
        <v>20</v>
      </c>
      <c r="O967" s="9">
        <f>IFERROR(RawSalesTable_[[#This Row],[Profit]]/RawSalesTable_[[#This Row],[Revenue]],0)</f>
        <v>0.31564587609464917</v>
      </c>
    </row>
    <row r="968" spans="1:15">
      <c r="A968" s="7" t="s">
        <v>1095</v>
      </c>
      <c r="B968" s="8">
        <v>45745</v>
      </c>
      <c r="C968" s="7" t="s">
        <v>22</v>
      </c>
      <c r="D968" s="7" t="s">
        <v>23</v>
      </c>
      <c r="E968" s="7" t="s">
        <v>49</v>
      </c>
      <c r="F968" s="7" t="s">
        <v>107</v>
      </c>
      <c r="G968" s="7" t="s">
        <v>64</v>
      </c>
      <c r="H968">
        <v>6</v>
      </c>
      <c r="I968">
        <v>4801.33</v>
      </c>
      <c r="J968">
        <v>0.05</v>
      </c>
      <c r="K968">
        <v>27367.58</v>
      </c>
      <c r="L968">
        <v>16713.349999999999</v>
      </c>
      <c r="M968">
        <v>10654.23</v>
      </c>
      <c r="N968" s="7" t="s">
        <v>59</v>
      </c>
      <c r="O968" s="9">
        <f>IFERROR(RawSalesTable_[[#This Row],[Profit]]/RawSalesTable_[[#This Row],[Revenue]],0)</f>
        <v>0.38930113660031318</v>
      </c>
    </row>
    <row r="969" spans="1:15">
      <c r="A969" s="7" t="s">
        <v>1096</v>
      </c>
      <c r="B969" s="8">
        <v>45948</v>
      </c>
      <c r="C969" s="7" t="s">
        <v>28</v>
      </c>
      <c r="D969" s="7" t="s">
        <v>29</v>
      </c>
      <c r="E969" s="7" t="s">
        <v>17</v>
      </c>
      <c r="F969" s="7" t="s">
        <v>114</v>
      </c>
      <c r="G969" s="7" t="s">
        <v>58</v>
      </c>
      <c r="H969">
        <v>4</v>
      </c>
      <c r="I969">
        <v>51771.77</v>
      </c>
      <c r="J969">
        <v>0</v>
      </c>
      <c r="K969">
        <v>207087.08</v>
      </c>
      <c r="L969">
        <v>149989.43</v>
      </c>
      <c r="M969">
        <v>57097.65</v>
      </c>
      <c r="N969" s="7" t="s">
        <v>26</v>
      </c>
      <c r="O969" s="9">
        <f>IFERROR(RawSalesTable_[[#This Row],[Profit]]/RawSalesTable_[[#This Row],[Revenue]],0)</f>
        <v>0.27571806990566483</v>
      </c>
    </row>
    <row r="970" spans="1:15">
      <c r="A970" s="7" t="s">
        <v>1097</v>
      </c>
      <c r="B970" s="8">
        <v>45909</v>
      </c>
      <c r="C970" s="7" t="s">
        <v>15</v>
      </c>
      <c r="D970" s="7" t="s">
        <v>43</v>
      </c>
      <c r="E970" s="7" t="s">
        <v>44</v>
      </c>
      <c r="F970" s="7" t="s">
        <v>45</v>
      </c>
      <c r="G970" s="7" t="s">
        <v>32</v>
      </c>
      <c r="H970">
        <v>2</v>
      </c>
      <c r="I970">
        <v>26675.97</v>
      </c>
      <c r="J970">
        <v>0.15</v>
      </c>
      <c r="K970">
        <v>45349.15</v>
      </c>
      <c r="L970">
        <v>37752.9</v>
      </c>
      <c r="M970">
        <v>7596.25</v>
      </c>
      <c r="N970" s="7" t="s">
        <v>59</v>
      </c>
      <c r="O970" s="9">
        <f>IFERROR(RawSalesTable_[[#This Row],[Profit]]/RawSalesTable_[[#This Row],[Revenue]],0)</f>
        <v>0.16750589592087173</v>
      </c>
    </row>
    <row r="971" spans="1:15">
      <c r="A971" s="7" t="s">
        <v>1098</v>
      </c>
      <c r="B971" s="8">
        <v>45828</v>
      </c>
      <c r="C971" s="7" t="s">
        <v>15</v>
      </c>
      <c r="D971" s="7" t="s">
        <v>63</v>
      </c>
      <c r="E971" s="7" t="s">
        <v>30</v>
      </c>
      <c r="F971" s="7" t="s">
        <v>38</v>
      </c>
      <c r="G971" s="7" t="s">
        <v>70</v>
      </c>
      <c r="H971">
        <v>8</v>
      </c>
      <c r="I971">
        <v>24898.58</v>
      </c>
      <c r="J971">
        <v>0.05</v>
      </c>
      <c r="K971">
        <v>189229.21</v>
      </c>
      <c r="L971">
        <v>142715.43</v>
      </c>
      <c r="M971">
        <v>46513.78</v>
      </c>
      <c r="N971" s="7" t="s">
        <v>33</v>
      </c>
      <c r="O971" s="9">
        <f>IFERROR(RawSalesTable_[[#This Row],[Profit]]/RawSalesTable_[[#This Row],[Revenue]],0)</f>
        <v>0.24580655386131983</v>
      </c>
    </row>
    <row r="972" spans="1:15">
      <c r="A972" s="7" t="s">
        <v>1099</v>
      </c>
      <c r="B972" s="8">
        <v>45840</v>
      </c>
      <c r="C972" s="7" t="s">
        <v>28</v>
      </c>
      <c r="D972" s="7" t="s">
        <v>29</v>
      </c>
      <c r="E972" s="7" t="s">
        <v>17</v>
      </c>
      <c r="F972" s="7" t="s">
        <v>24</v>
      </c>
      <c r="G972" s="7" t="s">
        <v>70</v>
      </c>
      <c r="H972">
        <v>7</v>
      </c>
      <c r="I972">
        <v>97244.23</v>
      </c>
      <c r="J972">
        <v>0.15</v>
      </c>
      <c r="K972">
        <v>578603.17000000004</v>
      </c>
      <c r="L972">
        <v>494842.98</v>
      </c>
      <c r="M972">
        <v>83760.19</v>
      </c>
      <c r="N972" s="7" t="s">
        <v>33</v>
      </c>
      <c r="O972" s="9">
        <f>IFERROR(RawSalesTable_[[#This Row],[Profit]]/RawSalesTable_[[#This Row],[Revenue]],0)</f>
        <v>0.14476275683038514</v>
      </c>
    </row>
    <row r="973" spans="1:15">
      <c r="A973" s="7" t="s">
        <v>1100</v>
      </c>
      <c r="B973" s="8">
        <v>45851</v>
      </c>
      <c r="C973" s="7" t="s">
        <v>22</v>
      </c>
      <c r="D973" s="7" t="s">
        <v>37</v>
      </c>
      <c r="E973" s="7" t="s">
        <v>49</v>
      </c>
      <c r="F973" s="7" t="s">
        <v>57</v>
      </c>
      <c r="G973" s="7" t="s">
        <v>19</v>
      </c>
      <c r="H973">
        <v>4</v>
      </c>
      <c r="I973">
        <v>11949.63</v>
      </c>
      <c r="J973">
        <v>0</v>
      </c>
      <c r="K973">
        <v>47798.52</v>
      </c>
      <c r="L973">
        <v>26895.58</v>
      </c>
      <c r="M973">
        <v>20902.939999999999</v>
      </c>
      <c r="N973" s="7" t="s">
        <v>59</v>
      </c>
      <c r="O973" s="9">
        <f>IFERROR(RawSalesTable_[[#This Row],[Profit]]/RawSalesTable_[[#This Row],[Revenue]],0)</f>
        <v>0.43731354025187391</v>
      </c>
    </row>
    <row r="974" spans="1:15">
      <c r="A974" s="7" t="s">
        <v>1101</v>
      </c>
      <c r="B974" s="8">
        <v>45858</v>
      </c>
      <c r="C974" s="7" t="s">
        <v>15</v>
      </c>
      <c r="D974" s="7" t="s">
        <v>43</v>
      </c>
      <c r="E974" s="7" t="s">
        <v>49</v>
      </c>
      <c r="F974" s="7" t="s">
        <v>1590</v>
      </c>
      <c r="G974" s="7" t="s">
        <v>25</v>
      </c>
      <c r="H974">
        <v>5</v>
      </c>
      <c r="I974">
        <v>4475.74</v>
      </c>
      <c r="J974">
        <v>0.05</v>
      </c>
      <c r="K974">
        <v>21259.759999999998</v>
      </c>
      <c r="L974">
        <v>10837.68</v>
      </c>
      <c r="M974">
        <v>10422.08</v>
      </c>
      <c r="N974" s="7" t="s">
        <v>59</v>
      </c>
      <c r="O974" s="9">
        <f>IFERROR(RawSalesTable_[[#This Row],[Profit]]/RawSalesTable_[[#This Row],[Revenue]],0)</f>
        <v>0.49022566576480642</v>
      </c>
    </row>
    <row r="975" spans="1:15">
      <c r="A975" s="7" t="s">
        <v>1102</v>
      </c>
      <c r="B975" s="8">
        <v>45835</v>
      </c>
      <c r="C975" s="7" t="s">
        <v>28</v>
      </c>
      <c r="D975" s="7" t="s">
        <v>52</v>
      </c>
      <c r="E975" s="7" t="s">
        <v>17</v>
      </c>
      <c r="F975" s="7" t="s">
        <v>18</v>
      </c>
      <c r="G975" s="7" t="s">
        <v>58</v>
      </c>
      <c r="H975">
        <v>2</v>
      </c>
      <c r="I975">
        <v>14345.63</v>
      </c>
      <c r="J975">
        <v>0.05</v>
      </c>
      <c r="K975">
        <v>27256.7</v>
      </c>
      <c r="L975">
        <v>16558.53</v>
      </c>
      <c r="M975">
        <v>10698.17</v>
      </c>
      <c r="N975" s="7" t="s">
        <v>33</v>
      </c>
      <c r="O975" s="9">
        <f>IFERROR(RawSalesTable_[[#This Row],[Profit]]/RawSalesTable_[[#This Row],[Revenue]],0)</f>
        <v>0.39249689067275201</v>
      </c>
    </row>
    <row r="976" spans="1:15">
      <c r="A976" s="7" t="s">
        <v>1103</v>
      </c>
      <c r="B976" s="8">
        <v>45998</v>
      </c>
      <c r="C976" s="7" t="s">
        <v>22</v>
      </c>
      <c r="D976" s="7" t="s">
        <v>35</v>
      </c>
      <c r="E976" s="7" t="s">
        <v>44</v>
      </c>
      <c r="F976" s="7" t="s">
        <v>53</v>
      </c>
      <c r="G976" s="7" t="s">
        <v>61</v>
      </c>
      <c r="H976">
        <v>3</v>
      </c>
      <c r="I976">
        <v>8531.5300000000007</v>
      </c>
      <c r="J976">
        <v>0.05</v>
      </c>
      <c r="K976">
        <v>24314.86</v>
      </c>
      <c r="L976">
        <v>14900.89</v>
      </c>
      <c r="M976">
        <v>9413.9699999999993</v>
      </c>
      <c r="N976" s="7" t="s">
        <v>59</v>
      </c>
      <c r="O976" s="9">
        <f>IFERROR(RawSalesTable_[[#This Row],[Profit]]/RawSalesTable_[[#This Row],[Revenue]],0)</f>
        <v>0.38716940998220839</v>
      </c>
    </row>
    <row r="977" spans="1:15">
      <c r="A977" s="7" t="s">
        <v>1104</v>
      </c>
      <c r="B977" s="8">
        <v>45961</v>
      </c>
      <c r="C977" s="7" t="s">
        <v>28</v>
      </c>
      <c r="D977" s="7" t="s">
        <v>56</v>
      </c>
      <c r="E977" s="7" t="s">
        <v>17</v>
      </c>
      <c r="F977" s="7" t="s">
        <v>18</v>
      </c>
      <c r="G977" s="7" t="s">
        <v>19</v>
      </c>
      <c r="H977">
        <v>1</v>
      </c>
      <c r="I977">
        <v>14392.95</v>
      </c>
      <c r="J977">
        <v>0</v>
      </c>
      <c r="K977">
        <v>14392.95</v>
      </c>
      <c r="L977">
        <v>8116.45</v>
      </c>
      <c r="M977">
        <v>6276.5</v>
      </c>
      <c r="N977" s="7" t="s">
        <v>33</v>
      </c>
      <c r="O977" s="9">
        <f>IFERROR(RawSalesTable_[[#This Row],[Profit]]/RawSalesTable_[[#This Row],[Revenue]],0)</f>
        <v>0.43608155381627811</v>
      </c>
    </row>
    <row r="978" spans="1:15">
      <c r="A978" s="7" t="s">
        <v>1105</v>
      </c>
      <c r="B978" s="8">
        <v>45728</v>
      </c>
      <c r="C978" s="7" t="s">
        <v>28</v>
      </c>
      <c r="D978" s="7" t="s">
        <v>56</v>
      </c>
      <c r="E978" s="7" t="s">
        <v>17</v>
      </c>
      <c r="F978" s="7" t="s">
        <v>114</v>
      </c>
      <c r="G978" s="7" t="s">
        <v>32</v>
      </c>
      <c r="H978">
        <v>6</v>
      </c>
      <c r="I978">
        <v>53333.31</v>
      </c>
      <c r="J978">
        <v>0</v>
      </c>
      <c r="K978">
        <v>319999.86</v>
      </c>
      <c r="L978">
        <v>213195</v>
      </c>
      <c r="M978">
        <v>106804.86</v>
      </c>
      <c r="N978" s="7" t="s">
        <v>59</v>
      </c>
      <c r="O978" s="9">
        <f>IFERROR(RawSalesTable_[[#This Row],[Profit]]/RawSalesTable_[[#This Row],[Revenue]],0)</f>
        <v>0.33376533352233345</v>
      </c>
    </row>
    <row r="979" spans="1:15">
      <c r="A979" s="7" t="s">
        <v>1106</v>
      </c>
      <c r="B979" s="8">
        <v>45957</v>
      </c>
      <c r="C979" s="7" t="s">
        <v>15</v>
      </c>
      <c r="D979" s="7" t="s">
        <v>43</v>
      </c>
      <c r="E979" s="7" t="s">
        <v>44</v>
      </c>
      <c r="F979" s="7" t="s">
        <v>80</v>
      </c>
      <c r="G979" s="7" t="s">
        <v>19</v>
      </c>
      <c r="H979">
        <v>5</v>
      </c>
      <c r="I979">
        <v>40541.39</v>
      </c>
      <c r="J979">
        <v>0.15</v>
      </c>
      <c r="K979">
        <v>172300.91</v>
      </c>
      <c r="L979">
        <v>152484.49</v>
      </c>
      <c r="M979">
        <v>19816.419999999998</v>
      </c>
      <c r="N979" s="7" t="s">
        <v>59</v>
      </c>
      <c r="O979" s="9">
        <f>IFERROR(RawSalesTable_[[#This Row],[Profit]]/RawSalesTable_[[#This Row],[Revenue]],0)</f>
        <v>0.11501053592810391</v>
      </c>
    </row>
    <row r="980" spans="1:15">
      <c r="A980" s="7" t="s">
        <v>1107</v>
      </c>
      <c r="B980" s="8">
        <v>45862</v>
      </c>
      <c r="C980" s="7" t="s">
        <v>22</v>
      </c>
      <c r="D980" s="7" t="s">
        <v>23</v>
      </c>
      <c r="E980" s="7" t="s">
        <v>49</v>
      </c>
      <c r="F980" s="7" t="s">
        <v>57</v>
      </c>
      <c r="G980" s="7" t="s">
        <v>19</v>
      </c>
      <c r="H980">
        <v>4</v>
      </c>
      <c r="I980">
        <v>12073.54</v>
      </c>
      <c r="J980">
        <v>0.15</v>
      </c>
      <c r="K980">
        <v>41050.04</v>
      </c>
      <c r="L980">
        <v>25922.959999999999</v>
      </c>
      <c r="M980">
        <v>15127.08</v>
      </c>
      <c r="N980" s="7" t="s">
        <v>59</v>
      </c>
      <c r="O980" s="9">
        <f>IFERROR(RawSalesTable_[[#This Row],[Profit]]/RawSalesTable_[[#This Row],[Revenue]],0)</f>
        <v>0.36850341680544035</v>
      </c>
    </row>
    <row r="981" spans="1:15">
      <c r="A981" s="7" t="s">
        <v>1108</v>
      </c>
      <c r="B981" s="8">
        <v>45729</v>
      </c>
      <c r="C981" s="7" t="s">
        <v>28</v>
      </c>
      <c r="D981" s="7" t="s">
        <v>29</v>
      </c>
      <c r="E981" s="7" t="s">
        <v>30</v>
      </c>
      <c r="F981" s="7" t="s">
        <v>86</v>
      </c>
      <c r="G981" s="7" t="s">
        <v>47</v>
      </c>
      <c r="H981">
        <v>7</v>
      </c>
      <c r="I981">
        <v>33944.71</v>
      </c>
      <c r="J981">
        <v>0.05</v>
      </c>
      <c r="K981">
        <v>225732.32</v>
      </c>
      <c r="L981">
        <v>161643.29</v>
      </c>
      <c r="M981">
        <v>64089.03</v>
      </c>
      <c r="N981" s="7" t="s">
        <v>59</v>
      </c>
      <c r="O981" s="9">
        <f>IFERROR(RawSalesTable_[[#This Row],[Profit]]/RawSalesTable_[[#This Row],[Revenue]],0)</f>
        <v>0.28391605597284431</v>
      </c>
    </row>
    <row r="982" spans="1:15">
      <c r="A982" s="7" t="s">
        <v>1109</v>
      </c>
      <c r="B982" s="8">
        <v>45894</v>
      </c>
      <c r="C982" s="7" t="s">
        <v>22</v>
      </c>
      <c r="D982" s="7" t="s">
        <v>35</v>
      </c>
      <c r="E982" s="7" t="s">
        <v>44</v>
      </c>
      <c r="F982" s="7" t="s">
        <v>69</v>
      </c>
      <c r="G982" s="7" t="s">
        <v>61</v>
      </c>
      <c r="H982">
        <v>5</v>
      </c>
      <c r="I982">
        <v>35480.44</v>
      </c>
      <c r="J982">
        <v>0.1</v>
      </c>
      <c r="K982">
        <v>159661.98000000001</v>
      </c>
      <c r="L982">
        <v>134536.78</v>
      </c>
      <c r="M982">
        <v>25125.200000000001</v>
      </c>
      <c r="N982" s="7" t="s">
        <v>20</v>
      </c>
      <c r="O982" s="9">
        <f>IFERROR(RawSalesTable_[[#This Row],[Profit]]/RawSalesTable_[[#This Row],[Revenue]],0)</f>
        <v>0.15736495313411494</v>
      </c>
    </row>
    <row r="983" spans="1:15">
      <c r="A983" s="7" t="s">
        <v>1110</v>
      </c>
      <c r="B983" s="8">
        <v>45897</v>
      </c>
      <c r="C983" s="7" t="s">
        <v>28</v>
      </c>
      <c r="D983" s="7" t="s">
        <v>52</v>
      </c>
      <c r="E983" s="7" t="s">
        <v>44</v>
      </c>
      <c r="F983" s="7" t="s">
        <v>53</v>
      </c>
      <c r="G983" s="7" t="s">
        <v>32</v>
      </c>
      <c r="H983">
        <v>6</v>
      </c>
      <c r="I983">
        <v>8505.19</v>
      </c>
      <c r="J983">
        <v>0.15</v>
      </c>
      <c r="K983">
        <v>43376.47</v>
      </c>
      <c r="L983">
        <v>29984.53</v>
      </c>
      <c r="M983">
        <v>13391.94</v>
      </c>
      <c r="N983" s="7" t="s">
        <v>20</v>
      </c>
      <c r="O983" s="9">
        <f>IFERROR(RawSalesTable_[[#This Row],[Profit]]/RawSalesTable_[[#This Row],[Revenue]],0)</f>
        <v>0.30873743299074358</v>
      </c>
    </row>
    <row r="984" spans="1:15">
      <c r="A984" s="7" t="s">
        <v>1111</v>
      </c>
      <c r="B984" s="8">
        <v>45873</v>
      </c>
      <c r="C984" s="7" t="s">
        <v>28</v>
      </c>
      <c r="D984" s="7" t="s">
        <v>56</v>
      </c>
      <c r="E984" s="7" t="s">
        <v>49</v>
      </c>
      <c r="F984" s="7" t="s">
        <v>107</v>
      </c>
      <c r="G984" s="7" t="s">
        <v>19</v>
      </c>
      <c r="H984">
        <v>1</v>
      </c>
      <c r="I984">
        <v>5543.25</v>
      </c>
      <c r="J984">
        <v>0</v>
      </c>
      <c r="K984">
        <v>5543.25</v>
      </c>
      <c r="L984">
        <v>2799.97</v>
      </c>
      <c r="M984">
        <v>2743.28</v>
      </c>
      <c r="N984" s="7" t="s">
        <v>26</v>
      </c>
      <c r="O984" s="9">
        <f>IFERROR(RawSalesTable_[[#This Row],[Profit]]/RawSalesTable_[[#This Row],[Revenue]],0)</f>
        <v>0.49488657376088041</v>
      </c>
    </row>
    <row r="985" spans="1:15">
      <c r="A985" s="7" t="s">
        <v>1112</v>
      </c>
      <c r="B985" s="8">
        <v>45685</v>
      </c>
      <c r="C985" s="7" t="s">
        <v>15</v>
      </c>
      <c r="D985" s="7" t="s">
        <v>63</v>
      </c>
      <c r="E985" s="7" t="s">
        <v>44</v>
      </c>
      <c r="F985" s="7" t="s">
        <v>69</v>
      </c>
      <c r="G985" s="7" t="s">
        <v>25</v>
      </c>
      <c r="H985">
        <v>3</v>
      </c>
      <c r="I985">
        <v>38735.01</v>
      </c>
      <c r="J985">
        <v>0.1</v>
      </c>
      <c r="K985">
        <v>104584.53</v>
      </c>
      <c r="L985">
        <v>80452.820000000007</v>
      </c>
      <c r="M985">
        <v>24131.71</v>
      </c>
      <c r="N985" s="7" t="s">
        <v>26</v>
      </c>
      <c r="O985" s="9">
        <f>IFERROR(RawSalesTable_[[#This Row],[Profit]]/RawSalesTable_[[#This Row],[Revenue]],0)</f>
        <v>0.23073881003242067</v>
      </c>
    </row>
    <row r="986" spans="1:15">
      <c r="A986" s="7" t="s">
        <v>1113</v>
      </c>
      <c r="B986" s="8">
        <v>45990</v>
      </c>
      <c r="C986" s="7" t="s">
        <v>28</v>
      </c>
      <c r="D986" s="7" t="s">
        <v>29</v>
      </c>
      <c r="E986" s="7" t="s">
        <v>17</v>
      </c>
      <c r="F986" s="7" t="s">
        <v>114</v>
      </c>
      <c r="G986" s="7" t="s">
        <v>19</v>
      </c>
      <c r="H986">
        <v>8</v>
      </c>
      <c r="I986">
        <v>54822.13</v>
      </c>
      <c r="J986">
        <v>0</v>
      </c>
      <c r="K986">
        <v>438577.04</v>
      </c>
      <c r="L986">
        <v>284357.92</v>
      </c>
      <c r="M986">
        <v>154219.12</v>
      </c>
      <c r="N986" s="7" t="s">
        <v>59</v>
      </c>
      <c r="O986" s="9">
        <f>IFERROR(RawSalesTable_[[#This Row],[Profit]]/RawSalesTable_[[#This Row],[Revenue]],0)</f>
        <v>0.35163518819863437</v>
      </c>
    </row>
    <row r="987" spans="1:15">
      <c r="A987" s="7" t="s">
        <v>1114</v>
      </c>
      <c r="B987" s="8">
        <v>46003</v>
      </c>
      <c r="C987" s="7" t="s">
        <v>15</v>
      </c>
      <c r="D987" s="7" t="s">
        <v>16</v>
      </c>
      <c r="E987" s="7" t="s">
        <v>30</v>
      </c>
      <c r="F987" s="7" t="s">
        <v>40</v>
      </c>
      <c r="G987" s="7" t="s">
        <v>64</v>
      </c>
      <c r="H987">
        <v>6</v>
      </c>
      <c r="I987">
        <v>25928.11</v>
      </c>
      <c r="J987">
        <v>0</v>
      </c>
      <c r="K987">
        <v>155568.66</v>
      </c>
      <c r="L987">
        <v>96869.78</v>
      </c>
      <c r="M987">
        <v>58698.879999999997</v>
      </c>
      <c r="N987" s="7" t="s">
        <v>26</v>
      </c>
      <c r="O987" s="9">
        <f>IFERROR(RawSalesTable_[[#This Row],[Profit]]/RawSalesTable_[[#This Row],[Revenue]],0)</f>
        <v>0.3773181564975876</v>
      </c>
    </row>
    <row r="988" spans="1:15">
      <c r="A988" s="7" t="s">
        <v>1115</v>
      </c>
      <c r="B988" s="8">
        <v>45812</v>
      </c>
      <c r="C988" s="7" t="s">
        <v>15</v>
      </c>
      <c r="D988" s="7" t="s">
        <v>16</v>
      </c>
      <c r="E988" s="7" t="s">
        <v>49</v>
      </c>
      <c r="F988" s="7" t="s">
        <v>1590</v>
      </c>
      <c r="G988" s="7" t="s">
        <v>58</v>
      </c>
      <c r="H988">
        <v>4</v>
      </c>
      <c r="I988">
        <v>4465.4799999999996</v>
      </c>
      <c r="J988">
        <v>0.15</v>
      </c>
      <c r="K988">
        <v>15182.63</v>
      </c>
      <c r="L988">
        <v>8649.1299999999992</v>
      </c>
      <c r="M988">
        <v>6533.5</v>
      </c>
      <c r="N988" s="7" t="s">
        <v>33</v>
      </c>
      <c r="O988" s="9">
        <f>IFERROR(RawSalesTable_[[#This Row],[Profit]]/RawSalesTable_[[#This Row],[Revenue]],0)</f>
        <v>0.4303272884869091</v>
      </c>
    </row>
    <row r="989" spans="1:15">
      <c r="A989" s="7" t="s">
        <v>1116</v>
      </c>
      <c r="B989" s="8">
        <v>45924</v>
      </c>
      <c r="C989" s="7" t="s">
        <v>28</v>
      </c>
      <c r="D989" s="7" t="s">
        <v>29</v>
      </c>
      <c r="E989" s="7" t="s">
        <v>44</v>
      </c>
      <c r="F989" s="7" t="s">
        <v>80</v>
      </c>
      <c r="G989" s="7" t="s">
        <v>19</v>
      </c>
      <c r="H989">
        <v>2</v>
      </c>
      <c r="I989">
        <v>39560.25</v>
      </c>
      <c r="J989">
        <v>0.1</v>
      </c>
      <c r="K989">
        <v>71208.45</v>
      </c>
      <c r="L989">
        <v>63958.76</v>
      </c>
      <c r="M989">
        <v>7249.69</v>
      </c>
      <c r="N989" s="7" t="s">
        <v>26</v>
      </c>
      <c r="O989" s="9">
        <f>IFERROR(RawSalesTable_[[#This Row],[Profit]]/RawSalesTable_[[#This Row],[Revenue]],0)</f>
        <v>0.10180940604661384</v>
      </c>
    </row>
    <row r="990" spans="1:15">
      <c r="A990" s="7" t="s">
        <v>1117</v>
      </c>
      <c r="B990" s="8">
        <v>45905</v>
      </c>
      <c r="C990" s="7" t="s">
        <v>22</v>
      </c>
      <c r="D990" s="7" t="s">
        <v>23</v>
      </c>
      <c r="E990" s="7" t="s">
        <v>49</v>
      </c>
      <c r="F990" s="7" t="s">
        <v>91</v>
      </c>
      <c r="G990" s="7" t="s">
        <v>61</v>
      </c>
      <c r="H990">
        <v>8</v>
      </c>
      <c r="I990">
        <v>6386.34</v>
      </c>
      <c r="J990">
        <v>0</v>
      </c>
      <c r="K990">
        <v>51090.720000000001</v>
      </c>
      <c r="L990">
        <v>28540.65</v>
      </c>
      <c r="M990">
        <v>22550.07</v>
      </c>
      <c r="N990" s="7" t="s">
        <v>26</v>
      </c>
      <c r="O990" s="9">
        <f>IFERROR(RawSalesTable_[[#This Row],[Profit]]/RawSalesTable_[[#This Row],[Revenue]],0)</f>
        <v>0.44137311042005278</v>
      </c>
    </row>
    <row r="991" spans="1:15">
      <c r="A991" s="7" t="s">
        <v>1118</v>
      </c>
      <c r="B991" s="8">
        <v>45994</v>
      </c>
      <c r="C991" s="7" t="s">
        <v>15</v>
      </c>
      <c r="D991" s="7" t="s">
        <v>63</v>
      </c>
      <c r="E991" s="7" t="s">
        <v>49</v>
      </c>
      <c r="F991" s="7" t="s">
        <v>91</v>
      </c>
      <c r="G991" s="7" t="s">
        <v>47</v>
      </c>
      <c r="H991">
        <v>7</v>
      </c>
      <c r="I991">
        <v>6132.1</v>
      </c>
      <c r="J991">
        <v>0</v>
      </c>
      <c r="K991">
        <v>42924.7</v>
      </c>
      <c r="L991">
        <v>24770</v>
      </c>
      <c r="M991">
        <v>18154.7</v>
      </c>
      <c r="N991" s="7" t="s">
        <v>26</v>
      </c>
      <c r="O991" s="9">
        <f>IFERROR(RawSalesTable_[[#This Row],[Profit]]/RawSalesTable_[[#This Row],[Revenue]],0)</f>
        <v>0.42294296756878913</v>
      </c>
    </row>
    <row r="992" spans="1:15">
      <c r="A992" s="7" t="s">
        <v>1119</v>
      </c>
      <c r="B992" s="8">
        <v>45959</v>
      </c>
      <c r="C992" s="7" t="s">
        <v>15</v>
      </c>
      <c r="D992" s="7" t="s">
        <v>43</v>
      </c>
      <c r="E992" s="7" t="s">
        <v>44</v>
      </c>
      <c r="F992" s="7" t="s">
        <v>53</v>
      </c>
      <c r="G992" s="7" t="s">
        <v>70</v>
      </c>
      <c r="H992">
        <v>8</v>
      </c>
      <c r="I992">
        <v>8214.4500000000007</v>
      </c>
      <c r="J992">
        <v>0.15</v>
      </c>
      <c r="K992">
        <v>55858.26</v>
      </c>
      <c r="L992">
        <v>38298.449999999997</v>
      </c>
      <c r="M992">
        <v>17559.810000000001</v>
      </c>
      <c r="N992" s="7" t="s">
        <v>59</v>
      </c>
      <c r="O992" s="9">
        <f>IFERROR(RawSalesTable_[[#This Row],[Profit]]/RawSalesTable_[[#This Row],[Revenue]],0)</f>
        <v>0.31436371272574548</v>
      </c>
    </row>
    <row r="993" spans="1:15">
      <c r="A993" s="7" t="s">
        <v>1120</v>
      </c>
      <c r="B993" s="8">
        <v>45803</v>
      </c>
      <c r="C993" s="7" t="s">
        <v>15</v>
      </c>
      <c r="D993" s="7" t="s">
        <v>63</v>
      </c>
      <c r="E993" s="7" t="s">
        <v>49</v>
      </c>
      <c r="F993" s="7" t="s">
        <v>107</v>
      </c>
      <c r="G993" s="7" t="s">
        <v>70</v>
      </c>
      <c r="H993">
        <v>2</v>
      </c>
      <c r="I993">
        <v>5170.0200000000004</v>
      </c>
      <c r="J993">
        <v>0.05</v>
      </c>
      <c r="K993">
        <v>9823.0400000000009</v>
      </c>
      <c r="L993">
        <v>5294.01</v>
      </c>
      <c r="M993">
        <v>4529.03</v>
      </c>
      <c r="N993" s="7" t="s">
        <v>33</v>
      </c>
      <c r="O993" s="9">
        <f>IFERROR(RawSalesTable_[[#This Row],[Profit]]/RawSalesTable_[[#This Row],[Revenue]],0)</f>
        <v>0.46106195230804309</v>
      </c>
    </row>
    <row r="994" spans="1:15">
      <c r="A994" s="7" t="s">
        <v>1122</v>
      </c>
      <c r="B994" s="8">
        <v>45679</v>
      </c>
      <c r="C994" s="7" t="s">
        <v>15</v>
      </c>
      <c r="D994" s="7" t="s">
        <v>63</v>
      </c>
      <c r="E994" s="7" t="s">
        <v>17</v>
      </c>
      <c r="F994" s="7" t="s">
        <v>18</v>
      </c>
      <c r="G994" s="7" t="s">
        <v>32</v>
      </c>
      <c r="H994">
        <v>1</v>
      </c>
      <c r="I994">
        <v>14836.65</v>
      </c>
      <c r="J994">
        <v>0.15</v>
      </c>
      <c r="K994">
        <v>12611.15</v>
      </c>
      <c r="L994">
        <v>8309.81</v>
      </c>
      <c r="M994">
        <v>4301.34</v>
      </c>
      <c r="N994" s="7" t="s">
        <v>26</v>
      </c>
      <c r="O994" s="9">
        <f>IFERROR(RawSalesTable_[[#This Row],[Profit]]/RawSalesTable_[[#This Row],[Revenue]],0)</f>
        <v>0.3410743667310277</v>
      </c>
    </row>
    <row r="995" spans="1:15">
      <c r="A995" s="7" t="s">
        <v>1123</v>
      </c>
      <c r="B995" s="8">
        <v>45915</v>
      </c>
      <c r="C995" s="7" t="s">
        <v>28</v>
      </c>
      <c r="D995" s="7" t="s">
        <v>29</v>
      </c>
      <c r="E995" s="7" t="s">
        <v>49</v>
      </c>
      <c r="F995" s="7" t="s">
        <v>57</v>
      </c>
      <c r="G995" s="7" t="s">
        <v>47</v>
      </c>
      <c r="H995">
        <v>1</v>
      </c>
      <c r="I995">
        <v>12386.43</v>
      </c>
      <c r="J995">
        <v>0.05</v>
      </c>
      <c r="K995">
        <v>11767.11</v>
      </c>
      <c r="L995">
        <v>6532.79</v>
      </c>
      <c r="M995">
        <v>5234.32</v>
      </c>
      <c r="N995" s="7" t="s">
        <v>59</v>
      </c>
      <c r="O995" s="9">
        <f>IFERROR(RawSalesTable_[[#This Row],[Profit]]/RawSalesTable_[[#This Row],[Revenue]],0)</f>
        <v>0.44482629974564691</v>
      </c>
    </row>
    <row r="996" spans="1:15">
      <c r="A996" s="7" t="s">
        <v>1124</v>
      </c>
      <c r="B996" s="8">
        <v>45946</v>
      </c>
      <c r="C996" s="7" t="s">
        <v>15</v>
      </c>
      <c r="D996" s="7" t="s">
        <v>43</v>
      </c>
      <c r="E996" s="7" t="s">
        <v>49</v>
      </c>
      <c r="F996" s="7" t="s">
        <v>91</v>
      </c>
      <c r="G996" s="7" t="s">
        <v>32</v>
      </c>
      <c r="H996">
        <v>3</v>
      </c>
      <c r="I996">
        <v>6662.16</v>
      </c>
      <c r="J996">
        <v>0.05</v>
      </c>
      <c r="K996">
        <v>18987.16</v>
      </c>
      <c r="L996">
        <v>10971.89</v>
      </c>
      <c r="M996">
        <v>8015.27</v>
      </c>
      <c r="N996" s="7" t="s">
        <v>20</v>
      </c>
      <c r="O996" s="9">
        <f>IFERROR(RawSalesTable_[[#This Row],[Profit]]/RawSalesTable_[[#This Row],[Revenue]],0)</f>
        <v>0.42214159463553269</v>
      </c>
    </row>
    <row r="997" spans="1:15">
      <c r="A997" s="7" t="s">
        <v>1125</v>
      </c>
      <c r="B997" s="8">
        <v>45899</v>
      </c>
      <c r="C997" s="7" t="s">
        <v>15</v>
      </c>
      <c r="D997" s="7" t="s">
        <v>16</v>
      </c>
      <c r="E997" s="7" t="s">
        <v>30</v>
      </c>
      <c r="F997" s="7" t="s">
        <v>38</v>
      </c>
      <c r="G997" s="7" t="s">
        <v>61</v>
      </c>
      <c r="H997">
        <v>7</v>
      </c>
      <c r="I997">
        <v>25134.67</v>
      </c>
      <c r="J997">
        <v>0.15</v>
      </c>
      <c r="K997">
        <v>149551.29</v>
      </c>
      <c r="L997">
        <v>126486.63</v>
      </c>
      <c r="M997">
        <v>23064.66</v>
      </c>
      <c r="N997" s="7" t="s">
        <v>59</v>
      </c>
      <c r="O997" s="9">
        <f>IFERROR(RawSalesTable_[[#This Row],[Profit]]/RawSalesTable_[[#This Row],[Revenue]],0)</f>
        <v>0.15422575091127599</v>
      </c>
    </row>
    <row r="998" spans="1:15">
      <c r="A998" s="7" t="s">
        <v>1126</v>
      </c>
      <c r="B998" s="8">
        <v>45739</v>
      </c>
      <c r="C998" s="7" t="s">
        <v>22</v>
      </c>
      <c r="D998" s="7" t="s">
        <v>37</v>
      </c>
      <c r="E998" s="7" t="s">
        <v>30</v>
      </c>
      <c r="F998" s="7" t="s">
        <v>38</v>
      </c>
      <c r="G998" s="7" t="s">
        <v>47</v>
      </c>
      <c r="H998">
        <v>7</v>
      </c>
      <c r="I998">
        <v>25131.9</v>
      </c>
      <c r="J998">
        <v>0</v>
      </c>
      <c r="K998">
        <v>175923.3</v>
      </c>
      <c r="L998">
        <v>129734.92</v>
      </c>
      <c r="M998">
        <v>46188.38</v>
      </c>
      <c r="N998" s="7" t="s">
        <v>33</v>
      </c>
      <c r="O998" s="9">
        <f>IFERROR(RawSalesTable_[[#This Row],[Profit]]/RawSalesTable_[[#This Row],[Revenue]],0)</f>
        <v>0.26254839466972257</v>
      </c>
    </row>
    <row r="999" spans="1:15">
      <c r="A999" s="7" t="s">
        <v>1127</v>
      </c>
      <c r="B999" s="8">
        <v>45711</v>
      </c>
      <c r="C999" s="7" t="s">
        <v>15</v>
      </c>
      <c r="D999" s="7" t="s">
        <v>16</v>
      </c>
      <c r="E999" s="7" t="s">
        <v>49</v>
      </c>
      <c r="F999" s="7" t="s">
        <v>107</v>
      </c>
      <c r="G999" s="7" t="s">
        <v>61</v>
      </c>
      <c r="H999">
        <v>6</v>
      </c>
      <c r="I999">
        <v>5416.24</v>
      </c>
      <c r="J999">
        <v>0.15</v>
      </c>
      <c r="K999">
        <v>27622.82</v>
      </c>
      <c r="L999">
        <v>16616.22</v>
      </c>
      <c r="M999">
        <v>11006.6</v>
      </c>
      <c r="N999" s="7" t="s">
        <v>20</v>
      </c>
      <c r="O999" s="9">
        <f>IFERROR(RawSalesTable_[[#This Row],[Profit]]/RawSalesTable_[[#This Row],[Revenue]],0)</f>
        <v>0.39846040339110927</v>
      </c>
    </row>
    <row r="1000" spans="1:15">
      <c r="A1000" s="7" t="s">
        <v>1128</v>
      </c>
      <c r="B1000" s="8">
        <v>45849</v>
      </c>
      <c r="C1000" s="7" t="s">
        <v>28</v>
      </c>
      <c r="D1000" s="7" t="s">
        <v>52</v>
      </c>
      <c r="E1000" s="7" t="s">
        <v>17</v>
      </c>
      <c r="F1000" s="7" t="s">
        <v>18</v>
      </c>
      <c r="G1000" s="7" t="s">
        <v>64</v>
      </c>
      <c r="H1000">
        <v>2</v>
      </c>
      <c r="I1000">
        <v>13426.81</v>
      </c>
      <c r="J1000">
        <v>0.15</v>
      </c>
      <c r="K1000">
        <v>22825.58</v>
      </c>
      <c r="L1000">
        <v>15991.67</v>
      </c>
      <c r="M1000">
        <v>6833.91</v>
      </c>
      <c r="N1000" s="7" t="s">
        <v>26</v>
      </c>
      <c r="O1000" s="9">
        <f>IFERROR(RawSalesTable_[[#This Row],[Profit]]/RawSalesTable_[[#This Row],[Revenue]],0)</f>
        <v>0.2993969923217723</v>
      </c>
    </row>
    <row r="1001" spans="1:15">
      <c r="A1001" s="7" t="s">
        <v>1129</v>
      </c>
      <c r="B1001" s="8">
        <v>45758</v>
      </c>
      <c r="C1001" s="7" t="s">
        <v>28</v>
      </c>
      <c r="D1001" s="7" t="s">
        <v>52</v>
      </c>
      <c r="E1001" s="7" t="s">
        <v>49</v>
      </c>
      <c r="F1001" s="7" t="s">
        <v>107</v>
      </c>
      <c r="G1001" s="7" t="s">
        <v>58</v>
      </c>
      <c r="H1001">
        <v>3</v>
      </c>
      <c r="I1001">
        <v>5606.74</v>
      </c>
      <c r="J1001">
        <v>0.1</v>
      </c>
      <c r="K1001">
        <v>15138.2</v>
      </c>
      <c r="L1001">
        <v>8172.52</v>
      </c>
      <c r="M1001">
        <v>6965.68</v>
      </c>
      <c r="N1001" s="7" t="s">
        <v>20</v>
      </c>
      <c r="O1001" s="9">
        <f>IFERROR(RawSalesTable_[[#This Row],[Profit]]/RawSalesTable_[[#This Row],[Revenue]],0)</f>
        <v>0.460139250373228</v>
      </c>
    </row>
    <row r="1002" spans="1:15">
      <c r="A1002" s="7" t="s">
        <v>1130</v>
      </c>
      <c r="B1002" s="8">
        <v>45756</v>
      </c>
      <c r="C1002" s="7" t="s">
        <v>28</v>
      </c>
      <c r="D1002" s="7" t="s">
        <v>29</v>
      </c>
      <c r="E1002" s="7" t="s">
        <v>30</v>
      </c>
      <c r="F1002" s="7" t="s">
        <v>86</v>
      </c>
      <c r="G1002" s="7" t="s">
        <v>19</v>
      </c>
      <c r="H1002">
        <v>4</v>
      </c>
      <c r="I1002">
        <v>34278.57</v>
      </c>
      <c r="J1002">
        <v>0.05</v>
      </c>
      <c r="K1002">
        <v>130258.57</v>
      </c>
      <c r="L1002">
        <v>92427.18</v>
      </c>
      <c r="M1002">
        <v>37831.39</v>
      </c>
      <c r="N1002" s="7" t="s">
        <v>33</v>
      </c>
      <c r="O1002" s="9">
        <f>IFERROR(RawSalesTable_[[#This Row],[Profit]]/RawSalesTable_[[#This Row],[Revenue]],0)</f>
        <v>0.29043302102886587</v>
      </c>
    </row>
    <row r="1003" spans="1:15">
      <c r="A1003" s="7" t="s">
        <v>1131</v>
      </c>
      <c r="B1003" s="8">
        <v>45866</v>
      </c>
      <c r="C1003" s="7" t="s">
        <v>15</v>
      </c>
      <c r="D1003" s="7" t="s">
        <v>43</v>
      </c>
      <c r="E1003" s="7" t="s">
        <v>17</v>
      </c>
      <c r="F1003" s="7" t="s">
        <v>24</v>
      </c>
      <c r="G1003" s="7" t="s">
        <v>19</v>
      </c>
      <c r="H1003">
        <v>1</v>
      </c>
      <c r="I1003">
        <v>96563.33</v>
      </c>
      <c r="J1003">
        <v>0</v>
      </c>
      <c r="K1003">
        <v>96563.33</v>
      </c>
      <c r="L1003">
        <v>67671.509999999995</v>
      </c>
      <c r="M1003">
        <v>28891.82</v>
      </c>
      <c r="N1003" s="7" t="s">
        <v>59</v>
      </c>
      <c r="O1003" s="9">
        <f>IFERROR(RawSalesTable_[[#This Row],[Profit]]/RawSalesTable_[[#This Row],[Revenue]],0)</f>
        <v>0.29920074214507719</v>
      </c>
    </row>
    <row r="1004" spans="1:15">
      <c r="A1004" s="7" t="s">
        <v>1132</v>
      </c>
      <c r="B1004" s="8">
        <v>45840</v>
      </c>
      <c r="C1004" s="7" t="s">
        <v>22</v>
      </c>
      <c r="D1004" s="7" t="s">
        <v>37</v>
      </c>
      <c r="E1004" s="7" t="s">
        <v>49</v>
      </c>
      <c r="F1004" s="7" t="s">
        <v>1590</v>
      </c>
      <c r="G1004" s="7" t="s">
        <v>61</v>
      </c>
      <c r="H1004">
        <v>4</v>
      </c>
      <c r="I1004">
        <v>4247.29</v>
      </c>
      <c r="J1004">
        <v>0.05</v>
      </c>
      <c r="K1004">
        <v>16139.7</v>
      </c>
      <c r="L1004">
        <v>8442.5</v>
      </c>
      <c r="M1004">
        <v>7697.2</v>
      </c>
      <c r="N1004" s="7" t="s">
        <v>33</v>
      </c>
      <c r="O1004" s="9">
        <f>IFERROR(RawSalesTable_[[#This Row],[Profit]]/RawSalesTable_[[#This Row],[Revenue]],0)</f>
        <v>0.47691097108372521</v>
      </c>
    </row>
    <row r="1005" spans="1:15">
      <c r="A1005" s="7" t="s">
        <v>1133</v>
      </c>
      <c r="B1005" s="8">
        <v>45718</v>
      </c>
      <c r="C1005" s="7" t="s">
        <v>28</v>
      </c>
      <c r="D1005" s="7" t="s">
        <v>56</v>
      </c>
      <c r="E1005" s="7" t="s">
        <v>49</v>
      </c>
      <c r="F1005" s="7" t="s">
        <v>91</v>
      </c>
      <c r="G1005" s="7" t="s">
        <v>70</v>
      </c>
      <c r="H1005">
        <v>2</v>
      </c>
      <c r="I1005">
        <v>6112.28</v>
      </c>
      <c r="J1005">
        <v>0.1</v>
      </c>
      <c r="K1005">
        <v>11002.1</v>
      </c>
      <c r="L1005">
        <v>7134.31</v>
      </c>
      <c r="M1005">
        <v>3867.79</v>
      </c>
      <c r="N1005" s="7" t="s">
        <v>26</v>
      </c>
      <c r="O1005" s="9">
        <f>IFERROR(RawSalesTable_[[#This Row],[Profit]]/RawSalesTable_[[#This Row],[Revenue]],0)</f>
        <v>0.3515501586060843</v>
      </c>
    </row>
    <row r="1006" spans="1:15">
      <c r="A1006" s="7" t="s">
        <v>1134</v>
      </c>
      <c r="B1006" s="8">
        <v>45786</v>
      </c>
      <c r="C1006" s="7" t="s">
        <v>22</v>
      </c>
      <c r="D1006" s="7" t="s">
        <v>37</v>
      </c>
      <c r="E1006" s="7" t="s">
        <v>30</v>
      </c>
      <c r="F1006" s="7" t="s">
        <v>31</v>
      </c>
      <c r="G1006" s="7" t="s">
        <v>25</v>
      </c>
      <c r="H1006">
        <v>4</v>
      </c>
      <c r="I1006">
        <v>141940.68</v>
      </c>
      <c r="J1006">
        <v>0.05</v>
      </c>
      <c r="K1006">
        <v>539374.57999999996</v>
      </c>
      <c r="L1006">
        <v>417961.89</v>
      </c>
      <c r="M1006">
        <v>121412.69</v>
      </c>
      <c r="N1006" s="7" t="s">
        <v>59</v>
      </c>
      <c r="O1006" s="9">
        <f>IFERROR(RawSalesTable_[[#This Row],[Profit]]/RawSalesTable_[[#This Row],[Revenue]],0)</f>
        <v>0.22509902116632938</v>
      </c>
    </row>
    <row r="1007" spans="1:15">
      <c r="A1007" s="7" t="s">
        <v>1135</v>
      </c>
      <c r="B1007" s="8">
        <v>45862</v>
      </c>
      <c r="C1007" s="7" t="s">
        <v>22</v>
      </c>
      <c r="D1007" s="7" t="s">
        <v>23</v>
      </c>
      <c r="E1007" s="7" t="s">
        <v>30</v>
      </c>
      <c r="F1007" s="7" t="s">
        <v>31</v>
      </c>
      <c r="G1007" s="7" t="s">
        <v>64</v>
      </c>
      <c r="H1007">
        <v>4</v>
      </c>
      <c r="I1007">
        <v>142629.01999999999</v>
      </c>
      <c r="J1007">
        <v>0.1</v>
      </c>
      <c r="K1007">
        <v>513464.47</v>
      </c>
      <c r="L1007">
        <v>406021.33</v>
      </c>
      <c r="M1007">
        <v>107443.14</v>
      </c>
      <c r="N1007" s="7" t="s">
        <v>33</v>
      </c>
      <c r="O1007" s="9">
        <f>IFERROR(RawSalesTable_[[#This Row],[Profit]]/RawSalesTable_[[#This Row],[Revenue]],0)</f>
        <v>0.20925136261132149</v>
      </c>
    </row>
    <row r="1008" spans="1:15">
      <c r="A1008" s="7" t="s">
        <v>1136</v>
      </c>
      <c r="B1008" s="8">
        <v>45688</v>
      </c>
      <c r="C1008" s="7" t="s">
        <v>15</v>
      </c>
      <c r="D1008" s="7" t="s">
        <v>63</v>
      </c>
      <c r="E1008" s="7" t="s">
        <v>30</v>
      </c>
      <c r="F1008" s="7" t="s">
        <v>31</v>
      </c>
      <c r="G1008" s="7" t="s">
        <v>61</v>
      </c>
      <c r="H1008">
        <v>1</v>
      </c>
      <c r="I1008">
        <v>131501.78</v>
      </c>
      <c r="J1008">
        <v>0.05</v>
      </c>
      <c r="K1008">
        <v>124926.69</v>
      </c>
      <c r="L1008">
        <v>99387.61</v>
      </c>
      <c r="M1008">
        <v>25539.08</v>
      </c>
      <c r="N1008" s="7" t="s">
        <v>26</v>
      </c>
      <c r="O1008" s="9">
        <f>IFERROR(RawSalesTable_[[#This Row],[Profit]]/RawSalesTable_[[#This Row],[Revenue]],0)</f>
        <v>0.20443253559347488</v>
      </c>
    </row>
    <row r="1009" spans="1:15">
      <c r="A1009" s="7" t="s">
        <v>1137</v>
      </c>
      <c r="B1009" s="8">
        <v>46017</v>
      </c>
      <c r="C1009" s="7" t="s">
        <v>15</v>
      </c>
      <c r="D1009" s="7" t="s">
        <v>43</v>
      </c>
      <c r="E1009" s="7" t="s">
        <v>30</v>
      </c>
      <c r="F1009" s="7" t="s">
        <v>31</v>
      </c>
      <c r="G1009" s="7" t="s">
        <v>64</v>
      </c>
      <c r="H1009">
        <v>4</v>
      </c>
      <c r="I1009">
        <v>134860.79</v>
      </c>
      <c r="J1009">
        <v>0.1</v>
      </c>
      <c r="K1009">
        <v>485498.84</v>
      </c>
      <c r="L1009">
        <v>417454.28</v>
      </c>
      <c r="M1009">
        <v>68044.56</v>
      </c>
      <c r="N1009" s="7" t="s">
        <v>59</v>
      </c>
      <c r="O1009" s="9">
        <f>IFERROR(RawSalesTable_[[#This Row],[Profit]]/RawSalesTable_[[#This Row],[Revenue]],0)</f>
        <v>0.14015390850367426</v>
      </c>
    </row>
    <row r="1010" spans="1:15">
      <c r="A1010" s="7" t="s">
        <v>1138</v>
      </c>
      <c r="B1010" s="8">
        <v>45912</v>
      </c>
      <c r="C1010" s="7" t="s">
        <v>22</v>
      </c>
      <c r="D1010" s="7" t="s">
        <v>35</v>
      </c>
      <c r="E1010" s="7" t="s">
        <v>17</v>
      </c>
      <c r="F1010" s="7" t="s">
        <v>114</v>
      </c>
      <c r="G1010" s="7" t="s">
        <v>47</v>
      </c>
      <c r="H1010">
        <v>3</v>
      </c>
      <c r="I1010">
        <v>50090.63</v>
      </c>
      <c r="J1010">
        <v>0</v>
      </c>
      <c r="K1010">
        <v>150271.89000000001</v>
      </c>
      <c r="L1010">
        <v>107012.63</v>
      </c>
      <c r="M1010">
        <v>43259.26</v>
      </c>
      <c r="N1010" s="7" t="s">
        <v>59</v>
      </c>
      <c r="O1010" s="9">
        <f>IFERROR(RawSalesTable_[[#This Row],[Profit]]/RawSalesTable_[[#This Row],[Revenue]],0)</f>
        <v>0.28787326758184778</v>
      </c>
    </row>
    <row r="1011" spans="1:15">
      <c r="A1011" s="7" t="s">
        <v>1139</v>
      </c>
      <c r="B1011" s="8">
        <v>45758</v>
      </c>
      <c r="C1011" s="7" t="s">
        <v>28</v>
      </c>
      <c r="D1011" s="7" t="s">
        <v>56</v>
      </c>
      <c r="E1011" s="7" t="s">
        <v>30</v>
      </c>
      <c r="F1011" s="7" t="s">
        <v>86</v>
      </c>
      <c r="G1011" s="7" t="s">
        <v>25</v>
      </c>
      <c r="H1011">
        <v>1</v>
      </c>
      <c r="I1011">
        <v>35276.980000000003</v>
      </c>
      <c r="J1011">
        <v>0</v>
      </c>
      <c r="K1011">
        <v>35276.980000000003</v>
      </c>
      <c r="L1011">
        <v>23043.439999999999</v>
      </c>
      <c r="M1011">
        <v>12233.54</v>
      </c>
      <c r="N1011" s="7" t="s">
        <v>33</v>
      </c>
      <c r="O1011" s="9">
        <f>IFERROR(RawSalesTable_[[#This Row],[Profit]]/RawSalesTable_[[#This Row],[Revenue]],0)</f>
        <v>0.3467853540750937</v>
      </c>
    </row>
    <row r="1012" spans="1:15">
      <c r="A1012" s="7" t="s">
        <v>1141</v>
      </c>
      <c r="B1012" s="8">
        <v>45939</v>
      </c>
      <c r="C1012" s="7" t="s">
        <v>15</v>
      </c>
      <c r="D1012" s="7" t="s">
        <v>63</v>
      </c>
      <c r="E1012" s="7" t="s">
        <v>17</v>
      </c>
      <c r="F1012" s="7" t="s">
        <v>114</v>
      </c>
      <c r="G1012" s="7" t="s">
        <v>61</v>
      </c>
      <c r="H1012">
        <v>7</v>
      </c>
      <c r="I1012">
        <v>53626.07</v>
      </c>
      <c r="J1012">
        <v>0.05</v>
      </c>
      <c r="K1012">
        <v>356613.37</v>
      </c>
      <c r="L1012">
        <v>260378.43</v>
      </c>
      <c r="M1012">
        <v>96234.94</v>
      </c>
      <c r="N1012" s="7" t="s">
        <v>33</v>
      </c>
      <c r="O1012" s="9">
        <f>IFERROR(RawSalesTable_[[#This Row],[Profit]]/RawSalesTable_[[#This Row],[Revenue]],0)</f>
        <v>0.26985791362785977</v>
      </c>
    </row>
    <row r="1013" spans="1:15">
      <c r="A1013" s="7" t="s">
        <v>1142</v>
      </c>
      <c r="B1013" s="8">
        <v>45705</v>
      </c>
      <c r="C1013" s="7" t="s">
        <v>28</v>
      </c>
      <c r="D1013" s="7" t="s">
        <v>52</v>
      </c>
      <c r="E1013" s="7" t="s">
        <v>30</v>
      </c>
      <c r="F1013" s="7" t="s">
        <v>38</v>
      </c>
      <c r="G1013" s="7" t="s">
        <v>64</v>
      </c>
      <c r="H1013">
        <v>4</v>
      </c>
      <c r="I1013">
        <v>26322.3</v>
      </c>
      <c r="J1013">
        <v>0</v>
      </c>
      <c r="K1013">
        <v>105289.2</v>
      </c>
      <c r="L1013">
        <v>71040.38</v>
      </c>
      <c r="M1013">
        <v>34248.82</v>
      </c>
      <c r="N1013" s="7" t="s">
        <v>26</v>
      </c>
      <c r="O1013" s="9">
        <f>IFERROR(RawSalesTable_[[#This Row],[Profit]]/RawSalesTable_[[#This Row],[Revenue]],0)</f>
        <v>0.32528331490789181</v>
      </c>
    </row>
    <row r="1014" spans="1:15">
      <c r="A1014" s="7" t="s">
        <v>1143</v>
      </c>
      <c r="B1014" s="8">
        <v>45882</v>
      </c>
      <c r="C1014" s="7" t="s">
        <v>28</v>
      </c>
      <c r="D1014" s="7" t="s">
        <v>29</v>
      </c>
      <c r="E1014" s="7" t="s">
        <v>17</v>
      </c>
      <c r="F1014" s="7" t="s">
        <v>75</v>
      </c>
      <c r="G1014" s="7" t="s">
        <v>61</v>
      </c>
      <c r="H1014">
        <v>4</v>
      </c>
      <c r="I1014">
        <v>194253.61</v>
      </c>
      <c r="J1014">
        <v>0</v>
      </c>
      <c r="K1014">
        <v>777014.44</v>
      </c>
      <c r="L1014">
        <v>553212.59</v>
      </c>
      <c r="M1014">
        <v>223801.85</v>
      </c>
      <c r="N1014" s="7" t="s">
        <v>59</v>
      </c>
      <c r="O1014" s="9">
        <f>IFERROR(RawSalesTable_[[#This Row],[Profit]]/RawSalesTable_[[#This Row],[Revenue]],0)</f>
        <v>0.288027916186474</v>
      </c>
    </row>
    <row r="1015" spans="1:15">
      <c r="A1015" s="7" t="s">
        <v>1144</v>
      </c>
      <c r="B1015" s="8">
        <v>45720</v>
      </c>
      <c r="C1015" s="7" t="s">
        <v>22</v>
      </c>
      <c r="D1015" s="7" t="s">
        <v>35</v>
      </c>
      <c r="E1015" s="7" t="s">
        <v>30</v>
      </c>
      <c r="F1015" s="7" t="s">
        <v>86</v>
      </c>
      <c r="G1015" s="7" t="s">
        <v>19</v>
      </c>
      <c r="H1015">
        <v>5</v>
      </c>
      <c r="I1015">
        <v>31044.9</v>
      </c>
      <c r="J1015">
        <v>0.05</v>
      </c>
      <c r="K1015">
        <v>147463.26999999999</v>
      </c>
      <c r="L1015">
        <v>112894.77</v>
      </c>
      <c r="M1015">
        <v>34568.5</v>
      </c>
      <c r="N1015" s="7" t="s">
        <v>33</v>
      </c>
      <c r="O1015" s="9">
        <f>IFERROR(RawSalesTable_[[#This Row],[Profit]]/RawSalesTable_[[#This Row],[Revenue]],0)</f>
        <v>0.23442108668823092</v>
      </c>
    </row>
    <row r="1016" spans="1:15">
      <c r="A1016" s="7" t="s">
        <v>1145</v>
      </c>
      <c r="B1016" s="8">
        <v>45812</v>
      </c>
      <c r="C1016" s="7" t="s">
        <v>28</v>
      </c>
      <c r="D1016" s="7" t="s">
        <v>29</v>
      </c>
      <c r="E1016" s="7" t="s">
        <v>44</v>
      </c>
      <c r="F1016" s="7" t="s">
        <v>53</v>
      </c>
      <c r="G1016" s="7" t="s">
        <v>32</v>
      </c>
      <c r="H1016">
        <v>6</v>
      </c>
      <c r="I1016">
        <v>9040.7900000000009</v>
      </c>
      <c r="J1016">
        <v>0</v>
      </c>
      <c r="K1016">
        <v>54244.74</v>
      </c>
      <c r="L1016">
        <v>29430.81</v>
      </c>
      <c r="M1016">
        <v>24813.93</v>
      </c>
      <c r="N1016" s="7" t="s">
        <v>59</v>
      </c>
      <c r="O1016" s="9">
        <f>IFERROR(RawSalesTable_[[#This Row],[Profit]]/RawSalesTable_[[#This Row],[Revenue]],0)</f>
        <v>0.45744398443056417</v>
      </c>
    </row>
    <row r="1017" spans="1:15">
      <c r="A1017" s="7" t="s">
        <v>1146</v>
      </c>
      <c r="B1017" s="8">
        <v>45976</v>
      </c>
      <c r="C1017" s="7" t="s">
        <v>15</v>
      </c>
      <c r="D1017" s="7" t="s">
        <v>16</v>
      </c>
      <c r="E1017" s="7" t="s">
        <v>30</v>
      </c>
      <c r="F1017" s="7" t="s">
        <v>38</v>
      </c>
      <c r="G1017" s="7" t="s">
        <v>70</v>
      </c>
      <c r="H1017">
        <v>2</v>
      </c>
      <c r="I1017">
        <v>25073.27</v>
      </c>
      <c r="J1017">
        <v>0.05</v>
      </c>
      <c r="K1017">
        <v>47639.21</v>
      </c>
      <c r="L1017">
        <v>36697.86</v>
      </c>
      <c r="M1017">
        <v>10941.35</v>
      </c>
      <c r="N1017" s="7" t="s">
        <v>59</v>
      </c>
      <c r="O1017" s="9">
        <f>IFERROR(RawSalesTable_[[#This Row],[Profit]]/RawSalesTable_[[#This Row],[Revenue]],0)</f>
        <v>0.22967110495744997</v>
      </c>
    </row>
    <row r="1018" spans="1:15">
      <c r="A1018" s="7" t="s">
        <v>1147</v>
      </c>
      <c r="B1018" s="8">
        <v>45730</v>
      </c>
      <c r="C1018" s="7" t="s">
        <v>22</v>
      </c>
      <c r="D1018" s="7" t="s">
        <v>23</v>
      </c>
      <c r="E1018" s="7" t="s">
        <v>44</v>
      </c>
      <c r="F1018" s="7" t="s">
        <v>45</v>
      </c>
      <c r="G1018" s="7" t="s">
        <v>64</v>
      </c>
      <c r="H1018">
        <v>5</v>
      </c>
      <c r="I1018">
        <v>29603.1</v>
      </c>
      <c r="J1018">
        <v>0</v>
      </c>
      <c r="K1018">
        <v>148015.5</v>
      </c>
      <c r="L1018">
        <v>92966.27</v>
      </c>
      <c r="M1018">
        <v>55049.23</v>
      </c>
      <c r="N1018" s="7" t="s">
        <v>26</v>
      </c>
      <c r="O1018" s="9">
        <f>IFERROR(RawSalesTable_[[#This Row],[Profit]]/RawSalesTable_[[#This Row],[Revenue]],0)</f>
        <v>0.37191530616725954</v>
      </c>
    </row>
    <row r="1019" spans="1:15">
      <c r="A1019" s="7" t="s">
        <v>1148</v>
      </c>
      <c r="B1019" s="8">
        <v>45959</v>
      </c>
      <c r="C1019" s="7" t="s">
        <v>15</v>
      </c>
      <c r="D1019" s="7" t="s">
        <v>63</v>
      </c>
      <c r="E1019" s="7" t="s">
        <v>49</v>
      </c>
      <c r="F1019" s="7" t="s">
        <v>91</v>
      </c>
      <c r="G1019" s="7" t="s">
        <v>25</v>
      </c>
      <c r="H1019">
        <v>1</v>
      </c>
      <c r="I1019">
        <v>6498.86</v>
      </c>
      <c r="J1019">
        <v>0</v>
      </c>
      <c r="K1019">
        <v>6498.86</v>
      </c>
      <c r="L1019">
        <v>3560.12</v>
      </c>
      <c r="M1019">
        <v>2938.74</v>
      </c>
      <c r="N1019" s="7" t="s">
        <v>59</v>
      </c>
      <c r="O1019" s="9">
        <f>IFERROR(RawSalesTable_[[#This Row],[Profit]]/RawSalesTable_[[#This Row],[Revenue]],0)</f>
        <v>0.45219315387621828</v>
      </c>
    </row>
    <row r="1020" spans="1:15">
      <c r="A1020" s="7" t="s">
        <v>1149</v>
      </c>
      <c r="B1020" s="8">
        <v>45680</v>
      </c>
      <c r="C1020" s="7" t="s">
        <v>22</v>
      </c>
      <c r="D1020" s="7" t="s">
        <v>23</v>
      </c>
      <c r="E1020" s="7" t="s">
        <v>30</v>
      </c>
      <c r="F1020" s="7" t="s">
        <v>40</v>
      </c>
      <c r="G1020" s="7" t="s">
        <v>47</v>
      </c>
      <c r="H1020">
        <v>8</v>
      </c>
      <c r="I1020">
        <v>22613.89</v>
      </c>
      <c r="J1020">
        <v>0.05</v>
      </c>
      <c r="K1020">
        <v>171865.56</v>
      </c>
      <c r="L1020">
        <v>126011.5</v>
      </c>
      <c r="M1020">
        <v>45854.06</v>
      </c>
      <c r="N1020" s="7" t="s">
        <v>26</v>
      </c>
      <c r="O1020" s="9">
        <f>IFERROR(RawSalesTable_[[#This Row],[Profit]]/RawSalesTable_[[#This Row],[Revenue]],0)</f>
        <v>0.26680191191300923</v>
      </c>
    </row>
    <row r="1021" spans="1:15">
      <c r="A1021" s="7" t="s">
        <v>1150</v>
      </c>
      <c r="B1021" s="8">
        <v>45969</v>
      </c>
      <c r="C1021" s="7" t="s">
        <v>28</v>
      </c>
      <c r="D1021" s="7" t="s">
        <v>52</v>
      </c>
      <c r="E1021" s="7" t="s">
        <v>49</v>
      </c>
      <c r="F1021" s="7" t="s">
        <v>91</v>
      </c>
      <c r="G1021" s="7" t="s">
        <v>32</v>
      </c>
      <c r="H1021">
        <v>5</v>
      </c>
      <c r="I1021">
        <v>6012.56</v>
      </c>
      <c r="J1021">
        <v>0.05</v>
      </c>
      <c r="K1021">
        <v>28559.66</v>
      </c>
      <c r="L1021">
        <v>18640.900000000001</v>
      </c>
      <c r="M1021">
        <v>9918.76</v>
      </c>
      <c r="N1021" s="7" t="s">
        <v>59</v>
      </c>
      <c r="O1021" s="9">
        <f>IFERROR(RawSalesTable_[[#This Row],[Profit]]/RawSalesTable_[[#This Row],[Revenue]],0)</f>
        <v>0.34729965272695823</v>
      </c>
    </row>
    <row r="1022" spans="1:15">
      <c r="A1022" s="7" t="s">
        <v>1151</v>
      </c>
      <c r="B1022" s="8">
        <v>45687</v>
      </c>
      <c r="C1022" s="7" t="s">
        <v>15</v>
      </c>
      <c r="D1022" s="7" t="s">
        <v>16</v>
      </c>
      <c r="E1022" s="7" t="s">
        <v>17</v>
      </c>
      <c r="F1022" s="7" t="s">
        <v>18</v>
      </c>
      <c r="G1022" s="7" t="s">
        <v>19</v>
      </c>
      <c r="H1022">
        <v>7</v>
      </c>
      <c r="I1022">
        <v>15348.52</v>
      </c>
      <c r="J1022">
        <v>0.15</v>
      </c>
      <c r="K1022">
        <v>91323.69</v>
      </c>
      <c r="L1022">
        <v>59408.98</v>
      </c>
      <c r="M1022">
        <v>31914.71</v>
      </c>
      <c r="N1022" s="7" t="s">
        <v>20</v>
      </c>
      <c r="O1022" s="9">
        <f>IFERROR(RawSalesTable_[[#This Row],[Profit]]/RawSalesTable_[[#This Row],[Revenue]],0)</f>
        <v>0.34946802959889156</v>
      </c>
    </row>
    <row r="1023" spans="1:15">
      <c r="A1023" s="7" t="s">
        <v>1152</v>
      </c>
      <c r="B1023" s="8">
        <v>45791</v>
      </c>
      <c r="C1023" s="7" t="s">
        <v>15</v>
      </c>
      <c r="D1023" s="7" t="s">
        <v>43</v>
      </c>
      <c r="E1023" s="7" t="s">
        <v>30</v>
      </c>
      <c r="F1023" s="7" t="s">
        <v>40</v>
      </c>
      <c r="G1023" s="7" t="s">
        <v>61</v>
      </c>
      <c r="H1023">
        <v>7</v>
      </c>
      <c r="I1023">
        <v>24784.6</v>
      </c>
      <c r="J1023">
        <v>0.1</v>
      </c>
      <c r="K1023">
        <v>156142.98000000001</v>
      </c>
      <c r="L1023">
        <v>113235.69</v>
      </c>
      <c r="M1023">
        <v>42907.29</v>
      </c>
      <c r="N1023" s="7" t="s">
        <v>20</v>
      </c>
      <c r="O1023" s="9">
        <f>IFERROR(RawSalesTable_[[#This Row],[Profit]]/RawSalesTable_[[#This Row],[Revenue]],0)</f>
        <v>0.27479487070119962</v>
      </c>
    </row>
    <row r="1024" spans="1:15">
      <c r="A1024" s="7" t="s">
        <v>1153</v>
      </c>
      <c r="B1024" s="8">
        <v>45701</v>
      </c>
      <c r="C1024" s="7" t="s">
        <v>28</v>
      </c>
      <c r="D1024" s="7" t="s">
        <v>29</v>
      </c>
      <c r="E1024" s="7" t="s">
        <v>44</v>
      </c>
      <c r="F1024" s="7" t="s">
        <v>45</v>
      </c>
      <c r="G1024" s="7" t="s">
        <v>47</v>
      </c>
      <c r="H1024">
        <v>1</v>
      </c>
      <c r="I1024">
        <v>27499.99</v>
      </c>
      <c r="J1024">
        <v>0.15</v>
      </c>
      <c r="K1024">
        <v>23374.99</v>
      </c>
      <c r="L1024">
        <v>19694.79</v>
      </c>
      <c r="M1024">
        <v>3680.2</v>
      </c>
      <c r="N1024" s="7" t="s">
        <v>59</v>
      </c>
      <c r="O1024" s="9">
        <f>IFERROR(RawSalesTable_[[#This Row],[Profit]]/RawSalesTable_[[#This Row],[Revenue]],0)</f>
        <v>0.15744177858471808</v>
      </c>
    </row>
    <row r="1025" spans="1:15">
      <c r="A1025" s="7" t="s">
        <v>1154</v>
      </c>
      <c r="B1025" s="8">
        <v>45992</v>
      </c>
      <c r="C1025" s="7" t="s">
        <v>28</v>
      </c>
      <c r="D1025" s="7" t="s">
        <v>29</v>
      </c>
      <c r="E1025" s="7" t="s">
        <v>49</v>
      </c>
      <c r="F1025" s="7" t="s">
        <v>91</v>
      </c>
      <c r="G1025" s="7" t="s">
        <v>64</v>
      </c>
      <c r="H1025">
        <v>5</v>
      </c>
      <c r="I1025">
        <v>6356.16</v>
      </c>
      <c r="J1025">
        <v>0.15</v>
      </c>
      <c r="K1025">
        <v>27013.68</v>
      </c>
      <c r="L1025">
        <v>17775.650000000001</v>
      </c>
      <c r="M1025">
        <v>9238.0300000000007</v>
      </c>
      <c r="N1025" s="7" t="s">
        <v>33</v>
      </c>
      <c r="O1025" s="9">
        <f>IFERROR(RawSalesTable_[[#This Row],[Profit]]/RawSalesTable_[[#This Row],[Revenue]],0)</f>
        <v>0.34197599142360463</v>
      </c>
    </row>
    <row r="1026" spans="1:15">
      <c r="A1026" s="7" t="s">
        <v>1155</v>
      </c>
      <c r="B1026" s="8">
        <v>45896</v>
      </c>
      <c r="C1026" s="7" t="s">
        <v>28</v>
      </c>
      <c r="D1026" s="7" t="s">
        <v>29</v>
      </c>
      <c r="E1026" s="7" t="s">
        <v>30</v>
      </c>
      <c r="F1026" s="7" t="s">
        <v>38</v>
      </c>
      <c r="G1026" s="7" t="s">
        <v>64</v>
      </c>
      <c r="H1026">
        <v>3</v>
      </c>
      <c r="I1026">
        <v>26757.25</v>
      </c>
      <c r="J1026">
        <v>0</v>
      </c>
      <c r="K1026">
        <v>80271.75</v>
      </c>
      <c r="L1026">
        <v>54042.86</v>
      </c>
      <c r="M1026">
        <v>26228.89</v>
      </c>
      <c r="N1026" s="7" t="s">
        <v>59</v>
      </c>
      <c r="O1026" s="9">
        <f>IFERROR(RawSalesTable_[[#This Row],[Profit]]/RawSalesTable_[[#This Row],[Revenue]],0)</f>
        <v>0.32675119204452374</v>
      </c>
    </row>
    <row r="1027" spans="1:15">
      <c r="A1027" s="7" t="s">
        <v>1156</v>
      </c>
      <c r="B1027" s="8">
        <v>45970</v>
      </c>
      <c r="C1027" s="7" t="s">
        <v>28</v>
      </c>
      <c r="D1027" s="7" t="s">
        <v>29</v>
      </c>
      <c r="E1027" s="7" t="s">
        <v>44</v>
      </c>
      <c r="F1027" s="7" t="s">
        <v>53</v>
      </c>
      <c r="G1027" s="7" t="s">
        <v>32</v>
      </c>
      <c r="H1027">
        <v>1</v>
      </c>
      <c r="I1027">
        <v>8608.2199999999993</v>
      </c>
      <c r="J1027">
        <v>0</v>
      </c>
      <c r="K1027">
        <v>8608.2199999999993</v>
      </c>
      <c r="L1027">
        <v>4847.82</v>
      </c>
      <c r="M1027">
        <v>3760.4</v>
      </c>
      <c r="N1027" s="7" t="s">
        <v>33</v>
      </c>
      <c r="O1027" s="9">
        <f>IFERROR(RawSalesTable_[[#This Row],[Profit]]/RawSalesTable_[[#This Row],[Revenue]],0)</f>
        <v>0.43683827783211865</v>
      </c>
    </row>
    <row r="1028" spans="1:15">
      <c r="A1028" s="7" t="s">
        <v>1157</v>
      </c>
      <c r="B1028" s="8">
        <v>45747</v>
      </c>
      <c r="C1028" s="7" t="s">
        <v>28</v>
      </c>
      <c r="D1028" s="7" t="s">
        <v>52</v>
      </c>
      <c r="E1028" s="7" t="s">
        <v>30</v>
      </c>
      <c r="F1028" s="7" t="s">
        <v>38</v>
      </c>
      <c r="G1028" s="7" t="s">
        <v>61</v>
      </c>
      <c r="H1028">
        <v>5</v>
      </c>
      <c r="I1028">
        <v>28594.32</v>
      </c>
      <c r="J1028">
        <v>0</v>
      </c>
      <c r="K1028">
        <v>142971.6</v>
      </c>
      <c r="L1028">
        <v>88732.74</v>
      </c>
      <c r="M1028">
        <v>54238.86</v>
      </c>
      <c r="N1028" s="7" t="s">
        <v>33</v>
      </c>
      <c r="O1028" s="9">
        <f>IFERROR(RawSalesTable_[[#This Row],[Profit]]/RawSalesTable_[[#This Row],[Revenue]],0)</f>
        <v>0.37936807030207398</v>
      </c>
    </row>
    <row r="1029" spans="1:15">
      <c r="A1029" s="7" t="s">
        <v>1158</v>
      </c>
      <c r="B1029" s="8">
        <v>45774</v>
      </c>
      <c r="C1029" s="7" t="s">
        <v>22</v>
      </c>
      <c r="D1029" s="7" t="s">
        <v>23</v>
      </c>
      <c r="E1029" s="7" t="s">
        <v>17</v>
      </c>
      <c r="F1029" s="7" t="s">
        <v>24</v>
      </c>
      <c r="G1029" s="7" t="s">
        <v>64</v>
      </c>
      <c r="H1029">
        <v>8</v>
      </c>
      <c r="I1029">
        <v>93175.99</v>
      </c>
      <c r="J1029">
        <v>0</v>
      </c>
      <c r="K1029">
        <v>745407.92</v>
      </c>
      <c r="L1029">
        <v>548753.77</v>
      </c>
      <c r="M1029">
        <v>196654.15</v>
      </c>
      <c r="N1029" s="7" t="s">
        <v>59</v>
      </c>
      <c r="O1029" s="9">
        <f>IFERROR(RawSalesTable_[[#This Row],[Profit]]/RawSalesTable_[[#This Row],[Revenue]],0)</f>
        <v>0.26382084858985666</v>
      </c>
    </row>
    <row r="1030" spans="1:15">
      <c r="A1030" s="7" t="s">
        <v>1160</v>
      </c>
      <c r="B1030" s="8">
        <v>45715</v>
      </c>
      <c r="C1030" s="7" t="s">
        <v>28</v>
      </c>
      <c r="D1030" s="7" t="s">
        <v>52</v>
      </c>
      <c r="E1030" s="7" t="s">
        <v>30</v>
      </c>
      <c r="F1030" s="7" t="s">
        <v>31</v>
      </c>
      <c r="G1030" s="7" t="s">
        <v>19</v>
      </c>
      <c r="H1030">
        <v>4</v>
      </c>
      <c r="I1030">
        <v>131754.16</v>
      </c>
      <c r="J1030">
        <v>0</v>
      </c>
      <c r="K1030">
        <v>527016.64</v>
      </c>
      <c r="L1030">
        <v>406216.2</v>
      </c>
      <c r="M1030">
        <v>120800.44</v>
      </c>
      <c r="N1030" s="7" t="s">
        <v>26</v>
      </c>
      <c r="O1030" s="9">
        <f>IFERROR(RawSalesTable_[[#This Row],[Profit]]/RawSalesTable_[[#This Row],[Revenue]],0)</f>
        <v>0.22921560882783512</v>
      </c>
    </row>
    <row r="1031" spans="1:15">
      <c r="A1031" s="7" t="s">
        <v>1161</v>
      </c>
      <c r="B1031" s="8">
        <v>45825</v>
      </c>
      <c r="C1031" s="7" t="s">
        <v>22</v>
      </c>
      <c r="D1031" s="7" t="s">
        <v>35</v>
      </c>
      <c r="E1031" s="7" t="s">
        <v>30</v>
      </c>
      <c r="F1031" s="7" t="s">
        <v>40</v>
      </c>
      <c r="G1031" s="7" t="s">
        <v>32</v>
      </c>
      <c r="H1031">
        <v>2</v>
      </c>
      <c r="I1031">
        <v>25056.2</v>
      </c>
      <c r="J1031">
        <v>0.05</v>
      </c>
      <c r="K1031">
        <v>47606.78</v>
      </c>
      <c r="L1031">
        <v>30968.49</v>
      </c>
      <c r="M1031">
        <v>16638.29</v>
      </c>
      <c r="N1031" s="7" t="s">
        <v>59</v>
      </c>
      <c r="O1031" s="9">
        <f>IFERROR(RawSalesTable_[[#This Row],[Profit]]/RawSalesTable_[[#This Row],[Revenue]],0)</f>
        <v>0.34949412667691454</v>
      </c>
    </row>
    <row r="1032" spans="1:15">
      <c r="A1032" s="7" t="s">
        <v>1162</v>
      </c>
      <c r="B1032" s="8">
        <v>45806</v>
      </c>
      <c r="C1032" s="7" t="s">
        <v>28</v>
      </c>
      <c r="D1032" s="7" t="s">
        <v>29</v>
      </c>
      <c r="E1032" s="7" t="s">
        <v>30</v>
      </c>
      <c r="F1032" s="7" t="s">
        <v>40</v>
      </c>
      <c r="G1032" s="7" t="s">
        <v>61</v>
      </c>
      <c r="H1032">
        <v>5</v>
      </c>
      <c r="I1032">
        <v>24977.91</v>
      </c>
      <c r="J1032">
        <v>0</v>
      </c>
      <c r="K1032">
        <v>124889.55</v>
      </c>
      <c r="L1032">
        <v>78666.710000000006</v>
      </c>
      <c r="M1032">
        <v>46222.84</v>
      </c>
      <c r="N1032" s="7" t="s">
        <v>33</v>
      </c>
      <c r="O1032" s="9">
        <f>IFERROR(RawSalesTable_[[#This Row],[Profit]]/RawSalesTable_[[#This Row],[Revenue]],0)</f>
        <v>0.37010974897419358</v>
      </c>
    </row>
    <row r="1033" spans="1:15">
      <c r="A1033" s="7" t="s">
        <v>1163</v>
      </c>
      <c r="B1033" s="8">
        <v>45674</v>
      </c>
      <c r="C1033" s="7" t="s">
        <v>22</v>
      </c>
      <c r="D1033" s="7" t="s">
        <v>37</v>
      </c>
      <c r="E1033" s="7" t="s">
        <v>44</v>
      </c>
      <c r="F1033" s="7" t="s">
        <v>69</v>
      </c>
      <c r="G1033" s="7" t="s">
        <v>61</v>
      </c>
      <c r="H1033">
        <v>6</v>
      </c>
      <c r="I1033">
        <v>40674.83</v>
      </c>
      <c r="J1033">
        <v>0.05</v>
      </c>
      <c r="K1033">
        <v>231846.53</v>
      </c>
      <c r="L1033">
        <v>160391.54</v>
      </c>
      <c r="M1033">
        <v>71454.990000000005</v>
      </c>
      <c r="N1033" s="7" t="s">
        <v>20</v>
      </c>
      <c r="O1033" s="9">
        <f>IFERROR(RawSalesTable_[[#This Row],[Profit]]/RawSalesTable_[[#This Row],[Revenue]],0)</f>
        <v>0.30819952319320892</v>
      </c>
    </row>
    <row r="1034" spans="1:15">
      <c r="A1034" s="7" t="s">
        <v>1164</v>
      </c>
      <c r="B1034" s="8">
        <v>45928</v>
      </c>
      <c r="C1034" s="7" t="s">
        <v>15</v>
      </c>
      <c r="D1034" s="7" t="s">
        <v>16</v>
      </c>
      <c r="E1034" s="7" t="s">
        <v>17</v>
      </c>
      <c r="F1034" s="7" t="s">
        <v>24</v>
      </c>
      <c r="G1034" s="7" t="s">
        <v>64</v>
      </c>
      <c r="H1034">
        <v>7</v>
      </c>
      <c r="I1034">
        <v>92573.6</v>
      </c>
      <c r="J1034">
        <v>0</v>
      </c>
      <c r="K1034">
        <v>648015.19999999995</v>
      </c>
      <c r="L1034">
        <v>489961.87</v>
      </c>
      <c r="M1034">
        <v>158053.32999999999</v>
      </c>
      <c r="N1034" s="7" t="s">
        <v>20</v>
      </c>
      <c r="O1034" s="9">
        <f>IFERROR(RawSalesTable_[[#This Row],[Profit]]/RawSalesTable_[[#This Row],[Revenue]],0)</f>
        <v>0.24390373867773471</v>
      </c>
    </row>
    <row r="1035" spans="1:15">
      <c r="A1035" s="7" t="s">
        <v>1165</v>
      </c>
      <c r="B1035" s="8">
        <v>45782</v>
      </c>
      <c r="C1035" s="7" t="s">
        <v>15</v>
      </c>
      <c r="D1035" s="7" t="s">
        <v>43</v>
      </c>
      <c r="E1035" s="7" t="s">
        <v>49</v>
      </c>
      <c r="F1035" s="7" t="s">
        <v>57</v>
      </c>
      <c r="G1035" s="7" t="s">
        <v>32</v>
      </c>
      <c r="H1035">
        <v>5</v>
      </c>
      <c r="I1035">
        <v>10938.84</v>
      </c>
      <c r="J1035">
        <v>0.1</v>
      </c>
      <c r="K1035">
        <v>49224.78</v>
      </c>
      <c r="L1035">
        <v>32191.72</v>
      </c>
      <c r="M1035">
        <v>17033.060000000001</v>
      </c>
      <c r="N1035" s="7" t="s">
        <v>26</v>
      </c>
      <c r="O1035" s="9">
        <f>IFERROR(RawSalesTable_[[#This Row],[Profit]]/RawSalesTable_[[#This Row],[Revenue]],0)</f>
        <v>0.34602612749107264</v>
      </c>
    </row>
    <row r="1036" spans="1:15">
      <c r="A1036" s="7" t="s">
        <v>1166</v>
      </c>
      <c r="B1036" s="8">
        <v>45867</v>
      </c>
      <c r="C1036" s="7" t="s">
        <v>28</v>
      </c>
      <c r="D1036" s="7" t="s">
        <v>52</v>
      </c>
      <c r="E1036" s="7" t="s">
        <v>49</v>
      </c>
      <c r="F1036" s="7" t="s">
        <v>57</v>
      </c>
      <c r="G1036" s="7" t="s">
        <v>32</v>
      </c>
      <c r="H1036">
        <v>2</v>
      </c>
      <c r="I1036">
        <v>11855.25</v>
      </c>
      <c r="J1036">
        <v>0.05</v>
      </c>
      <c r="K1036">
        <v>22524.97</v>
      </c>
      <c r="L1036">
        <v>13276.85</v>
      </c>
      <c r="M1036">
        <v>9248.1200000000008</v>
      </c>
      <c r="N1036" s="7" t="s">
        <v>33</v>
      </c>
      <c r="O1036" s="9">
        <f>IFERROR(RawSalesTable_[[#This Row],[Profit]]/RawSalesTable_[[#This Row],[Revenue]],0)</f>
        <v>0.41057191197146992</v>
      </c>
    </row>
    <row r="1037" spans="1:15">
      <c r="A1037" s="7" t="s">
        <v>1167</v>
      </c>
      <c r="B1037" s="8">
        <v>45775</v>
      </c>
      <c r="C1037" s="7" t="s">
        <v>28</v>
      </c>
      <c r="D1037" s="7" t="s">
        <v>29</v>
      </c>
      <c r="E1037" s="7" t="s">
        <v>17</v>
      </c>
      <c r="F1037" s="7" t="s">
        <v>18</v>
      </c>
      <c r="G1037" s="7" t="s">
        <v>61</v>
      </c>
      <c r="H1037">
        <v>8</v>
      </c>
      <c r="I1037">
        <v>14744.11</v>
      </c>
      <c r="J1037">
        <v>0.05</v>
      </c>
      <c r="K1037">
        <v>112055.24</v>
      </c>
      <c r="L1037">
        <v>67242.710000000006</v>
      </c>
      <c r="M1037">
        <v>44812.53</v>
      </c>
      <c r="N1037" s="7" t="s">
        <v>26</v>
      </c>
      <c r="O1037" s="9">
        <f>IFERROR(RawSalesTable_[[#This Row],[Profit]]/RawSalesTable_[[#This Row],[Revenue]],0)</f>
        <v>0.39991463139073191</v>
      </c>
    </row>
    <row r="1038" spans="1:15">
      <c r="A1038" s="7" t="s">
        <v>1168</v>
      </c>
      <c r="B1038" s="8">
        <v>45873</v>
      </c>
      <c r="C1038" s="7" t="s">
        <v>28</v>
      </c>
      <c r="D1038" s="7" t="s">
        <v>29</v>
      </c>
      <c r="E1038" s="7" t="s">
        <v>44</v>
      </c>
      <c r="F1038" s="7" t="s">
        <v>69</v>
      </c>
      <c r="G1038" s="7" t="s">
        <v>61</v>
      </c>
      <c r="H1038">
        <v>5</v>
      </c>
      <c r="I1038">
        <v>37036.76</v>
      </c>
      <c r="J1038">
        <v>0</v>
      </c>
      <c r="K1038">
        <v>185183.8</v>
      </c>
      <c r="L1038">
        <v>126841.7</v>
      </c>
      <c r="M1038">
        <v>58342.1</v>
      </c>
      <c r="N1038" s="7" t="s">
        <v>20</v>
      </c>
      <c r="O1038" s="9">
        <f>IFERROR(RawSalesTable_[[#This Row],[Profit]]/RawSalesTable_[[#This Row],[Revenue]],0)</f>
        <v>0.31504969657173038</v>
      </c>
    </row>
    <row r="1039" spans="1:15">
      <c r="A1039" s="7" t="s">
        <v>1169</v>
      </c>
      <c r="B1039" s="8">
        <v>45941</v>
      </c>
      <c r="C1039" s="7" t="s">
        <v>15</v>
      </c>
      <c r="D1039" s="7" t="s">
        <v>16</v>
      </c>
      <c r="E1039" s="7" t="s">
        <v>44</v>
      </c>
      <c r="F1039" s="7" t="s">
        <v>53</v>
      </c>
      <c r="G1039" s="7" t="s">
        <v>70</v>
      </c>
      <c r="H1039">
        <v>1</v>
      </c>
      <c r="I1039">
        <v>8046.81</v>
      </c>
      <c r="J1039">
        <v>0.05</v>
      </c>
      <c r="K1039">
        <v>7644.47</v>
      </c>
      <c r="L1039">
        <v>4843.34</v>
      </c>
      <c r="M1039">
        <v>2801.13</v>
      </c>
      <c r="N1039" s="7" t="s">
        <v>33</v>
      </c>
      <c r="O1039" s="9">
        <f>IFERROR(RawSalesTable_[[#This Row],[Profit]]/RawSalesTable_[[#This Row],[Revenue]],0)</f>
        <v>0.36642566456536557</v>
      </c>
    </row>
    <row r="1040" spans="1:15">
      <c r="A1040" s="7" t="s">
        <v>1170</v>
      </c>
      <c r="B1040" s="8">
        <v>45929</v>
      </c>
      <c r="C1040" s="7" t="s">
        <v>22</v>
      </c>
      <c r="D1040" s="7" t="s">
        <v>23</v>
      </c>
      <c r="E1040" s="7" t="s">
        <v>49</v>
      </c>
      <c r="F1040" s="7" t="s">
        <v>91</v>
      </c>
      <c r="G1040" s="7" t="s">
        <v>25</v>
      </c>
      <c r="H1040">
        <v>3</v>
      </c>
      <c r="I1040">
        <v>7009.53</v>
      </c>
      <c r="J1040">
        <v>0</v>
      </c>
      <c r="K1040">
        <v>21028.59</v>
      </c>
      <c r="L1040">
        <v>10865.26</v>
      </c>
      <c r="M1040">
        <v>10163.33</v>
      </c>
      <c r="N1040" s="7" t="s">
        <v>20</v>
      </c>
      <c r="O1040" s="9">
        <f>IFERROR(RawSalesTable_[[#This Row],[Profit]]/RawSalesTable_[[#This Row],[Revenue]],0)</f>
        <v>0.48331010305493616</v>
      </c>
    </row>
    <row r="1041" spans="1:15">
      <c r="A1041" s="7" t="s">
        <v>1171</v>
      </c>
      <c r="B1041" s="8">
        <v>45973</v>
      </c>
      <c r="C1041" s="7" t="s">
        <v>28</v>
      </c>
      <c r="D1041" s="7" t="s">
        <v>52</v>
      </c>
      <c r="E1041" s="7" t="s">
        <v>49</v>
      </c>
      <c r="F1041" s="7" t="s">
        <v>1590</v>
      </c>
      <c r="G1041" s="7" t="s">
        <v>19</v>
      </c>
      <c r="H1041">
        <v>5</v>
      </c>
      <c r="I1041">
        <v>3943.99</v>
      </c>
      <c r="J1041">
        <v>0.05</v>
      </c>
      <c r="K1041">
        <v>18733.95</v>
      </c>
      <c r="L1041">
        <v>10619.74</v>
      </c>
      <c r="M1041">
        <v>8114.21</v>
      </c>
      <c r="N1041" s="7" t="s">
        <v>33</v>
      </c>
      <c r="O1041" s="9">
        <f>IFERROR(RawSalesTable_[[#This Row],[Profit]]/RawSalesTable_[[#This Row],[Revenue]],0)</f>
        <v>0.43312862476946934</v>
      </c>
    </row>
    <row r="1042" spans="1:15">
      <c r="A1042" s="7" t="s">
        <v>1172</v>
      </c>
      <c r="B1042" s="8">
        <v>45806</v>
      </c>
      <c r="C1042" s="7" t="s">
        <v>22</v>
      </c>
      <c r="D1042" s="7" t="s">
        <v>37</v>
      </c>
      <c r="E1042" s="7" t="s">
        <v>30</v>
      </c>
      <c r="F1042" s="7" t="s">
        <v>40</v>
      </c>
      <c r="G1042" s="7" t="s">
        <v>70</v>
      </c>
      <c r="H1042">
        <v>7</v>
      </c>
      <c r="I1042">
        <v>25012.86</v>
      </c>
      <c r="J1042">
        <v>0.15</v>
      </c>
      <c r="K1042">
        <v>148826.51999999999</v>
      </c>
      <c r="L1042">
        <v>113745.06</v>
      </c>
      <c r="M1042">
        <v>35081.46</v>
      </c>
      <c r="N1042" s="7" t="s">
        <v>26</v>
      </c>
      <c r="O1042" s="9">
        <f>IFERROR(RawSalesTable_[[#This Row],[Profit]]/RawSalesTable_[[#This Row],[Revenue]],0)</f>
        <v>0.23572048852583533</v>
      </c>
    </row>
    <row r="1043" spans="1:15">
      <c r="A1043" s="7" t="s">
        <v>1173</v>
      </c>
      <c r="B1043" s="8">
        <v>45890</v>
      </c>
      <c r="C1043" s="7" t="s">
        <v>15</v>
      </c>
      <c r="D1043" s="7" t="s">
        <v>16</v>
      </c>
      <c r="E1043" s="7" t="s">
        <v>17</v>
      </c>
      <c r="F1043" s="7" t="s">
        <v>24</v>
      </c>
      <c r="G1043" s="7" t="s">
        <v>25</v>
      </c>
      <c r="H1043">
        <v>1</v>
      </c>
      <c r="I1043">
        <v>93377.1</v>
      </c>
      <c r="J1043">
        <v>0.05</v>
      </c>
      <c r="K1043">
        <v>88708.24</v>
      </c>
      <c r="L1043">
        <v>69167.8</v>
      </c>
      <c r="M1043">
        <v>19540.439999999999</v>
      </c>
      <c r="N1043" s="7" t="s">
        <v>59</v>
      </c>
      <c r="O1043" s="9">
        <f>IFERROR(RawSalesTable_[[#This Row],[Profit]]/RawSalesTable_[[#This Row],[Revenue]],0)</f>
        <v>0.22027762020754776</v>
      </c>
    </row>
    <row r="1044" spans="1:15">
      <c r="A1044" s="7" t="s">
        <v>1174</v>
      </c>
      <c r="B1044" s="8">
        <v>45923</v>
      </c>
      <c r="C1044" s="7" t="s">
        <v>28</v>
      </c>
      <c r="D1044" s="7" t="s">
        <v>52</v>
      </c>
      <c r="E1044" s="7" t="s">
        <v>30</v>
      </c>
      <c r="F1044" s="7" t="s">
        <v>31</v>
      </c>
      <c r="G1044" s="7" t="s">
        <v>25</v>
      </c>
      <c r="H1044">
        <v>4</v>
      </c>
      <c r="I1044">
        <v>130622.73</v>
      </c>
      <c r="J1044">
        <v>0.05</v>
      </c>
      <c r="K1044">
        <v>496366.37</v>
      </c>
      <c r="L1044">
        <v>393245.58</v>
      </c>
      <c r="M1044">
        <v>103120.79</v>
      </c>
      <c r="N1044" s="7" t="s">
        <v>59</v>
      </c>
      <c r="O1044" s="9">
        <f>IFERROR(RawSalesTable_[[#This Row],[Profit]]/RawSalesTable_[[#This Row],[Revenue]],0)</f>
        <v>0.20775136317152187</v>
      </c>
    </row>
    <row r="1045" spans="1:15">
      <c r="A1045" s="7" t="s">
        <v>1175</v>
      </c>
      <c r="B1045" s="8">
        <v>45765</v>
      </c>
      <c r="C1045" s="7" t="s">
        <v>28</v>
      </c>
      <c r="D1045" s="7" t="s">
        <v>56</v>
      </c>
      <c r="E1045" s="7" t="s">
        <v>30</v>
      </c>
      <c r="F1045" s="7" t="s">
        <v>86</v>
      </c>
      <c r="G1045" s="7" t="s">
        <v>25</v>
      </c>
      <c r="H1045">
        <v>3</v>
      </c>
      <c r="I1045">
        <v>30581.41</v>
      </c>
      <c r="J1045">
        <v>0.15</v>
      </c>
      <c r="K1045">
        <v>77982.600000000006</v>
      </c>
      <c r="L1045">
        <v>69644.27</v>
      </c>
      <c r="M1045">
        <v>8338.33</v>
      </c>
      <c r="N1045" s="7" t="s">
        <v>59</v>
      </c>
      <c r="O1045" s="9">
        <f>IFERROR(RawSalesTable_[[#This Row],[Profit]]/RawSalesTable_[[#This Row],[Revenue]],0)</f>
        <v>0.1069255192825066</v>
      </c>
    </row>
    <row r="1046" spans="1:15">
      <c r="A1046" s="7" t="s">
        <v>1176</v>
      </c>
      <c r="B1046" s="8">
        <v>45907</v>
      </c>
      <c r="C1046" s="7" t="s">
        <v>15</v>
      </c>
      <c r="D1046" s="7" t="s">
        <v>43</v>
      </c>
      <c r="E1046" s="7" t="s">
        <v>30</v>
      </c>
      <c r="F1046" s="7" t="s">
        <v>31</v>
      </c>
      <c r="G1046" s="7" t="s">
        <v>70</v>
      </c>
      <c r="H1046">
        <v>6</v>
      </c>
      <c r="I1046">
        <v>130351.48</v>
      </c>
      <c r="J1046">
        <v>0</v>
      </c>
      <c r="K1046">
        <v>782108.88</v>
      </c>
      <c r="L1046">
        <v>600030.31000000006</v>
      </c>
      <c r="M1046">
        <v>182078.57</v>
      </c>
      <c r="N1046" s="7" t="s">
        <v>26</v>
      </c>
      <c r="O1046" s="9">
        <f>IFERROR(RawSalesTable_[[#This Row],[Profit]]/RawSalesTable_[[#This Row],[Revenue]],0)</f>
        <v>0.23280463200980406</v>
      </c>
    </row>
    <row r="1047" spans="1:15">
      <c r="A1047" s="7" t="s">
        <v>1177</v>
      </c>
      <c r="B1047" s="8">
        <v>45940</v>
      </c>
      <c r="C1047" s="7" t="s">
        <v>22</v>
      </c>
      <c r="D1047" s="7" t="s">
        <v>35</v>
      </c>
      <c r="E1047" s="7" t="s">
        <v>30</v>
      </c>
      <c r="F1047" s="7" t="s">
        <v>31</v>
      </c>
      <c r="G1047" s="7" t="s">
        <v>61</v>
      </c>
      <c r="H1047">
        <v>4</v>
      </c>
      <c r="I1047">
        <v>138594.97</v>
      </c>
      <c r="J1047">
        <v>0</v>
      </c>
      <c r="K1047">
        <v>554379.88</v>
      </c>
      <c r="L1047">
        <v>394594.2</v>
      </c>
      <c r="M1047">
        <v>159785.68</v>
      </c>
      <c r="N1047" s="7" t="s">
        <v>33</v>
      </c>
      <c r="O1047" s="9">
        <f>IFERROR(RawSalesTable_[[#This Row],[Profit]]/RawSalesTable_[[#This Row],[Revenue]],0)</f>
        <v>0.28822416859717204</v>
      </c>
    </row>
    <row r="1048" spans="1:15">
      <c r="A1048" s="7" t="s">
        <v>1178</v>
      </c>
      <c r="B1048" s="8">
        <v>45802</v>
      </c>
      <c r="C1048" s="7" t="s">
        <v>15</v>
      </c>
      <c r="D1048" s="7" t="s">
        <v>16</v>
      </c>
      <c r="E1048" s="7" t="s">
        <v>44</v>
      </c>
      <c r="F1048" s="7" t="s">
        <v>80</v>
      </c>
      <c r="G1048" s="7" t="s">
        <v>25</v>
      </c>
      <c r="H1048">
        <v>8</v>
      </c>
      <c r="I1048">
        <v>45287.63</v>
      </c>
      <c r="J1048">
        <v>0</v>
      </c>
      <c r="K1048">
        <v>362301.04</v>
      </c>
      <c r="L1048">
        <v>246975.22</v>
      </c>
      <c r="M1048">
        <v>115325.82</v>
      </c>
      <c r="N1048" s="7" t="s">
        <v>20</v>
      </c>
      <c r="O1048" s="9">
        <f>IFERROR(RawSalesTable_[[#This Row],[Profit]]/RawSalesTable_[[#This Row],[Revenue]],0)</f>
        <v>0.31831490188380362</v>
      </c>
    </row>
    <row r="1049" spans="1:15">
      <c r="A1049" s="7" t="s">
        <v>1180</v>
      </c>
      <c r="B1049" s="8">
        <v>45696</v>
      </c>
      <c r="C1049" s="7" t="s">
        <v>22</v>
      </c>
      <c r="D1049" s="7" t="s">
        <v>23</v>
      </c>
      <c r="E1049" s="7" t="s">
        <v>30</v>
      </c>
      <c r="F1049" s="7" t="s">
        <v>31</v>
      </c>
      <c r="G1049" s="7" t="s">
        <v>32</v>
      </c>
      <c r="H1049">
        <v>6</v>
      </c>
      <c r="I1049">
        <v>141558.65</v>
      </c>
      <c r="J1049">
        <v>0.15</v>
      </c>
      <c r="K1049">
        <v>721949.11</v>
      </c>
      <c r="L1049">
        <v>621472.65</v>
      </c>
      <c r="M1049">
        <v>100476.46</v>
      </c>
      <c r="N1049" s="7" t="s">
        <v>26</v>
      </c>
      <c r="O1049" s="9">
        <f>IFERROR(RawSalesTable_[[#This Row],[Profit]]/RawSalesTable_[[#This Row],[Revenue]],0)</f>
        <v>0.13917388166044004</v>
      </c>
    </row>
    <row r="1050" spans="1:15">
      <c r="A1050" s="7" t="s">
        <v>1181</v>
      </c>
      <c r="B1050" s="8">
        <v>45677</v>
      </c>
      <c r="C1050" s="7" t="s">
        <v>15</v>
      </c>
      <c r="D1050" s="7" t="s">
        <v>63</v>
      </c>
      <c r="E1050" s="7" t="s">
        <v>30</v>
      </c>
      <c r="F1050" s="7" t="s">
        <v>40</v>
      </c>
      <c r="G1050" s="7" t="s">
        <v>25</v>
      </c>
      <c r="H1050">
        <v>2</v>
      </c>
      <c r="I1050">
        <v>25310.69</v>
      </c>
      <c r="J1050">
        <v>0.05</v>
      </c>
      <c r="K1050">
        <v>48090.31</v>
      </c>
      <c r="L1050">
        <v>32625.71</v>
      </c>
      <c r="M1050">
        <v>15464.6</v>
      </c>
      <c r="N1050" s="7" t="s">
        <v>33</v>
      </c>
      <c r="O1050" s="9">
        <f>IFERROR(RawSalesTable_[[#This Row],[Profit]]/RawSalesTable_[[#This Row],[Revenue]],0)</f>
        <v>0.3215741383243319</v>
      </c>
    </row>
    <row r="1051" spans="1:15">
      <c r="A1051" s="7" t="s">
        <v>1182</v>
      </c>
      <c r="B1051" s="8">
        <v>45728</v>
      </c>
      <c r="C1051" s="7" t="s">
        <v>15</v>
      </c>
      <c r="D1051" s="7" t="s">
        <v>43</v>
      </c>
      <c r="E1051" s="7" t="s">
        <v>30</v>
      </c>
      <c r="F1051" s="7" t="s">
        <v>86</v>
      </c>
      <c r="G1051" s="7" t="s">
        <v>25</v>
      </c>
      <c r="H1051">
        <v>1</v>
      </c>
      <c r="I1051">
        <v>35371.68</v>
      </c>
      <c r="J1051">
        <v>0.15</v>
      </c>
      <c r="K1051">
        <v>30065.93</v>
      </c>
      <c r="L1051">
        <v>21837.55</v>
      </c>
      <c r="M1051">
        <v>8228.3799999999992</v>
      </c>
      <c r="N1051" s="7" t="s">
        <v>26</v>
      </c>
      <c r="O1051" s="9">
        <f>IFERROR(RawSalesTable_[[#This Row],[Profit]]/RawSalesTable_[[#This Row],[Revenue]],0)</f>
        <v>0.27367788057778353</v>
      </c>
    </row>
    <row r="1052" spans="1:15">
      <c r="A1052" s="7" t="s">
        <v>1183</v>
      </c>
      <c r="B1052" s="8">
        <v>45802</v>
      </c>
      <c r="C1052" s="7" t="s">
        <v>15</v>
      </c>
      <c r="D1052" s="7" t="s">
        <v>16</v>
      </c>
      <c r="E1052" s="7" t="s">
        <v>30</v>
      </c>
      <c r="F1052" s="7" t="s">
        <v>40</v>
      </c>
      <c r="G1052" s="7" t="s">
        <v>61</v>
      </c>
      <c r="H1052">
        <v>3</v>
      </c>
      <c r="I1052">
        <v>24439.27</v>
      </c>
      <c r="J1052">
        <v>0</v>
      </c>
      <c r="K1052">
        <v>73317.81</v>
      </c>
      <c r="L1052">
        <v>48411.95</v>
      </c>
      <c r="M1052">
        <v>24905.86</v>
      </c>
      <c r="N1052" s="7" t="s">
        <v>26</v>
      </c>
      <c r="O1052" s="9">
        <f>IFERROR(RawSalesTable_[[#This Row],[Profit]]/RawSalesTable_[[#This Row],[Revenue]],0)</f>
        <v>0.33969727137239919</v>
      </c>
    </row>
    <row r="1053" spans="1:15">
      <c r="A1053" s="7" t="s">
        <v>1184</v>
      </c>
      <c r="B1053" s="8">
        <v>46021</v>
      </c>
      <c r="C1053" s="7" t="s">
        <v>15</v>
      </c>
      <c r="D1053" s="7" t="s">
        <v>16</v>
      </c>
      <c r="E1053" s="7" t="s">
        <v>44</v>
      </c>
      <c r="F1053" s="7" t="s">
        <v>80</v>
      </c>
      <c r="G1053" s="7" t="s">
        <v>61</v>
      </c>
      <c r="H1053">
        <v>7</v>
      </c>
      <c r="I1053">
        <v>40022.76</v>
      </c>
      <c r="J1053">
        <v>0.1</v>
      </c>
      <c r="K1053">
        <v>252143.39</v>
      </c>
      <c r="L1053">
        <v>219774.39</v>
      </c>
      <c r="M1053">
        <v>32369</v>
      </c>
      <c r="N1053" s="7" t="s">
        <v>33</v>
      </c>
      <c r="O1053" s="9">
        <f>IFERROR(RawSalesTable_[[#This Row],[Profit]]/RawSalesTable_[[#This Row],[Revenue]],0)</f>
        <v>0.1283753660962518</v>
      </c>
    </row>
    <row r="1054" spans="1:15">
      <c r="A1054" s="7" t="s">
        <v>1185</v>
      </c>
      <c r="B1054" s="8">
        <v>45720</v>
      </c>
      <c r="C1054" s="7" t="s">
        <v>28</v>
      </c>
      <c r="D1054" s="7" t="s">
        <v>29</v>
      </c>
      <c r="E1054" s="7" t="s">
        <v>30</v>
      </c>
      <c r="F1054" s="7" t="s">
        <v>40</v>
      </c>
      <c r="G1054" s="7" t="s">
        <v>58</v>
      </c>
      <c r="H1054">
        <v>4</v>
      </c>
      <c r="I1054">
        <v>25039.84</v>
      </c>
      <c r="J1054">
        <v>0.5</v>
      </c>
      <c r="K1054">
        <v>95151.39</v>
      </c>
      <c r="L1054">
        <v>63650.76</v>
      </c>
      <c r="M1054">
        <v>31500.63</v>
      </c>
      <c r="N1054" s="7" t="s">
        <v>26</v>
      </c>
      <c r="O1054" s="9">
        <f>IFERROR(RawSalesTable_[[#This Row],[Profit]]/RawSalesTable_[[#This Row],[Revenue]],0)</f>
        <v>0.3310580118692959</v>
      </c>
    </row>
    <row r="1055" spans="1:15">
      <c r="A1055" s="7" t="s">
        <v>1189</v>
      </c>
      <c r="B1055" s="8">
        <v>45821</v>
      </c>
      <c r="C1055" s="7" t="s">
        <v>28</v>
      </c>
      <c r="D1055" s="7" t="s">
        <v>56</v>
      </c>
      <c r="E1055" s="7" t="s">
        <v>49</v>
      </c>
      <c r="F1055" s="7" t="s">
        <v>57</v>
      </c>
      <c r="G1055" s="7" t="s">
        <v>19</v>
      </c>
      <c r="H1055">
        <v>4</v>
      </c>
      <c r="I1055">
        <v>11798.85</v>
      </c>
      <c r="J1055">
        <v>0</v>
      </c>
      <c r="K1055">
        <v>47195.4</v>
      </c>
      <c r="L1055">
        <v>25540.67</v>
      </c>
      <c r="M1055">
        <v>21654.73</v>
      </c>
      <c r="N1055" s="7" t="s">
        <v>59</v>
      </c>
      <c r="O1055" s="9">
        <f>IFERROR(RawSalesTable_[[#This Row],[Profit]]/RawSalesTable_[[#This Row],[Revenue]],0)</f>
        <v>0.45883136915885869</v>
      </c>
    </row>
    <row r="1056" spans="1:15">
      <c r="A1056" s="7" t="s">
        <v>1190</v>
      </c>
      <c r="B1056" s="8">
        <v>45806</v>
      </c>
      <c r="C1056" s="7" t="s">
        <v>15</v>
      </c>
      <c r="D1056" s="7" t="s">
        <v>63</v>
      </c>
      <c r="E1056" s="7" t="s">
        <v>44</v>
      </c>
      <c r="F1056" s="7" t="s">
        <v>53</v>
      </c>
      <c r="G1056" s="7" t="s">
        <v>58</v>
      </c>
      <c r="H1056">
        <v>8</v>
      </c>
      <c r="I1056">
        <v>8637.44</v>
      </c>
      <c r="J1056">
        <v>0.15</v>
      </c>
      <c r="K1056">
        <v>58734.59</v>
      </c>
      <c r="L1056">
        <v>38668.46</v>
      </c>
      <c r="M1056">
        <v>20066.13</v>
      </c>
      <c r="N1056" s="7" t="s">
        <v>26</v>
      </c>
      <c r="O1056" s="9">
        <f>IFERROR(RawSalesTable_[[#This Row],[Profit]]/RawSalesTable_[[#This Row],[Revenue]],0)</f>
        <v>0.34164076058077536</v>
      </c>
    </row>
    <row r="1057" spans="1:15">
      <c r="A1057" s="7" t="s">
        <v>1191</v>
      </c>
      <c r="B1057" s="8">
        <v>45791</v>
      </c>
      <c r="C1057" s="7" t="s">
        <v>28</v>
      </c>
      <c r="D1057" s="7" t="s">
        <v>52</v>
      </c>
      <c r="E1057" s="7" t="s">
        <v>30</v>
      </c>
      <c r="F1057" s="7" t="s">
        <v>38</v>
      </c>
      <c r="G1057" s="7" t="s">
        <v>64</v>
      </c>
      <c r="H1057">
        <v>6</v>
      </c>
      <c r="I1057">
        <v>26616.51</v>
      </c>
      <c r="J1057">
        <v>0.05</v>
      </c>
      <c r="K1057">
        <v>151714.10999999999</v>
      </c>
      <c r="L1057">
        <v>107974.51</v>
      </c>
      <c r="M1057">
        <v>43739.6</v>
      </c>
      <c r="N1057" s="7" t="s">
        <v>59</v>
      </c>
      <c r="O1057" s="9">
        <f>IFERROR(RawSalesTable_[[#This Row],[Profit]]/RawSalesTable_[[#This Row],[Revenue]],0)</f>
        <v>0.28830278212092469</v>
      </c>
    </row>
    <row r="1058" spans="1:15">
      <c r="A1058" s="7" t="s">
        <v>1192</v>
      </c>
      <c r="B1058" s="8">
        <v>45743</v>
      </c>
      <c r="C1058" s="7" t="s">
        <v>28</v>
      </c>
      <c r="D1058" s="7" t="s">
        <v>29</v>
      </c>
      <c r="E1058" s="7" t="s">
        <v>44</v>
      </c>
      <c r="F1058" s="7" t="s">
        <v>69</v>
      </c>
      <c r="G1058" s="7" t="s">
        <v>47</v>
      </c>
      <c r="H1058">
        <v>1</v>
      </c>
      <c r="I1058">
        <v>36835.74</v>
      </c>
      <c r="J1058">
        <v>0.05</v>
      </c>
      <c r="K1058">
        <v>34993.949999999997</v>
      </c>
      <c r="L1058">
        <v>25622.78</v>
      </c>
      <c r="M1058">
        <v>9371.17</v>
      </c>
      <c r="N1058" s="7" t="s">
        <v>33</v>
      </c>
      <c r="O1058" s="9">
        <f>IFERROR(RawSalesTable_[[#This Row],[Profit]]/RawSalesTable_[[#This Row],[Revenue]],0)</f>
        <v>0.26779400439218781</v>
      </c>
    </row>
    <row r="1059" spans="1:15">
      <c r="A1059" s="7" t="s">
        <v>1193</v>
      </c>
      <c r="B1059" s="8">
        <v>45704</v>
      </c>
      <c r="C1059" s="7" t="s">
        <v>15</v>
      </c>
      <c r="D1059" s="7" t="s">
        <v>43</v>
      </c>
      <c r="E1059" s="7" t="s">
        <v>30</v>
      </c>
      <c r="F1059" s="7" t="s">
        <v>86</v>
      </c>
      <c r="G1059" s="7" t="s">
        <v>32</v>
      </c>
      <c r="H1059">
        <v>1</v>
      </c>
      <c r="I1059">
        <v>35377.47</v>
      </c>
      <c r="J1059">
        <v>0</v>
      </c>
      <c r="K1059">
        <v>35377.47</v>
      </c>
      <c r="L1059">
        <v>23088.799999999999</v>
      </c>
      <c r="M1059">
        <v>12288.67</v>
      </c>
      <c r="N1059" s="7" t="s">
        <v>59</v>
      </c>
      <c r="O1059" s="9">
        <f>IFERROR(RawSalesTable_[[#This Row],[Profit]]/RawSalesTable_[[#This Row],[Revenue]],0)</f>
        <v>0.34735864379222142</v>
      </c>
    </row>
    <row r="1060" spans="1:15">
      <c r="A1060" s="7" t="s">
        <v>1194</v>
      </c>
      <c r="B1060" s="8">
        <v>45860</v>
      </c>
      <c r="C1060" s="7" t="s">
        <v>15</v>
      </c>
      <c r="D1060" s="7" t="s">
        <v>16</v>
      </c>
      <c r="E1060" s="7" t="s">
        <v>17</v>
      </c>
      <c r="F1060" s="7" t="s">
        <v>24</v>
      </c>
      <c r="G1060" s="7" t="s">
        <v>47</v>
      </c>
      <c r="H1060">
        <v>6</v>
      </c>
      <c r="I1060">
        <v>92522.16</v>
      </c>
      <c r="J1060">
        <v>0</v>
      </c>
      <c r="K1060">
        <v>555132.96</v>
      </c>
      <c r="L1060">
        <v>419697.54</v>
      </c>
      <c r="M1060">
        <v>135435.42000000001</v>
      </c>
      <c r="N1060" s="7" t="s">
        <v>59</v>
      </c>
      <c r="O1060" s="9">
        <f>IFERROR(RawSalesTable_[[#This Row],[Profit]]/RawSalesTable_[[#This Row],[Revenue]],0)</f>
        <v>0.24396933664324313</v>
      </c>
    </row>
    <row r="1061" spans="1:15">
      <c r="A1061" s="7" t="s">
        <v>1195</v>
      </c>
      <c r="B1061" s="8">
        <v>45676</v>
      </c>
      <c r="C1061" s="7" t="s">
        <v>22</v>
      </c>
      <c r="D1061" s="7" t="s">
        <v>35</v>
      </c>
      <c r="E1061" s="7" t="s">
        <v>30</v>
      </c>
      <c r="F1061" s="7" t="s">
        <v>40</v>
      </c>
      <c r="G1061" s="7" t="s">
        <v>64</v>
      </c>
      <c r="H1061">
        <v>4</v>
      </c>
      <c r="I1061">
        <v>24707.57</v>
      </c>
      <c r="J1061">
        <v>0</v>
      </c>
      <c r="K1061">
        <v>98830.28</v>
      </c>
      <c r="L1061">
        <v>65462.62</v>
      </c>
      <c r="M1061">
        <v>33367.660000000003</v>
      </c>
      <c r="N1061" s="7" t="s">
        <v>33</v>
      </c>
      <c r="O1061" s="9">
        <f>IFERROR(RawSalesTable_[[#This Row],[Profit]]/RawSalesTable_[[#This Row],[Revenue]],0)</f>
        <v>0.33762587741327865</v>
      </c>
    </row>
    <row r="1062" spans="1:15">
      <c r="A1062" s="7" t="s">
        <v>1196</v>
      </c>
      <c r="B1062" s="8">
        <v>46010</v>
      </c>
      <c r="C1062" s="7" t="s">
        <v>15</v>
      </c>
      <c r="D1062" s="7" t="s">
        <v>63</v>
      </c>
      <c r="E1062" s="7" t="s">
        <v>49</v>
      </c>
      <c r="F1062" s="7" t="s">
        <v>91</v>
      </c>
      <c r="G1062" s="7" t="s">
        <v>47</v>
      </c>
      <c r="H1062">
        <v>3</v>
      </c>
      <c r="I1062">
        <v>6274.41</v>
      </c>
      <c r="J1062">
        <v>0</v>
      </c>
      <c r="K1062">
        <v>18823.23</v>
      </c>
      <c r="L1062">
        <v>10649.88</v>
      </c>
      <c r="M1062">
        <v>8173.35</v>
      </c>
      <c r="N1062" s="7" t="s">
        <v>33</v>
      </c>
      <c r="O1062" s="9">
        <f>IFERROR(RawSalesTable_[[#This Row],[Profit]]/RawSalesTable_[[#This Row],[Revenue]],0)</f>
        <v>0.43421612550024624</v>
      </c>
    </row>
    <row r="1063" spans="1:15">
      <c r="A1063" s="7" t="s">
        <v>1197</v>
      </c>
      <c r="B1063" s="8">
        <v>45701</v>
      </c>
      <c r="C1063" s="7" t="s">
        <v>28</v>
      </c>
      <c r="D1063" s="7" t="s">
        <v>29</v>
      </c>
      <c r="E1063" s="7" t="s">
        <v>17</v>
      </c>
      <c r="F1063" s="7" t="s">
        <v>114</v>
      </c>
      <c r="G1063" s="7" t="s">
        <v>19</v>
      </c>
      <c r="H1063">
        <v>7</v>
      </c>
      <c r="I1063">
        <v>48931.53</v>
      </c>
      <c r="J1063">
        <v>0.15</v>
      </c>
      <c r="K1063">
        <v>291142.59999999998</v>
      </c>
      <c r="L1063">
        <v>263513.38</v>
      </c>
      <c r="M1063">
        <v>27629.22</v>
      </c>
      <c r="N1063" s="7" t="s">
        <v>33</v>
      </c>
      <c r="O1063" s="9">
        <f>IFERROR(RawSalesTable_[[#This Row],[Profit]]/RawSalesTable_[[#This Row],[Revenue]],0)</f>
        <v>9.4899269292779559E-2</v>
      </c>
    </row>
    <row r="1064" spans="1:15">
      <c r="A1064" s="7" t="s">
        <v>1199</v>
      </c>
      <c r="B1064" s="8">
        <v>45735</v>
      </c>
      <c r="C1064" s="7" t="s">
        <v>15</v>
      </c>
      <c r="D1064" s="7" t="s">
        <v>43</v>
      </c>
      <c r="E1064" s="7" t="s">
        <v>49</v>
      </c>
      <c r="F1064" s="7" t="s">
        <v>91</v>
      </c>
      <c r="G1064" s="7" t="s">
        <v>19</v>
      </c>
      <c r="H1064">
        <v>1</v>
      </c>
      <c r="I1064">
        <v>6752.36</v>
      </c>
      <c r="J1064">
        <v>0.1</v>
      </c>
      <c r="K1064">
        <v>6077.12</v>
      </c>
      <c r="L1064">
        <v>3644.43</v>
      </c>
      <c r="M1064">
        <v>2432.69</v>
      </c>
      <c r="N1064" s="7" t="s">
        <v>20</v>
      </c>
      <c r="O1064" s="9">
        <f>IFERROR(RawSalesTable_[[#This Row],[Profit]]/RawSalesTable_[[#This Row],[Revenue]],0)</f>
        <v>0.40030310410194303</v>
      </c>
    </row>
    <row r="1065" spans="1:15">
      <c r="A1065" s="7" t="s">
        <v>1200</v>
      </c>
      <c r="B1065" s="8">
        <v>45892</v>
      </c>
      <c r="C1065" s="7" t="s">
        <v>22</v>
      </c>
      <c r="D1065" s="7" t="s">
        <v>37</v>
      </c>
      <c r="E1065" s="7" t="s">
        <v>30</v>
      </c>
      <c r="F1065" s="7" t="s">
        <v>38</v>
      </c>
      <c r="G1065" s="7" t="s">
        <v>47</v>
      </c>
      <c r="H1065">
        <v>7</v>
      </c>
      <c r="I1065">
        <v>27053.38</v>
      </c>
      <c r="J1065">
        <v>0</v>
      </c>
      <c r="K1065">
        <v>189373.66</v>
      </c>
      <c r="L1065">
        <v>124885</v>
      </c>
      <c r="M1065">
        <v>64488.66</v>
      </c>
      <c r="N1065" s="7" t="s">
        <v>33</v>
      </c>
      <c r="O1065" s="9">
        <f>IFERROR(RawSalesTable_[[#This Row],[Profit]]/RawSalesTable_[[#This Row],[Revenue]],0)</f>
        <v>0.34053658782324853</v>
      </c>
    </row>
    <row r="1066" spans="1:15">
      <c r="A1066" s="7" t="s">
        <v>1201</v>
      </c>
      <c r="B1066" s="8">
        <v>45945</v>
      </c>
      <c r="C1066" s="7" t="s">
        <v>28</v>
      </c>
      <c r="D1066" s="7" t="s">
        <v>29</v>
      </c>
      <c r="E1066" s="7" t="s">
        <v>49</v>
      </c>
      <c r="F1066" s="7" t="s">
        <v>107</v>
      </c>
      <c r="G1066" s="7" t="s">
        <v>58</v>
      </c>
      <c r="H1066">
        <v>5</v>
      </c>
      <c r="I1066">
        <v>5141.37</v>
      </c>
      <c r="J1066">
        <v>0</v>
      </c>
      <c r="K1066">
        <v>25706.85</v>
      </c>
      <c r="L1066">
        <v>14008.71</v>
      </c>
      <c r="M1066">
        <v>11698.14</v>
      </c>
      <c r="N1066" s="7" t="s">
        <v>20</v>
      </c>
      <c r="O1066" s="9">
        <f>IFERROR(RawSalesTable_[[#This Row],[Profit]]/RawSalesTable_[[#This Row],[Revenue]],0)</f>
        <v>0.45505925463446512</v>
      </c>
    </row>
    <row r="1067" spans="1:15">
      <c r="A1067" s="7" t="s">
        <v>1202</v>
      </c>
      <c r="B1067" s="8">
        <v>45848</v>
      </c>
      <c r="C1067" s="7" t="s">
        <v>28</v>
      </c>
      <c r="D1067" s="7" t="s">
        <v>29</v>
      </c>
      <c r="E1067" s="7" t="s">
        <v>44</v>
      </c>
      <c r="F1067" s="7" t="s">
        <v>53</v>
      </c>
      <c r="G1067" s="7" t="s">
        <v>19</v>
      </c>
      <c r="H1067">
        <v>1</v>
      </c>
      <c r="I1067">
        <v>9170.69</v>
      </c>
      <c r="J1067">
        <v>0.15</v>
      </c>
      <c r="K1067">
        <v>7795.09</v>
      </c>
      <c r="L1067">
        <v>4888.0200000000004</v>
      </c>
      <c r="M1067">
        <v>2907.07</v>
      </c>
      <c r="N1067" s="7" t="s">
        <v>20</v>
      </c>
      <c r="O1067" s="9">
        <f>IFERROR(RawSalesTable_[[#This Row],[Profit]]/RawSalesTable_[[#This Row],[Revenue]],0)</f>
        <v>0.3729360405075503</v>
      </c>
    </row>
    <row r="1068" spans="1:15">
      <c r="A1068" s="7" t="s">
        <v>1203</v>
      </c>
      <c r="B1068" s="8">
        <v>45987</v>
      </c>
      <c r="C1068" s="7" t="s">
        <v>22</v>
      </c>
      <c r="D1068" s="7" t="s">
        <v>37</v>
      </c>
      <c r="E1068" s="7" t="s">
        <v>17</v>
      </c>
      <c r="F1068" s="7" t="s">
        <v>114</v>
      </c>
      <c r="G1068" s="7" t="s">
        <v>58</v>
      </c>
      <c r="H1068">
        <v>4</v>
      </c>
      <c r="I1068">
        <v>51559.75</v>
      </c>
      <c r="J1068">
        <v>0.05</v>
      </c>
      <c r="K1068">
        <v>195927.05</v>
      </c>
      <c r="L1068">
        <v>147375.43</v>
      </c>
      <c r="M1068">
        <v>48551.62</v>
      </c>
      <c r="N1068" s="7" t="s">
        <v>59</v>
      </c>
      <c r="O1068" s="9">
        <f>IFERROR(RawSalesTable_[[#This Row],[Profit]]/RawSalesTable_[[#This Row],[Revenue]],0)</f>
        <v>0.24780457828564256</v>
      </c>
    </row>
    <row r="1069" spans="1:15">
      <c r="A1069" s="7" t="s">
        <v>1204</v>
      </c>
      <c r="B1069" s="8">
        <v>45700</v>
      </c>
      <c r="C1069" s="7" t="s">
        <v>22</v>
      </c>
      <c r="D1069" s="7" t="s">
        <v>37</v>
      </c>
      <c r="E1069" s="7" t="s">
        <v>17</v>
      </c>
      <c r="F1069" s="7" t="s">
        <v>75</v>
      </c>
      <c r="G1069" s="7" t="s">
        <v>61</v>
      </c>
      <c r="H1069">
        <v>3</v>
      </c>
      <c r="I1069">
        <v>176347.38</v>
      </c>
      <c r="J1069">
        <v>0.05</v>
      </c>
      <c r="K1069">
        <v>502590.03</v>
      </c>
      <c r="L1069">
        <v>430915.47</v>
      </c>
      <c r="M1069">
        <v>71674.559999999998</v>
      </c>
      <c r="N1069" s="7" t="s">
        <v>20</v>
      </c>
      <c r="O1069" s="9">
        <f>IFERROR(RawSalesTable_[[#This Row],[Profit]]/RawSalesTable_[[#This Row],[Revenue]],0)</f>
        <v>0.14261038962511849</v>
      </c>
    </row>
    <row r="1070" spans="1:15">
      <c r="A1070" s="7" t="s">
        <v>1205</v>
      </c>
      <c r="B1070" s="8">
        <v>45735</v>
      </c>
      <c r="C1070" s="7" t="s">
        <v>15</v>
      </c>
      <c r="D1070" s="7" t="s">
        <v>63</v>
      </c>
      <c r="E1070" s="7" t="s">
        <v>44</v>
      </c>
      <c r="F1070" s="7" t="s">
        <v>80</v>
      </c>
      <c r="G1070" s="7" t="s">
        <v>64</v>
      </c>
      <c r="H1070">
        <v>8</v>
      </c>
      <c r="I1070">
        <v>41293.919999999998</v>
      </c>
      <c r="J1070">
        <v>0.05</v>
      </c>
      <c r="K1070">
        <v>313833.78999999998</v>
      </c>
      <c r="L1070">
        <v>253415.27</v>
      </c>
      <c r="M1070">
        <v>60418.52</v>
      </c>
      <c r="N1070" s="7" t="s">
        <v>59</v>
      </c>
      <c r="O1070" s="9">
        <f>IFERROR(RawSalesTable_[[#This Row],[Profit]]/RawSalesTable_[[#This Row],[Revenue]],0)</f>
        <v>0.19251757435042288</v>
      </c>
    </row>
    <row r="1071" spans="1:15">
      <c r="A1071" s="7" t="s">
        <v>1206</v>
      </c>
      <c r="B1071" s="8">
        <v>45937</v>
      </c>
      <c r="C1071" s="7" t="s">
        <v>15</v>
      </c>
      <c r="D1071" s="7" t="s">
        <v>43</v>
      </c>
      <c r="E1071" s="7" t="s">
        <v>49</v>
      </c>
      <c r="F1071" s="7" t="s">
        <v>91</v>
      </c>
      <c r="G1071" s="7" t="s">
        <v>70</v>
      </c>
      <c r="H1071">
        <v>5</v>
      </c>
      <c r="I1071">
        <v>6698.01</v>
      </c>
      <c r="J1071">
        <v>0.1</v>
      </c>
      <c r="K1071">
        <v>30141.05</v>
      </c>
      <c r="L1071">
        <v>18461.32</v>
      </c>
      <c r="M1071">
        <v>11679.73</v>
      </c>
      <c r="N1071" s="7" t="s">
        <v>59</v>
      </c>
      <c r="O1071" s="9">
        <f>IFERROR(RawSalesTable_[[#This Row],[Profit]]/RawSalesTable_[[#This Row],[Revenue]],0)</f>
        <v>0.38750242609331792</v>
      </c>
    </row>
    <row r="1072" spans="1:15">
      <c r="A1072" s="7" t="s">
        <v>1207</v>
      </c>
      <c r="B1072" s="8">
        <v>45699</v>
      </c>
      <c r="C1072" s="7" t="s">
        <v>15</v>
      </c>
      <c r="D1072" s="7" t="s">
        <v>16</v>
      </c>
      <c r="E1072" s="7" t="s">
        <v>30</v>
      </c>
      <c r="F1072" s="7" t="s">
        <v>40</v>
      </c>
      <c r="G1072" s="7" t="s">
        <v>19</v>
      </c>
      <c r="H1072">
        <v>8</v>
      </c>
      <c r="I1072">
        <v>24556.57</v>
      </c>
      <c r="J1072">
        <v>0.15</v>
      </c>
      <c r="K1072">
        <v>166984.68</v>
      </c>
      <c r="L1072">
        <v>131391.9</v>
      </c>
      <c r="M1072">
        <v>35592.78</v>
      </c>
      <c r="N1072" s="7" t="s">
        <v>20</v>
      </c>
      <c r="O1072" s="9">
        <f>IFERROR(RawSalesTable_[[#This Row],[Profit]]/RawSalesTable_[[#This Row],[Revenue]],0)</f>
        <v>0.21314997279989997</v>
      </c>
    </row>
    <row r="1073" spans="1:15">
      <c r="A1073" s="7" t="s">
        <v>1208</v>
      </c>
      <c r="B1073" s="8">
        <v>45759</v>
      </c>
      <c r="C1073" s="7" t="s">
        <v>15</v>
      </c>
      <c r="D1073" s="7" t="s">
        <v>16</v>
      </c>
      <c r="E1073" s="7" t="s">
        <v>49</v>
      </c>
      <c r="F1073" s="7" t="s">
        <v>1590</v>
      </c>
      <c r="G1073" s="7" t="s">
        <v>70</v>
      </c>
      <c r="H1073">
        <v>1</v>
      </c>
      <c r="I1073">
        <v>3972.93</v>
      </c>
      <c r="J1073">
        <v>0.15</v>
      </c>
      <c r="K1073">
        <v>3376.99</v>
      </c>
      <c r="L1073">
        <v>2054.86</v>
      </c>
      <c r="M1073">
        <v>1322.13</v>
      </c>
      <c r="N1073" s="7" t="s">
        <v>33</v>
      </c>
      <c r="O1073" s="9">
        <f>IFERROR(RawSalesTable_[[#This Row],[Profit]]/RawSalesTable_[[#This Row],[Revenue]],0)</f>
        <v>0.39151137551488163</v>
      </c>
    </row>
    <row r="1074" spans="1:15">
      <c r="A1074" s="7" t="s">
        <v>1209</v>
      </c>
      <c r="B1074" s="8">
        <v>45662</v>
      </c>
      <c r="C1074" s="7" t="s">
        <v>22</v>
      </c>
      <c r="D1074" s="7" t="s">
        <v>35</v>
      </c>
      <c r="E1074" s="7" t="s">
        <v>49</v>
      </c>
      <c r="F1074" s="7" t="s">
        <v>1590</v>
      </c>
      <c r="G1074" s="7" t="s">
        <v>58</v>
      </c>
      <c r="H1074">
        <v>8</v>
      </c>
      <c r="I1074">
        <v>3957.99</v>
      </c>
      <c r="J1074">
        <v>0.1</v>
      </c>
      <c r="K1074">
        <v>28497.53</v>
      </c>
      <c r="L1074">
        <v>16787.740000000002</v>
      </c>
      <c r="M1074">
        <v>11709.79</v>
      </c>
      <c r="N1074" s="7" t="s">
        <v>33</v>
      </c>
      <c r="O1074" s="9">
        <f>IFERROR(RawSalesTable_[[#This Row],[Profit]]/RawSalesTable_[[#This Row],[Revenue]],0)</f>
        <v>0.41090543636588861</v>
      </c>
    </row>
    <row r="1075" spans="1:15">
      <c r="A1075" s="7" t="s">
        <v>1211</v>
      </c>
      <c r="B1075" s="8">
        <v>45925</v>
      </c>
      <c r="C1075" s="7" t="s">
        <v>28</v>
      </c>
      <c r="D1075" s="7" t="s">
        <v>56</v>
      </c>
      <c r="E1075" s="7" t="s">
        <v>30</v>
      </c>
      <c r="F1075" s="7" t="s">
        <v>38</v>
      </c>
      <c r="G1075" s="7" t="s">
        <v>47</v>
      </c>
      <c r="H1075">
        <v>6</v>
      </c>
      <c r="I1075">
        <v>27275.66</v>
      </c>
      <c r="J1075">
        <v>0</v>
      </c>
      <c r="K1075">
        <v>163653.96</v>
      </c>
      <c r="L1075">
        <v>105829.87</v>
      </c>
      <c r="M1075">
        <v>57824.09</v>
      </c>
      <c r="N1075" s="7" t="s">
        <v>59</v>
      </c>
      <c r="O1075" s="9">
        <f>IFERROR(RawSalesTable_[[#This Row],[Profit]]/RawSalesTable_[[#This Row],[Revenue]],0)</f>
        <v>0.35333144398094612</v>
      </c>
    </row>
    <row r="1076" spans="1:15">
      <c r="A1076" s="7" t="s">
        <v>1212</v>
      </c>
      <c r="B1076" s="8">
        <v>45727</v>
      </c>
      <c r="C1076" s="7" t="s">
        <v>15</v>
      </c>
      <c r="D1076" s="7" t="s">
        <v>43</v>
      </c>
      <c r="E1076" s="7" t="s">
        <v>30</v>
      </c>
      <c r="F1076" s="7" t="s">
        <v>40</v>
      </c>
      <c r="G1076" s="7" t="s">
        <v>61</v>
      </c>
      <c r="H1076">
        <v>8</v>
      </c>
      <c r="I1076">
        <v>23365.62</v>
      </c>
      <c r="J1076">
        <v>0.05</v>
      </c>
      <c r="K1076">
        <v>177578.71</v>
      </c>
      <c r="L1076">
        <v>130810.8</v>
      </c>
      <c r="M1076">
        <v>46767.91</v>
      </c>
      <c r="N1076" s="7" t="s">
        <v>20</v>
      </c>
      <c r="O1076" s="9">
        <f>IFERROR(RawSalesTable_[[#This Row],[Profit]]/RawSalesTable_[[#This Row],[Revenue]],0)</f>
        <v>0.26336439768033004</v>
      </c>
    </row>
    <row r="1077" spans="1:15">
      <c r="A1077" s="7" t="s">
        <v>1213</v>
      </c>
      <c r="B1077" s="8">
        <v>45754</v>
      </c>
      <c r="C1077" s="7" t="s">
        <v>22</v>
      </c>
      <c r="D1077" s="7" t="s">
        <v>35</v>
      </c>
      <c r="E1077" s="7" t="s">
        <v>49</v>
      </c>
      <c r="F1077" s="7" t="s">
        <v>1590</v>
      </c>
      <c r="G1077" s="7" t="s">
        <v>47</v>
      </c>
      <c r="H1077">
        <v>3</v>
      </c>
      <c r="I1077">
        <v>4180.17</v>
      </c>
      <c r="J1077">
        <v>0</v>
      </c>
      <c r="K1077">
        <v>12540.51</v>
      </c>
      <c r="L1077">
        <v>6248.52</v>
      </c>
      <c r="M1077">
        <v>6291.99</v>
      </c>
      <c r="N1077" s="7" t="s">
        <v>33</v>
      </c>
      <c r="O1077" s="9">
        <f>IFERROR(RawSalesTable_[[#This Row],[Profit]]/RawSalesTable_[[#This Row],[Revenue]],0)</f>
        <v>0.50173318310020887</v>
      </c>
    </row>
    <row r="1078" spans="1:15">
      <c r="A1078" s="7" t="s">
        <v>1214</v>
      </c>
      <c r="B1078" s="8">
        <v>45837</v>
      </c>
      <c r="C1078" s="7" t="s">
        <v>15</v>
      </c>
      <c r="D1078" s="7" t="s">
        <v>63</v>
      </c>
      <c r="E1078" s="7" t="s">
        <v>30</v>
      </c>
      <c r="F1078" s="7" t="s">
        <v>31</v>
      </c>
      <c r="G1078" s="7" t="s">
        <v>47</v>
      </c>
      <c r="H1078">
        <v>1</v>
      </c>
      <c r="I1078">
        <v>137699.41</v>
      </c>
      <c r="J1078">
        <v>0.1</v>
      </c>
      <c r="K1078">
        <v>123929.47</v>
      </c>
      <c r="L1078">
        <v>99076.12</v>
      </c>
      <c r="M1078">
        <v>24853.35</v>
      </c>
      <c r="N1078" s="7" t="s">
        <v>59</v>
      </c>
      <c r="O1078" s="9">
        <f>IFERROR(RawSalesTable_[[#This Row],[Profit]]/RawSalesTable_[[#This Row],[Revenue]],0)</f>
        <v>0.20054430959803182</v>
      </c>
    </row>
    <row r="1079" spans="1:15">
      <c r="A1079" s="7" t="s">
        <v>1215</v>
      </c>
      <c r="B1079" s="8">
        <v>45814</v>
      </c>
      <c r="C1079" s="7" t="s">
        <v>15</v>
      </c>
      <c r="D1079" s="7" t="s">
        <v>16</v>
      </c>
      <c r="E1079" s="7" t="s">
        <v>44</v>
      </c>
      <c r="F1079" s="7" t="s">
        <v>69</v>
      </c>
      <c r="G1079" s="7" t="s">
        <v>32</v>
      </c>
      <c r="H1079">
        <v>5</v>
      </c>
      <c r="I1079">
        <v>39950.19</v>
      </c>
      <c r="J1079">
        <v>0.05</v>
      </c>
      <c r="K1079">
        <v>189763.4</v>
      </c>
      <c r="L1079">
        <v>131418.66</v>
      </c>
      <c r="M1079">
        <v>58344.74</v>
      </c>
      <c r="N1079" s="7" t="s">
        <v>20</v>
      </c>
      <c r="O1079" s="9">
        <f>IFERROR(RawSalesTable_[[#This Row],[Profit]]/RawSalesTable_[[#This Row],[Revenue]],0)</f>
        <v>0.307460448115917</v>
      </c>
    </row>
    <row r="1080" spans="1:15">
      <c r="A1080" s="7" t="s">
        <v>1216</v>
      </c>
      <c r="B1080" s="8">
        <v>45792</v>
      </c>
      <c r="C1080" s="7" t="s">
        <v>28</v>
      </c>
      <c r="D1080" s="7" t="s">
        <v>29</v>
      </c>
      <c r="E1080" s="7" t="s">
        <v>44</v>
      </c>
      <c r="F1080" s="7" t="s">
        <v>80</v>
      </c>
      <c r="G1080" s="7" t="s">
        <v>19</v>
      </c>
      <c r="H1080">
        <v>3</v>
      </c>
      <c r="I1080">
        <v>40268.480000000003</v>
      </c>
      <c r="J1080">
        <v>0</v>
      </c>
      <c r="K1080">
        <v>120805.44</v>
      </c>
      <c r="L1080">
        <v>92032.71</v>
      </c>
      <c r="M1080">
        <v>28772.73</v>
      </c>
      <c r="N1080" s="7" t="s">
        <v>26</v>
      </c>
      <c r="O1080" s="9">
        <f>IFERROR(RawSalesTable_[[#This Row],[Profit]]/RawSalesTable_[[#This Row],[Revenue]],0)</f>
        <v>0.23817412527117984</v>
      </c>
    </row>
    <row r="1081" spans="1:15">
      <c r="A1081" s="7" t="s">
        <v>1217</v>
      </c>
      <c r="B1081" s="8">
        <v>46000</v>
      </c>
      <c r="C1081" s="7" t="s">
        <v>15</v>
      </c>
      <c r="D1081" s="7" t="s">
        <v>43</v>
      </c>
      <c r="E1081" s="7" t="s">
        <v>49</v>
      </c>
      <c r="F1081" s="7" t="s">
        <v>57</v>
      </c>
      <c r="G1081" s="7" t="s">
        <v>70</v>
      </c>
      <c r="H1081">
        <v>5</v>
      </c>
      <c r="I1081">
        <v>12358.65</v>
      </c>
      <c r="J1081">
        <v>0.15</v>
      </c>
      <c r="K1081">
        <v>52524.26</v>
      </c>
      <c r="L1081">
        <v>33507.29</v>
      </c>
      <c r="M1081">
        <v>19016.97</v>
      </c>
      <c r="N1081" s="7" t="s">
        <v>26</v>
      </c>
      <c r="O1081" s="9">
        <f>IFERROR(RawSalesTable_[[#This Row],[Profit]]/RawSalesTable_[[#This Row],[Revenue]],0)</f>
        <v>0.36206069347764253</v>
      </c>
    </row>
    <row r="1082" spans="1:15">
      <c r="A1082" s="7" t="s">
        <v>1218</v>
      </c>
      <c r="B1082" s="8">
        <v>45742</v>
      </c>
      <c r="C1082" s="7" t="s">
        <v>22</v>
      </c>
      <c r="D1082" s="7" t="s">
        <v>23</v>
      </c>
      <c r="E1082" s="7" t="s">
        <v>44</v>
      </c>
      <c r="F1082" s="7" t="s">
        <v>45</v>
      </c>
      <c r="G1082" s="7" t="s">
        <v>70</v>
      </c>
      <c r="H1082">
        <v>2</v>
      </c>
      <c r="I1082">
        <v>30458.73</v>
      </c>
      <c r="J1082">
        <v>0.1</v>
      </c>
      <c r="K1082">
        <v>54825.71</v>
      </c>
      <c r="L1082">
        <v>37249.67</v>
      </c>
      <c r="M1082">
        <v>17576.04</v>
      </c>
      <c r="N1082" s="7" t="s">
        <v>33</v>
      </c>
      <c r="O1082" s="9">
        <f>IFERROR(RawSalesTable_[[#This Row],[Profit]]/RawSalesTable_[[#This Row],[Revenue]],0)</f>
        <v>0.32058025331546097</v>
      </c>
    </row>
    <row r="1083" spans="1:15">
      <c r="A1083" s="7" t="s">
        <v>1219</v>
      </c>
      <c r="B1083" s="8">
        <v>45914</v>
      </c>
      <c r="C1083" s="7" t="s">
        <v>28</v>
      </c>
      <c r="D1083" s="7" t="s">
        <v>52</v>
      </c>
      <c r="E1083" s="7" t="s">
        <v>17</v>
      </c>
      <c r="F1083" s="7" t="s">
        <v>24</v>
      </c>
      <c r="G1083" s="7" t="s">
        <v>19</v>
      </c>
      <c r="H1083">
        <v>8</v>
      </c>
      <c r="I1083">
        <v>90901.97</v>
      </c>
      <c r="J1083">
        <v>0.05</v>
      </c>
      <c r="K1083">
        <v>690854.97</v>
      </c>
      <c r="L1083">
        <v>540135.56000000006</v>
      </c>
      <c r="M1083">
        <v>150719.41</v>
      </c>
      <c r="N1083" s="7" t="s">
        <v>26</v>
      </c>
      <c r="O1083" s="9">
        <f>IFERROR(RawSalesTable_[[#This Row],[Profit]]/RawSalesTable_[[#This Row],[Revenue]],0)</f>
        <v>0.21816360386030081</v>
      </c>
    </row>
    <row r="1084" spans="1:15">
      <c r="A1084" s="7" t="s">
        <v>1220</v>
      </c>
      <c r="B1084" s="8">
        <v>45698</v>
      </c>
      <c r="C1084" s="7" t="s">
        <v>15</v>
      </c>
      <c r="D1084" s="7" t="s">
        <v>63</v>
      </c>
      <c r="E1084" s="7" t="s">
        <v>49</v>
      </c>
      <c r="F1084" s="7" t="s">
        <v>107</v>
      </c>
      <c r="G1084" s="7" t="s">
        <v>47</v>
      </c>
      <c r="H1084">
        <v>8</v>
      </c>
      <c r="I1084">
        <v>5079.3500000000004</v>
      </c>
      <c r="J1084">
        <v>0.1</v>
      </c>
      <c r="K1084">
        <v>36571.32</v>
      </c>
      <c r="L1084">
        <v>21431.26</v>
      </c>
      <c r="M1084">
        <v>15140.06</v>
      </c>
      <c r="N1084" s="7" t="s">
        <v>26</v>
      </c>
      <c r="O1084" s="9">
        <f>IFERROR(RawSalesTable_[[#This Row],[Profit]]/RawSalesTable_[[#This Row],[Revenue]],0)</f>
        <v>0.41398724464963255</v>
      </c>
    </row>
    <row r="1085" spans="1:15">
      <c r="A1085" s="7" t="s">
        <v>1221</v>
      </c>
      <c r="B1085" s="8">
        <v>45943</v>
      </c>
      <c r="C1085" s="7" t="s">
        <v>15</v>
      </c>
      <c r="D1085" s="7" t="s">
        <v>63</v>
      </c>
      <c r="E1085" s="7" t="s">
        <v>44</v>
      </c>
      <c r="F1085" s="7" t="s">
        <v>53</v>
      </c>
      <c r="G1085" s="7" t="s">
        <v>25</v>
      </c>
      <c r="H1085">
        <v>8</v>
      </c>
      <c r="I1085">
        <v>8486.5300000000007</v>
      </c>
      <c r="J1085">
        <v>0.05</v>
      </c>
      <c r="K1085">
        <v>64497.63</v>
      </c>
      <c r="L1085">
        <v>39904.65</v>
      </c>
      <c r="M1085">
        <v>24592.98</v>
      </c>
      <c r="N1085" s="7" t="s">
        <v>59</v>
      </c>
      <c r="O1085" s="9">
        <f>IFERROR(RawSalesTable_[[#This Row],[Profit]]/RawSalesTable_[[#This Row],[Revenue]],0)</f>
        <v>0.38130052220523453</v>
      </c>
    </row>
    <row r="1086" spans="1:15">
      <c r="A1086" s="7" t="s">
        <v>1222</v>
      </c>
      <c r="B1086" s="8">
        <v>45755</v>
      </c>
      <c r="C1086" s="7" t="s">
        <v>22</v>
      </c>
      <c r="D1086" s="7" t="s">
        <v>23</v>
      </c>
      <c r="E1086" s="7" t="s">
        <v>30</v>
      </c>
      <c r="F1086" s="7" t="s">
        <v>40</v>
      </c>
      <c r="G1086" s="7" t="s">
        <v>25</v>
      </c>
      <c r="H1086">
        <v>6</v>
      </c>
      <c r="I1086">
        <v>25395.69</v>
      </c>
      <c r="J1086">
        <v>0</v>
      </c>
      <c r="K1086">
        <v>152374.14000000001</v>
      </c>
      <c r="L1086">
        <v>96050.240000000005</v>
      </c>
      <c r="M1086">
        <v>56323.9</v>
      </c>
      <c r="N1086" s="7" t="s">
        <v>59</v>
      </c>
      <c r="O1086" s="9">
        <f>IFERROR(RawSalesTable_[[#This Row],[Profit]]/RawSalesTable_[[#This Row],[Revenue]],0)</f>
        <v>0.36964211906298533</v>
      </c>
    </row>
    <row r="1087" spans="1:15">
      <c r="A1087" s="7" t="s">
        <v>1223</v>
      </c>
      <c r="B1087" s="8">
        <v>45816</v>
      </c>
      <c r="C1087" s="7" t="s">
        <v>22</v>
      </c>
      <c r="D1087" s="7" t="s">
        <v>37</v>
      </c>
      <c r="E1087" s="7" t="s">
        <v>17</v>
      </c>
      <c r="F1087" s="7" t="s">
        <v>24</v>
      </c>
      <c r="G1087" s="7" t="s">
        <v>32</v>
      </c>
      <c r="H1087">
        <v>8</v>
      </c>
      <c r="I1087">
        <v>89953.79</v>
      </c>
      <c r="J1087">
        <v>0</v>
      </c>
      <c r="K1087">
        <v>719630.32</v>
      </c>
      <c r="L1087">
        <v>527893.80000000005</v>
      </c>
      <c r="M1087">
        <v>191736.52</v>
      </c>
      <c r="N1087" s="7" t="s">
        <v>33</v>
      </c>
      <c r="O1087" s="9">
        <f>IFERROR(RawSalesTable_[[#This Row],[Profit]]/RawSalesTable_[[#This Row],[Revenue]],0)</f>
        <v>0.26643752308824342</v>
      </c>
    </row>
    <row r="1088" spans="1:15">
      <c r="A1088" s="7" t="s">
        <v>1224</v>
      </c>
      <c r="B1088" s="8">
        <v>45680</v>
      </c>
      <c r="C1088" s="7" t="s">
        <v>28</v>
      </c>
      <c r="D1088" s="7" t="s">
        <v>56</v>
      </c>
      <c r="E1088" s="7" t="s">
        <v>17</v>
      </c>
      <c r="F1088" s="7" t="s">
        <v>18</v>
      </c>
      <c r="G1088" s="7" t="s">
        <v>58</v>
      </c>
      <c r="H1088">
        <v>1</v>
      </c>
      <c r="I1088">
        <v>14841.55</v>
      </c>
      <c r="J1088">
        <v>0.15</v>
      </c>
      <c r="K1088">
        <v>12615.32</v>
      </c>
      <c r="L1088">
        <v>8228.7900000000009</v>
      </c>
      <c r="M1088">
        <v>4386.53</v>
      </c>
      <c r="N1088" s="7" t="s">
        <v>59</v>
      </c>
      <c r="O1088" s="9">
        <f>IFERROR(RawSalesTable_[[#This Row],[Profit]]/RawSalesTable_[[#This Row],[Revenue]],0)</f>
        <v>0.34771452487927373</v>
      </c>
    </row>
    <row r="1089" spans="1:15">
      <c r="A1089" s="7" t="s">
        <v>1225</v>
      </c>
      <c r="B1089" s="8">
        <v>45989</v>
      </c>
      <c r="C1089" s="7" t="s">
        <v>15</v>
      </c>
      <c r="D1089" s="7" t="s">
        <v>16</v>
      </c>
      <c r="E1089" s="7" t="s">
        <v>17</v>
      </c>
      <c r="F1089" s="7" t="s">
        <v>114</v>
      </c>
      <c r="G1089" s="7" t="s">
        <v>19</v>
      </c>
      <c r="H1089">
        <v>8</v>
      </c>
      <c r="I1089">
        <v>51919.3</v>
      </c>
      <c r="J1089">
        <v>0.05</v>
      </c>
      <c r="K1089">
        <v>394586.68</v>
      </c>
      <c r="L1089">
        <v>298568.69</v>
      </c>
      <c r="M1089">
        <v>96017.99</v>
      </c>
      <c r="N1089" s="7" t="s">
        <v>33</v>
      </c>
      <c r="O1089" s="9">
        <f>IFERROR(RawSalesTable_[[#This Row],[Profit]]/RawSalesTable_[[#This Row],[Revenue]],0)</f>
        <v>0.24333814309190571</v>
      </c>
    </row>
    <row r="1090" spans="1:15">
      <c r="A1090" s="7" t="s">
        <v>1226</v>
      </c>
      <c r="B1090" s="8">
        <v>45984</v>
      </c>
      <c r="C1090" s="7" t="s">
        <v>28</v>
      </c>
      <c r="D1090" s="7" t="s">
        <v>52</v>
      </c>
      <c r="E1090" s="7" t="s">
        <v>44</v>
      </c>
      <c r="F1090" s="7" t="s">
        <v>45</v>
      </c>
      <c r="G1090" s="7" t="s">
        <v>64</v>
      </c>
      <c r="H1090">
        <v>3</v>
      </c>
      <c r="I1090">
        <v>26597.68</v>
      </c>
      <c r="J1090">
        <v>0</v>
      </c>
      <c r="K1090">
        <v>79793.039999999994</v>
      </c>
      <c r="L1090">
        <v>55513.63</v>
      </c>
      <c r="M1090">
        <v>24279.41</v>
      </c>
      <c r="N1090" s="7" t="s">
        <v>59</v>
      </c>
      <c r="O1090" s="9">
        <f>IFERROR(RawSalesTable_[[#This Row],[Profit]]/RawSalesTable_[[#This Row],[Revenue]],0)</f>
        <v>0.30427979683441064</v>
      </c>
    </row>
    <row r="1091" spans="1:15">
      <c r="A1091" s="7" t="s">
        <v>1227</v>
      </c>
      <c r="B1091" s="8">
        <v>45820</v>
      </c>
      <c r="C1091" s="7" t="s">
        <v>22</v>
      </c>
      <c r="D1091" s="7" t="s">
        <v>37</v>
      </c>
      <c r="E1091" s="7" t="s">
        <v>30</v>
      </c>
      <c r="F1091" s="7" t="s">
        <v>86</v>
      </c>
      <c r="G1091" s="7" t="s">
        <v>61</v>
      </c>
      <c r="H1091">
        <v>1</v>
      </c>
      <c r="I1091">
        <v>32116.47</v>
      </c>
      <c r="J1091">
        <v>0.15</v>
      </c>
      <c r="K1091">
        <v>27299</v>
      </c>
      <c r="L1091">
        <v>23160.959999999999</v>
      </c>
      <c r="M1091">
        <v>4138.04</v>
      </c>
      <c r="N1091" s="7" t="s">
        <v>59</v>
      </c>
      <c r="O1091" s="9">
        <f>IFERROR(RawSalesTable_[[#This Row],[Profit]]/RawSalesTable_[[#This Row],[Revenue]],0)</f>
        <v>0.1515821092347705</v>
      </c>
    </row>
    <row r="1092" spans="1:15">
      <c r="A1092" s="7" t="s">
        <v>1228</v>
      </c>
      <c r="B1092" s="8">
        <v>45794</v>
      </c>
      <c r="C1092" s="7" t="s">
        <v>15</v>
      </c>
      <c r="D1092" s="7" t="s">
        <v>16</v>
      </c>
      <c r="E1092" s="7" t="s">
        <v>49</v>
      </c>
      <c r="F1092" s="7" t="s">
        <v>107</v>
      </c>
      <c r="G1092" s="7" t="s">
        <v>19</v>
      </c>
      <c r="H1092">
        <v>1</v>
      </c>
      <c r="I1092">
        <v>4838.04</v>
      </c>
      <c r="J1092">
        <v>0.1</v>
      </c>
      <c r="K1092">
        <v>4354.24</v>
      </c>
      <c r="L1092">
        <v>2646.88</v>
      </c>
      <c r="M1092">
        <v>1707.36</v>
      </c>
      <c r="N1092" s="7" t="s">
        <v>26</v>
      </c>
      <c r="O1092" s="9">
        <f>IFERROR(RawSalesTable_[[#This Row],[Profit]]/RawSalesTable_[[#This Row],[Revenue]],0)</f>
        <v>0.39211435290659219</v>
      </c>
    </row>
    <row r="1093" spans="1:15">
      <c r="A1093" s="7" t="s">
        <v>1230</v>
      </c>
      <c r="B1093" s="8">
        <v>45659</v>
      </c>
      <c r="C1093" s="7" t="s">
        <v>28</v>
      </c>
      <c r="D1093" s="7" t="s">
        <v>52</v>
      </c>
      <c r="E1093" s="7" t="s">
        <v>30</v>
      </c>
      <c r="F1093" s="7" t="s">
        <v>86</v>
      </c>
      <c r="G1093" s="7" t="s">
        <v>58</v>
      </c>
      <c r="H1093">
        <v>7</v>
      </c>
      <c r="I1093">
        <v>31273.27</v>
      </c>
      <c r="J1093">
        <v>0.15</v>
      </c>
      <c r="K1093">
        <v>186075.96</v>
      </c>
      <c r="L1093">
        <v>162059.42000000001</v>
      </c>
      <c r="M1093">
        <v>24016.54</v>
      </c>
      <c r="N1093" s="7" t="s">
        <v>59</v>
      </c>
      <c r="O1093" s="9">
        <f>IFERROR(RawSalesTable_[[#This Row],[Profit]]/RawSalesTable_[[#This Row],[Revenue]],0)</f>
        <v>0.12906847289676754</v>
      </c>
    </row>
    <row r="1094" spans="1:15">
      <c r="A1094" s="7" t="s">
        <v>1231</v>
      </c>
      <c r="B1094" s="8">
        <v>45895</v>
      </c>
      <c r="C1094" s="7" t="s">
        <v>15</v>
      </c>
      <c r="D1094" s="7" t="s">
        <v>63</v>
      </c>
      <c r="E1094" s="7" t="s">
        <v>17</v>
      </c>
      <c r="F1094" s="7" t="s">
        <v>18</v>
      </c>
      <c r="G1094" s="7" t="s">
        <v>19</v>
      </c>
      <c r="H1094">
        <v>8</v>
      </c>
      <c r="I1094">
        <v>14658.16</v>
      </c>
      <c r="J1094">
        <v>0.15</v>
      </c>
      <c r="K1094">
        <v>99675.49</v>
      </c>
      <c r="L1094">
        <v>64027.35</v>
      </c>
      <c r="M1094">
        <v>35648.14</v>
      </c>
      <c r="N1094" s="7" t="s">
        <v>33</v>
      </c>
      <c r="O1094" s="9">
        <f>IFERROR(RawSalesTable_[[#This Row],[Profit]]/RawSalesTable_[[#This Row],[Revenue]],0)</f>
        <v>0.35764198400228581</v>
      </c>
    </row>
    <row r="1095" spans="1:15">
      <c r="A1095" s="7" t="s">
        <v>1232</v>
      </c>
      <c r="B1095" s="8">
        <v>45663</v>
      </c>
      <c r="C1095" s="7" t="s">
        <v>22</v>
      </c>
      <c r="D1095" s="7" t="s">
        <v>23</v>
      </c>
      <c r="E1095" s="7" t="s">
        <v>17</v>
      </c>
      <c r="F1095" s="7" t="s">
        <v>24</v>
      </c>
      <c r="G1095" s="7" t="s">
        <v>47</v>
      </c>
      <c r="H1095">
        <v>6</v>
      </c>
      <c r="I1095">
        <v>93341.71</v>
      </c>
      <c r="J1095">
        <v>0</v>
      </c>
      <c r="K1095">
        <v>560050.26</v>
      </c>
      <c r="L1095">
        <v>417657.59999999998</v>
      </c>
      <c r="M1095">
        <v>142392.66</v>
      </c>
      <c r="N1095" s="7" t="s">
        <v>59</v>
      </c>
      <c r="O1095" s="9">
        <f>IFERROR(RawSalesTable_[[#This Row],[Profit]]/RawSalesTable_[[#This Row],[Revenue]],0)</f>
        <v>0.254249788224364</v>
      </c>
    </row>
    <row r="1096" spans="1:15">
      <c r="A1096" s="7" t="s">
        <v>1233</v>
      </c>
      <c r="B1096" s="8">
        <v>45685</v>
      </c>
      <c r="C1096" s="7" t="s">
        <v>28</v>
      </c>
      <c r="D1096" s="7" t="s">
        <v>52</v>
      </c>
      <c r="E1096" s="7" t="s">
        <v>44</v>
      </c>
      <c r="F1096" s="7" t="s">
        <v>69</v>
      </c>
      <c r="G1096" s="7" t="s">
        <v>25</v>
      </c>
      <c r="H1096">
        <v>4</v>
      </c>
      <c r="I1096">
        <v>39504.239999999998</v>
      </c>
      <c r="J1096">
        <v>0.15</v>
      </c>
      <c r="K1096">
        <v>134314.42000000001</v>
      </c>
      <c r="L1096">
        <v>101846.31</v>
      </c>
      <c r="M1096">
        <v>32468.11</v>
      </c>
      <c r="N1096" s="7" t="s">
        <v>59</v>
      </c>
      <c r="O1096" s="9">
        <f>IFERROR(RawSalesTable_[[#This Row],[Profit]]/RawSalesTable_[[#This Row],[Revenue]],0)</f>
        <v>0.24173212377345632</v>
      </c>
    </row>
    <row r="1097" spans="1:15">
      <c r="A1097" s="7" t="s">
        <v>1234</v>
      </c>
      <c r="B1097" s="8">
        <v>45760</v>
      </c>
      <c r="C1097" s="7" t="s">
        <v>22</v>
      </c>
      <c r="D1097" s="7" t="s">
        <v>35</v>
      </c>
      <c r="E1097" s="7" t="s">
        <v>44</v>
      </c>
      <c r="F1097" s="7" t="s">
        <v>69</v>
      </c>
      <c r="G1097" s="7" t="s">
        <v>61</v>
      </c>
      <c r="H1097">
        <v>7</v>
      </c>
      <c r="I1097">
        <v>36333.839999999997</v>
      </c>
      <c r="J1097">
        <v>0</v>
      </c>
      <c r="K1097">
        <v>254336.88</v>
      </c>
      <c r="L1097">
        <v>180015.46</v>
      </c>
      <c r="M1097">
        <v>74321.42</v>
      </c>
      <c r="N1097" s="7" t="s">
        <v>59</v>
      </c>
      <c r="O1097" s="9">
        <f>IFERROR(RawSalesTable_[[#This Row],[Profit]]/RawSalesTable_[[#This Row],[Revenue]],0)</f>
        <v>0.29221644930141472</v>
      </c>
    </row>
    <row r="1098" spans="1:15">
      <c r="A1098" s="7" t="s">
        <v>1235</v>
      </c>
      <c r="B1098" s="8">
        <v>45986</v>
      </c>
      <c r="C1098" s="7" t="s">
        <v>28</v>
      </c>
      <c r="D1098" s="7" t="s">
        <v>29</v>
      </c>
      <c r="E1098" s="7" t="s">
        <v>49</v>
      </c>
      <c r="F1098" s="7" t="s">
        <v>57</v>
      </c>
      <c r="G1098" s="7" t="s">
        <v>70</v>
      </c>
      <c r="H1098">
        <v>2</v>
      </c>
      <c r="I1098">
        <v>11481.39</v>
      </c>
      <c r="J1098">
        <v>0.1</v>
      </c>
      <c r="K1098">
        <v>20666.5</v>
      </c>
      <c r="L1098">
        <v>12940.89</v>
      </c>
      <c r="M1098">
        <v>7725.61</v>
      </c>
      <c r="N1098" s="7" t="s">
        <v>26</v>
      </c>
      <c r="O1098" s="9">
        <f>IFERROR(RawSalesTable_[[#This Row],[Profit]]/RawSalesTable_[[#This Row],[Revenue]],0)</f>
        <v>0.37382285341010812</v>
      </c>
    </row>
    <row r="1099" spans="1:15">
      <c r="A1099" s="7" t="s">
        <v>1236</v>
      </c>
      <c r="B1099" s="8">
        <v>46007</v>
      </c>
      <c r="C1099" s="7" t="s">
        <v>22</v>
      </c>
      <c r="D1099" s="7" t="s">
        <v>37</v>
      </c>
      <c r="E1099" s="7" t="s">
        <v>49</v>
      </c>
      <c r="F1099" s="7" t="s">
        <v>1590</v>
      </c>
      <c r="G1099" s="7" t="s">
        <v>58</v>
      </c>
      <c r="H1099">
        <v>4</v>
      </c>
      <c r="I1099">
        <v>4531.8</v>
      </c>
      <c r="J1099">
        <v>0.05</v>
      </c>
      <c r="K1099">
        <v>17220.84</v>
      </c>
      <c r="L1099">
        <v>8351.99</v>
      </c>
      <c r="M1099">
        <v>8868.85</v>
      </c>
      <c r="N1099" s="7" t="s">
        <v>26</v>
      </c>
      <c r="O1099" s="9">
        <f>IFERROR(RawSalesTable_[[#This Row],[Profit]]/RawSalesTable_[[#This Row],[Revenue]],0)</f>
        <v>0.51500681732133857</v>
      </c>
    </row>
    <row r="1100" spans="1:15">
      <c r="A1100" s="7" t="s">
        <v>1237</v>
      </c>
      <c r="B1100" s="8">
        <v>45717</v>
      </c>
      <c r="C1100" s="7" t="s">
        <v>28</v>
      </c>
      <c r="D1100" s="7" t="s">
        <v>29</v>
      </c>
      <c r="E1100" s="7" t="s">
        <v>30</v>
      </c>
      <c r="F1100" s="7" t="s">
        <v>31</v>
      </c>
      <c r="G1100" s="7" t="s">
        <v>61</v>
      </c>
      <c r="H1100">
        <v>4</v>
      </c>
      <c r="I1100">
        <v>129777.42</v>
      </c>
      <c r="J1100">
        <v>0.05</v>
      </c>
      <c r="K1100">
        <v>493154.2</v>
      </c>
      <c r="L1100">
        <v>399256.72</v>
      </c>
      <c r="M1100">
        <v>93897.48</v>
      </c>
      <c r="N1100" s="7" t="s">
        <v>20</v>
      </c>
      <c r="O1100" s="9">
        <f>IFERROR(RawSalesTable_[[#This Row],[Profit]]/RawSalesTable_[[#This Row],[Revenue]],0)</f>
        <v>0.19040186619114263</v>
      </c>
    </row>
    <row r="1101" spans="1:15">
      <c r="A1101" s="7" t="s">
        <v>1238</v>
      </c>
      <c r="B1101" s="8">
        <v>45711</v>
      </c>
      <c r="C1101" s="7" t="s">
        <v>22</v>
      </c>
      <c r="D1101" s="7" t="s">
        <v>35</v>
      </c>
      <c r="E1101" s="7" t="s">
        <v>30</v>
      </c>
      <c r="F1101" s="7" t="s">
        <v>38</v>
      </c>
      <c r="G1101" s="7" t="s">
        <v>32</v>
      </c>
      <c r="H1101">
        <v>7</v>
      </c>
      <c r="I1101">
        <v>27683.88</v>
      </c>
      <c r="J1101">
        <v>0</v>
      </c>
      <c r="K1101">
        <v>193787.16</v>
      </c>
      <c r="L1101">
        <v>125063.32</v>
      </c>
      <c r="M1101">
        <v>68723.839999999997</v>
      </c>
      <c r="N1101" s="7" t="s">
        <v>33</v>
      </c>
      <c r="O1101" s="9">
        <f>IFERROR(RawSalesTable_[[#This Row],[Profit]]/RawSalesTable_[[#This Row],[Revenue]],0)</f>
        <v>0.35463567348837766</v>
      </c>
    </row>
    <row r="1102" spans="1:15">
      <c r="A1102" s="7" t="s">
        <v>1240</v>
      </c>
      <c r="B1102" s="8">
        <v>46013</v>
      </c>
      <c r="C1102" s="7" t="s">
        <v>28</v>
      </c>
      <c r="D1102" s="7" t="s">
        <v>29</v>
      </c>
      <c r="E1102" s="7" t="s">
        <v>44</v>
      </c>
      <c r="F1102" s="7" t="s">
        <v>80</v>
      </c>
      <c r="G1102" s="7" t="s">
        <v>25</v>
      </c>
      <c r="H1102">
        <v>8</v>
      </c>
      <c r="I1102">
        <v>45127.44</v>
      </c>
      <c r="J1102">
        <v>0.05</v>
      </c>
      <c r="K1102">
        <v>342968.54</v>
      </c>
      <c r="L1102">
        <v>250864.46</v>
      </c>
      <c r="M1102">
        <v>92104.08</v>
      </c>
      <c r="N1102" s="7" t="s">
        <v>20</v>
      </c>
      <c r="O1102" s="9">
        <f>IFERROR(RawSalesTable_[[#This Row],[Profit]]/RawSalesTable_[[#This Row],[Revenue]],0)</f>
        <v>0.26854964598210673</v>
      </c>
    </row>
    <row r="1103" spans="1:15">
      <c r="A1103" s="7" t="s">
        <v>1241</v>
      </c>
      <c r="B1103" s="8">
        <v>45777</v>
      </c>
      <c r="C1103" s="7" t="s">
        <v>28</v>
      </c>
      <c r="D1103" s="7" t="s">
        <v>52</v>
      </c>
      <c r="E1103" s="7" t="s">
        <v>30</v>
      </c>
      <c r="F1103" s="7" t="s">
        <v>38</v>
      </c>
      <c r="G1103" s="7" t="s">
        <v>19</v>
      </c>
      <c r="H1103">
        <v>6</v>
      </c>
      <c r="I1103">
        <v>26924.65</v>
      </c>
      <c r="J1103">
        <v>0.05</v>
      </c>
      <c r="K1103">
        <v>153470.51</v>
      </c>
      <c r="L1103">
        <v>107029.31</v>
      </c>
      <c r="M1103">
        <v>46441.2</v>
      </c>
      <c r="N1103" s="7" t="s">
        <v>20</v>
      </c>
      <c r="O1103" s="9">
        <f>IFERROR(RawSalesTable_[[#This Row],[Profit]]/RawSalesTable_[[#This Row],[Revenue]],0)</f>
        <v>0.30260667016744774</v>
      </c>
    </row>
    <row r="1104" spans="1:15">
      <c r="A1104" s="7" t="s">
        <v>1242</v>
      </c>
      <c r="B1104" s="8">
        <v>46015</v>
      </c>
      <c r="C1104" s="7" t="s">
        <v>28</v>
      </c>
      <c r="D1104" s="7" t="s">
        <v>56</v>
      </c>
      <c r="E1104" s="7" t="s">
        <v>49</v>
      </c>
      <c r="F1104" s="7" t="s">
        <v>91</v>
      </c>
      <c r="G1104" s="7" t="s">
        <v>47</v>
      </c>
      <c r="H1104">
        <v>3</v>
      </c>
      <c r="I1104">
        <v>6512.69</v>
      </c>
      <c r="J1104">
        <v>0.05</v>
      </c>
      <c r="K1104">
        <v>18561.169999999998</v>
      </c>
      <c r="L1104">
        <v>11146.27</v>
      </c>
      <c r="M1104">
        <v>7414.9</v>
      </c>
      <c r="N1104" s="7" t="s">
        <v>26</v>
      </c>
      <c r="O1104" s="9">
        <f>IFERROR(RawSalesTable_[[#This Row],[Profit]]/RawSalesTable_[[#This Row],[Revenue]],0)</f>
        <v>0.39948451525415696</v>
      </c>
    </row>
    <row r="1105" spans="1:15">
      <c r="A1105" s="7" t="s">
        <v>1243</v>
      </c>
      <c r="B1105" s="8">
        <v>45892</v>
      </c>
      <c r="C1105" s="7" t="s">
        <v>22</v>
      </c>
      <c r="D1105" s="7" t="s">
        <v>37</v>
      </c>
      <c r="E1105" s="7" t="s">
        <v>30</v>
      </c>
      <c r="F1105" s="7" t="s">
        <v>31</v>
      </c>
      <c r="G1105" s="7" t="s">
        <v>25</v>
      </c>
      <c r="H1105">
        <v>2</v>
      </c>
      <c r="I1105">
        <v>130880.31</v>
      </c>
      <c r="J1105">
        <v>0</v>
      </c>
      <c r="K1105">
        <v>261760.62</v>
      </c>
      <c r="L1105">
        <v>207273.06</v>
      </c>
      <c r="M1105">
        <v>54487.56</v>
      </c>
      <c r="N1105" s="7" t="s">
        <v>26</v>
      </c>
      <c r="O1105" s="9">
        <f>IFERROR(RawSalesTable_[[#This Row],[Profit]]/RawSalesTable_[[#This Row],[Revenue]],0)</f>
        <v>0.20815797273096312</v>
      </c>
    </row>
    <row r="1106" spans="1:15">
      <c r="A1106" s="7" t="s">
        <v>1244</v>
      </c>
      <c r="B1106" s="8">
        <v>45762</v>
      </c>
      <c r="C1106" s="7" t="s">
        <v>28</v>
      </c>
      <c r="D1106" s="7" t="s">
        <v>52</v>
      </c>
      <c r="E1106" s="7" t="s">
        <v>44</v>
      </c>
      <c r="F1106" s="7" t="s">
        <v>45</v>
      </c>
      <c r="G1106" s="7" t="s">
        <v>25</v>
      </c>
      <c r="H1106">
        <v>3</v>
      </c>
      <c r="I1106">
        <v>27593.85</v>
      </c>
      <c r="J1106">
        <v>0</v>
      </c>
      <c r="K1106">
        <v>82781.55</v>
      </c>
      <c r="L1106">
        <v>56026.53</v>
      </c>
      <c r="M1106">
        <v>26755.02</v>
      </c>
      <c r="N1106" s="7" t="s">
        <v>33</v>
      </c>
      <c r="O1106" s="9">
        <f>IFERROR(RawSalesTable_[[#This Row],[Profit]]/RawSalesTable_[[#This Row],[Revenue]],0)</f>
        <v>0.32320027832288717</v>
      </c>
    </row>
    <row r="1107" spans="1:15">
      <c r="A1107" s="7" t="s">
        <v>1245</v>
      </c>
      <c r="B1107" s="8">
        <v>45939</v>
      </c>
      <c r="C1107" s="7" t="s">
        <v>15</v>
      </c>
      <c r="D1107" s="7" t="s">
        <v>16</v>
      </c>
      <c r="E1107" s="7" t="s">
        <v>44</v>
      </c>
      <c r="F1107" s="7" t="s">
        <v>69</v>
      </c>
      <c r="G1107" s="7" t="s">
        <v>25</v>
      </c>
      <c r="H1107">
        <v>1</v>
      </c>
      <c r="I1107">
        <v>37862.25</v>
      </c>
      <c r="J1107">
        <v>0.05</v>
      </c>
      <c r="K1107">
        <v>35969.14</v>
      </c>
      <c r="L1107">
        <v>25401.84</v>
      </c>
      <c r="M1107">
        <v>10567.3</v>
      </c>
      <c r="N1107" s="7" t="s">
        <v>26</v>
      </c>
      <c r="O1107" s="9">
        <f>IFERROR(RawSalesTable_[[#This Row],[Profit]]/RawSalesTable_[[#This Row],[Revenue]],0)</f>
        <v>0.29378795267276336</v>
      </c>
    </row>
    <row r="1108" spans="1:15">
      <c r="A1108" s="7" t="s">
        <v>1246</v>
      </c>
      <c r="B1108" s="8">
        <v>45820</v>
      </c>
      <c r="C1108" s="7" t="s">
        <v>28</v>
      </c>
      <c r="D1108" s="7" t="s">
        <v>29</v>
      </c>
      <c r="E1108" s="7" t="s">
        <v>49</v>
      </c>
      <c r="F1108" s="7" t="s">
        <v>107</v>
      </c>
      <c r="G1108" s="7" t="s">
        <v>61</v>
      </c>
      <c r="H1108">
        <v>4</v>
      </c>
      <c r="I1108">
        <v>5418.86</v>
      </c>
      <c r="J1108">
        <v>0</v>
      </c>
      <c r="K1108">
        <v>21675.439999999999</v>
      </c>
      <c r="L1108">
        <v>10769.01</v>
      </c>
      <c r="M1108">
        <v>10906.43</v>
      </c>
      <c r="N1108" s="7" t="s">
        <v>20</v>
      </c>
      <c r="O1108" s="9">
        <f>IFERROR(RawSalesTable_[[#This Row],[Profit]]/RawSalesTable_[[#This Row],[Revenue]],0)</f>
        <v>0.50316994718446317</v>
      </c>
    </row>
    <row r="1109" spans="1:15">
      <c r="A1109" s="7" t="s">
        <v>1248</v>
      </c>
      <c r="B1109" s="8">
        <v>45958</v>
      </c>
      <c r="C1109" s="7" t="s">
        <v>28</v>
      </c>
      <c r="D1109" s="7" t="s">
        <v>56</v>
      </c>
      <c r="E1109" s="7" t="s">
        <v>49</v>
      </c>
      <c r="F1109" s="7" t="s">
        <v>107</v>
      </c>
      <c r="G1109" s="7" t="s">
        <v>64</v>
      </c>
      <c r="H1109">
        <v>2</v>
      </c>
      <c r="I1109">
        <v>5072.59</v>
      </c>
      <c r="J1109">
        <v>0.15</v>
      </c>
      <c r="K1109">
        <v>8623.4</v>
      </c>
      <c r="L1109">
        <v>5517.88</v>
      </c>
      <c r="M1109">
        <v>3105.52</v>
      </c>
      <c r="N1109" s="7" t="s">
        <v>26</v>
      </c>
      <c r="O1109" s="9">
        <f>IFERROR(RawSalesTable_[[#This Row],[Profit]]/RawSalesTable_[[#This Row],[Revenue]],0)</f>
        <v>0.36012709604100474</v>
      </c>
    </row>
    <row r="1110" spans="1:15">
      <c r="A1110" s="7" t="s">
        <v>1249</v>
      </c>
      <c r="B1110" s="8">
        <v>45861</v>
      </c>
      <c r="C1110" s="7" t="s">
        <v>15</v>
      </c>
      <c r="D1110" s="7" t="s">
        <v>16</v>
      </c>
      <c r="E1110" s="7" t="s">
        <v>44</v>
      </c>
      <c r="F1110" s="7" t="s">
        <v>69</v>
      </c>
      <c r="G1110" s="7" t="s">
        <v>19</v>
      </c>
      <c r="H1110">
        <v>6</v>
      </c>
      <c r="I1110">
        <v>37026.29</v>
      </c>
      <c r="J1110">
        <v>0</v>
      </c>
      <c r="K1110">
        <v>222157.74</v>
      </c>
      <c r="L1110">
        <v>157987.39000000001</v>
      </c>
      <c r="M1110">
        <v>64170.35</v>
      </c>
      <c r="N1110" s="7" t="s">
        <v>26</v>
      </c>
      <c r="O1110" s="9">
        <f>IFERROR(RawSalesTable_[[#This Row],[Profit]]/RawSalesTable_[[#This Row],[Revenue]],0)</f>
        <v>0.28885039071787461</v>
      </c>
    </row>
    <row r="1111" spans="1:15">
      <c r="A1111" s="7" t="s">
        <v>1250</v>
      </c>
      <c r="B1111" s="8">
        <v>45992</v>
      </c>
      <c r="C1111" s="7" t="s">
        <v>22</v>
      </c>
      <c r="D1111" s="7" t="s">
        <v>35</v>
      </c>
      <c r="E1111" s="7" t="s">
        <v>44</v>
      </c>
      <c r="F1111" s="7" t="s">
        <v>80</v>
      </c>
      <c r="G1111" s="7" t="s">
        <v>61</v>
      </c>
      <c r="H1111">
        <v>4</v>
      </c>
      <c r="I1111">
        <v>41637.33</v>
      </c>
      <c r="J1111">
        <v>0</v>
      </c>
      <c r="K1111">
        <v>166549.32</v>
      </c>
      <c r="L1111">
        <v>123227.61</v>
      </c>
      <c r="M1111">
        <v>43321.71</v>
      </c>
      <c r="N1111" s="7" t="s">
        <v>20</v>
      </c>
      <c r="O1111" s="9">
        <f>IFERROR(RawSalesTable_[[#This Row],[Profit]]/RawSalesTable_[[#This Row],[Revenue]],0)</f>
        <v>0.26011340064312477</v>
      </c>
    </row>
    <row r="1112" spans="1:15">
      <c r="A1112" s="7" t="s">
        <v>1251</v>
      </c>
      <c r="B1112" s="8">
        <v>45861</v>
      </c>
      <c r="C1112" s="7" t="s">
        <v>22</v>
      </c>
      <c r="D1112" s="7" t="s">
        <v>35</v>
      </c>
      <c r="E1112" s="7" t="s">
        <v>30</v>
      </c>
      <c r="F1112" s="7" t="s">
        <v>40</v>
      </c>
      <c r="G1112" s="7" t="s">
        <v>19</v>
      </c>
      <c r="H1112">
        <v>8</v>
      </c>
      <c r="I1112">
        <v>22676.52</v>
      </c>
      <c r="J1112">
        <v>0.05</v>
      </c>
      <c r="K1112">
        <v>172341.55</v>
      </c>
      <c r="L1112">
        <v>124196.37</v>
      </c>
      <c r="M1112">
        <v>48145.18</v>
      </c>
      <c r="N1112" s="7" t="s">
        <v>20</v>
      </c>
      <c r="O1112" s="9">
        <f>IFERROR(RawSalesTable_[[#This Row],[Profit]]/RawSalesTable_[[#This Row],[Revenue]],0)</f>
        <v>0.27935909825576016</v>
      </c>
    </row>
    <row r="1113" spans="1:15">
      <c r="A1113" s="7" t="s">
        <v>1253</v>
      </c>
      <c r="B1113" s="8">
        <v>45717</v>
      </c>
      <c r="C1113" s="7" t="s">
        <v>28</v>
      </c>
      <c r="D1113" s="7" t="s">
        <v>29</v>
      </c>
      <c r="E1113" s="7" t="s">
        <v>49</v>
      </c>
      <c r="F1113" s="7" t="s">
        <v>107</v>
      </c>
      <c r="G1113" s="7" t="s">
        <v>70</v>
      </c>
      <c r="H1113">
        <v>1</v>
      </c>
      <c r="I1113">
        <v>5036.0600000000004</v>
      </c>
      <c r="J1113">
        <v>0.05</v>
      </c>
      <c r="K1113">
        <v>4784.26</v>
      </c>
      <c r="L1113">
        <v>2759.25</v>
      </c>
      <c r="M1113">
        <v>2025.01</v>
      </c>
      <c r="N1113" s="7" t="s">
        <v>59</v>
      </c>
      <c r="O1113" s="9">
        <f>IFERROR(RawSalesTable_[[#This Row],[Profit]]/RawSalesTable_[[#This Row],[Revenue]],0)</f>
        <v>0.4232650399434813</v>
      </c>
    </row>
    <row r="1114" spans="1:15">
      <c r="A1114" s="7" t="s">
        <v>1254</v>
      </c>
      <c r="B1114" s="8">
        <v>45854</v>
      </c>
      <c r="C1114" s="7" t="s">
        <v>28</v>
      </c>
      <c r="D1114" s="7" t="s">
        <v>29</v>
      </c>
      <c r="E1114" s="7" t="s">
        <v>30</v>
      </c>
      <c r="F1114" s="7" t="s">
        <v>38</v>
      </c>
      <c r="G1114" s="7" t="s">
        <v>19</v>
      </c>
      <c r="H1114">
        <v>2</v>
      </c>
      <c r="I1114">
        <v>28233.34</v>
      </c>
      <c r="J1114">
        <v>0.05</v>
      </c>
      <c r="K1114">
        <v>53643.35</v>
      </c>
      <c r="L1114">
        <v>36259.910000000003</v>
      </c>
      <c r="M1114">
        <v>17383.439999999999</v>
      </c>
      <c r="N1114" s="7" t="s">
        <v>26</v>
      </c>
      <c r="O1114" s="9">
        <f>IFERROR(RawSalesTable_[[#This Row],[Profit]]/RawSalesTable_[[#This Row],[Revenue]],0)</f>
        <v>0.32405582425407808</v>
      </c>
    </row>
    <row r="1115" spans="1:15">
      <c r="A1115" s="7" t="s">
        <v>1255</v>
      </c>
      <c r="B1115" s="8">
        <v>45720</v>
      </c>
      <c r="C1115" s="7" t="s">
        <v>22</v>
      </c>
      <c r="D1115" s="7" t="s">
        <v>35</v>
      </c>
      <c r="E1115" s="7" t="s">
        <v>30</v>
      </c>
      <c r="F1115" s="7" t="s">
        <v>86</v>
      </c>
      <c r="G1115" s="7" t="s">
        <v>70</v>
      </c>
      <c r="H1115">
        <v>8</v>
      </c>
      <c r="I1115">
        <v>32656.21</v>
      </c>
      <c r="J1115">
        <v>0.05</v>
      </c>
      <c r="K1115">
        <v>248187.2</v>
      </c>
      <c r="L1115">
        <v>178149.6</v>
      </c>
      <c r="M1115">
        <v>70037.600000000006</v>
      </c>
      <c r="N1115" s="7" t="s">
        <v>20</v>
      </c>
      <c r="O1115" s="9">
        <f>IFERROR(RawSalesTable_[[#This Row],[Profit]]/RawSalesTable_[[#This Row],[Revenue]],0)</f>
        <v>0.28219666445328367</v>
      </c>
    </row>
    <row r="1116" spans="1:15">
      <c r="A1116" s="7" t="s">
        <v>1256</v>
      </c>
      <c r="B1116" s="8">
        <v>45670</v>
      </c>
      <c r="C1116" s="7" t="s">
        <v>28</v>
      </c>
      <c r="D1116" s="7" t="s">
        <v>52</v>
      </c>
      <c r="E1116" s="7" t="s">
        <v>30</v>
      </c>
      <c r="F1116" s="7" t="s">
        <v>38</v>
      </c>
      <c r="G1116" s="7" t="s">
        <v>58</v>
      </c>
      <c r="H1116">
        <v>7</v>
      </c>
      <c r="I1116">
        <v>26297.83</v>
      </c>
      <c r="J1116">
        <v>0.05</v>
      </c>
      <c r="K1116">
        <v>174880.57</v>
      </c>
      <c r="L1116">
        <v>128983.47</v>
      </c>
      <c r="M1116">
        <v>45897.1</v>
      </c>
      <c r="N1116" s="7" t="s">
        <v>26</v>
      </c>
      <c r="O1116" s="9">
        <f>IFERROR(RawSalesTable_[[#This Row],[Profit]]/RawSalesTable_[[#This Row],[Revenue]],0)</f>
        <v>0.26244825254172033</v>
      </c>
    </row>
    <row r="1117" spans="1:15">
      <c r="A1117" s="7" t="s">
        <v>1257</v>
      </c>
      <c r="B1117" s="8">
        <v>45715</v>
      </c>
      <c r="C1117" s="7" t="s">
        <v>28</v>
      </c>
      <c r="D1117" s="7" t="s">
        <v>56</v>
      </c>
      <c r="E1117" s="7" t="s">
        <v>49</v>
      </c>
      <c r="F1117" s="7" t="s">
        <v>91</v>
      </c>
      <c r="G1117" s="7" t="s">
        <v>32</v>
      </c>
      <c r="H1117">
        <v>8</v>
      </c>
      <c r="I1117">
        <v>6317.62</v>
      </c>
      <c r="J1117">
        <v>0.15</v>
      </c>
      <c r="K1117">
        <v>42959.82</v>
      </c>
      <c r="L1117">
        <v>28007.8</v>
      </c>
      <c r="M1117">
        <v>14952.02</v>
      </c>
      <c r="N1117" s="7" t="s">
        <v>33</v>
      </c>
      <c r="O1117" s="9">
        <f>IFERROR(RawSalesTable_[[#This Row],[Profit]]/RawSalesTable_[[#This Row],[Revenue]],0)</f>
        <v>0.34804661658265795</v>
      </c>
    </row>
    <row r="1118" spans="1:15">
      <c r="A1118" s="7" t="s">
        <v>1258</v>
      </c>
      <c r="B1118" s="8">
        <v>45732</v>
      </c>
      <c r="C1118" s="7" t="s">
        <v>15</v>
      </c>
      <c r="D1118" s="7" t="s">
        <v>43</v>
      </c>
      <c r="E1118" s="7" t="s">
        <v>49</v>
      </c>
      <c r="F1118" s="7" t="s">
        <v>1590</v>
      </c>
      <c r="G1118" s="7" t="s">
        <v>70</v>
      </c>
      <c r="H1118">
        <v>3</v>
      </c>
      <c r="I1118">
        <v>3920.48</v>
      </c>
      <c r="J1118">
        <v>0</v>
      </c>
      <c r="K1118">
        <v>11761.44</v>
      </c>
      <c r="L1118">
        <v>6166.59</v>
      </c>
      <c r="M1118">
        <v>5594.85</v>
      </c>
      <c r="N1118" s="7" t="s">
        <v>20</v>
      </c>
      <c r="O1118" s="9">
        <f>IFERROR(RawSalesTable_[[#This Row],[Profit]]/RawSalesTable_[[#This Row],[Revenue]],0)</f>
        <v>0.47569430273844021</v>
      </c>
    </row>
    <row r="1119" spans="1:15">
      <c r="A1119" s="7" t="s">
        <v>1259</v>
      </c>
      <c r="B1119" s="8">
        <v>45733</v>
      </c>
      <c r="C1119" s="7" t="s">
        <v>28</v>
      </c>
      <c r="D1119" s="7" t="s">
        <v>56</v>
      </c>
      <c r="E1119" s="7" t="s">
        <v>49</v>
      </c>
      <c r="F1119" s="7" t="s">
        <v>1590</v>
      </c>
      <c r="G1119" s="7" t="s">
        <v>19</v>
      </c>
      <c r="H1119">
        <v>8</v>
      </c>
      <c r="I1119">
        <v>3891.31</v>
      </c>
      <c r="J1119">
        <v>0.05</v>
      </c>
      <c r="K1119">
        <v>29573.96</v>
      </c>
      <c r="L1119">
        <v>16734.41</v>
      </c>
      <c r="M1119">
        <v>12839.55</v>
      </c>
      <c r="N1119" s="7" t="s">
        <v>20</v>
      </c>
      <c r="O1119" s="9">
        <f>IFERROR(RawSalesTable_[[#This Row],[Profit]]/RawSalesTable_[[#This Row],[Revenue]],0)</f>
        <v>0.43415051619735739</v>
      </c>
    </row>
    <row r="1120" spans="1:15">
      <c r="A1120" s="7" t="s">
        <v>1260</v>
      </c>
      <c r="B1120" s="8">
        <v>45789</v>
      </c>
      <c r="C1120" s="7" t="s">
        <v>15</v>
      </c>
      <c r="D1120" s="7" t="s">
        <v>43</v>
      </c>
      <c r="E1120" s="7" t="s">
        <v>17</v>
      </c>
      <c r="F1120" s="7" t="s">
        <v>18</v>
      </c>
      <c r="G1120" s="7" t="s">
        <v>19</v>
      </c>
      <c r="H1120">
        <v>5</v>
      </c>
      <c r="I1120">
        <v>14320.27</v>
      </c>
      <c r="J1120">
        <v>0</v>
      </c>
      <c r="K1120">
        <v>71601.350000000006</v>
      </c>
      <c r="L1120">
        <v>40297.879999999997</v>
      </c>
      <c r="M1120">
        <v>31303.47</v>
      </c>
      <c r="N1120" s="7" t="s">
        <v>20</v>
      </c>
      <c r="O1120" s="9">
        <f>IFERROR(RawSalesTable_[[#This Row],[Profit]]/RawSalesTable_[[#This Row],[Revenue]],0)</f>
        <v>0.43719105854847706</v>
      </c>
    </row>
    <row r="1121" spans="1:15">
      <c r="A1121" s="7" t="s">
        <v>1261</v>
      </c>
      <c r="B1121" s="8">
        <v>45900</v>
      </c>
      <c r="C1121" s="7" t="s">
        <v>22</v>
      </c>
      <c r="D1121" s="7" t="s">
        <v>23</v>
      </c>
      <c r="E1121" s="7" t="s">
        <v>30</v>
      </c>
      <c r="F1121" s="7" t="s">
        <v>38</v>
      </c>
      <c r="G1121" s="7" t="s">
        <v>47</v>
      </c>
      <c r="H1121">
        <v>4</v>
      </c>
      <c r="I1121">
        <v>27839.19</v>
      </c>
      <c r="J1121">
        <v>0</v>
      </c>
      <c r="K1121">
        <v>111356.76</v>
      </c>
      <c r="L1121">
        <v>71726.149999999994</v>
      </c>
      <c r="M1121">
        <v>39630.61</v>
      </c>
      <c r="N1121" s="7" t="s">
        <v>20</v>
      </c>
      <c r="O1121" s="9">
        <f>IFERROR(RawSalesTable_[[#This Row],[Profit]]/RawSalesTable_[[#This Row],[Revenue]],0)</f>
        <v>0.35588867707717076</v>
      </c>
    </row>
    <row r="1122" spans="1:15">
      <c r="A1122" s="7" t="s">
        <v>1262</v>
      </c>
      <c r="B1122" s="8">
        <v>45797</v>
      </c>
      <c r="C1122" s="7" t="s">
        <v>28</v>
      </c>
      <c r="D1122" s="7" t="s">
        <v>29</v>
      </c>
      <c r="E1122" s="7" t="s">
        <v>44</v>
      </c>
      <c r="F1122" s="7" t="s">
        <v>69</v>
      </c>
      <c r="G1122" s="7" t="s">
        <v>64</v>
      </c>
      <c r="H1122">
        <v>1</v>
      </c>
      <c r="I1122">
        <v>38636.11</v>
      </c>
      <c r="J1122">
        <v>0</v>
      </c>
      <c r="K1122">
        <v>38636.11</v>
      </c>
      <c r="L1122">
        <v>26454.34</v>
      </c>
      <c r="M1122">
        <v>12181.77</v>
      </c>
      <c r="N1122" s="7" t="s">
        <v>20</v>
      </c>
      <c r="O1122" s="9">
        <f>IFERROR(RawSalesTable_[[#This Row],[Profit]]/RawSalesTable_[[#This Row],[Revenue]],0)</f>
        <v>0.31529494040678524</v>
      </c>
    </row>
    <row r="1123" spans="1:15">
      <c r="A1123" s="7" t="s">
        <v>1263</v>
      </c>
      <c r="B1123" s="8">
        <v>45983</v>
      </c>
      <c r="C1123" s="7" t="s">
        <v>22</v>
      </c>
      <c r="D1123" s="7" t="s">
        <v>23</v>
      </c>
      <c r="E1123" s="7" t="s">
        <v>49</v>
      </c>
      <c r="F1123" s="7" t="s">
        <v>1590</v>
      </c>
      <c r="G1123" s="7" t="s">
        <v>32</v>
      </c>
      <c r="H1123">
        <v>5</v>
      </c>
      <c r="I1123">
        <v>4043.46</v>
      </c>
      <c r="J1123">
        <v>0.1</v>
      </c>
      <c r="K1123">
        <v>18195.57</v>
      </c>
      <c r="L1123">
        <v>10765.84</v>
      </c>
      <c r="M1123">
        <v>7429.73</v>
      </c>
      <c r="N1123" s="7" t="s">
        <v>33</v>
      </c>
      <c r="O1123" s="9">
        <f>IFERROR(RawSalesTable_[[#This Row],[Profit]]/RawSalesTable_[[#This Row],[Revenue]],0)</f>
        <v>0.40832631239362105</v>
      </c>
    </row>
    <row r="1124" spans="1:15">
      <c r="A1124" s="7" t="s">
        <v>1264</v>
      </c>
      <c r="B1124" s="8">
        <v>45969</v>
      </c>
      <c r="C1124" s="7" t="s">
        <v>22</v>
      </c>
      <c r="D1124" s="7" t="s">
        <v>23</v>
      </c>
      <c r="E1124" s="7" t="s">
        <v>17</v>
      </c>
      <c r="F1124" s="7" t="s">
        <v>18</v>
      </c>
      <c r="G1124" s="7" t="s">
        <v>70</v>
      </c>
      <c r="H1124">
        <v>4</v>
      </c>
      <c r="I1124">
        <v>13487.84</v>
      </c>
      <c r="J1124">
        <v>0.05</v>
      </c>
      <c r="K1124">
        <v>51253.79</v>
      </c>
      <c r="L1124">
        <v>33487.86</v>
      </c>
      <c r="M1124">
        <v>17765.93</v>
      </c>
      <c r="N1124" s="7" t="s">
        <v>20</v>
      </c>
      <c r="O1124" s="9">
        <f>IFERROR(RawSalesTable_[[#This Row],[Profit]]/RawSalesTable_[[#This Row],[Revenue]],0)</f>
        <v>0.34662665921876218</v>
      </c>
    </row>
    <row r="1125" spans="1:15">
      <c r="A1125" s="7" t="s">
        <v>1265</v>
      </c>
      <c r="B1125" s="8">
        <v>45821</v>
      </c>
      <c r="C1125" s="7" t="s">
        <v>15</v>
      </c>
      <c r="D1125" s="7" t="s">
        <v>43</v>
      </c>
      <c r="E1125" s="7" t="s">
        <v>30</v>
      </c>
      <c r="F1125" s="7" t="s">
        <v>40</v>
      </c>
      <c r="G1125" s="7" t="s">
        <v>32</v>
      </c>
      <c r="H1125">
        <v>8</v>
      </c>
      <c r="I1125">
        <v>26185.1</v>
      </c>
      <c r="J1125">
        <v>0</v>
      </c>
      <c r="K1125">
        <v>209480.8</v>
      </c>
      <c r="L1125">
        <v>125642.43</v>
      </c>
      <c r="M1125">
        <v>83838.37</v>
      </c>
      <c r="N1125" s="7" t="s">
        <v>20</v>
      </c>
      <c r="O1125" s="9">
        <f>IFERROR(RawSalesTable_[[#This Row],[Profit]]/RawSalesTable_[[#This Row],[Revenue]],0)</f>
        <v>0.40021982921585175</v>
      </c>
    </row>
    <row r="1126" spans="1:15">
      <c r="A1126" s="7" t="s">
        <v>1266</v>
      </c>
      <c r="B1126" s="8">
        <v>45996</v>
      </c>
      <c r="C1126" s="7" t="s">
        <v>22</v>
      </c>
      <c r="D1126" s="7" t="s">
        <v>35</v>
      </c>
      <c r="E1126" s="7" t="s">
        <v>49</v>
      </c>
      <c r="F1126" s="7" t="s">
        <v>1590</v>
      </c>
      <c r="G1126" s="7" t="s">
        <v>19</v>
      </c>
      <c r="H1126">
        <v>3</v>
      </c>
      <c r="I1126">
        <v>4316.25</v>
      </c>
      <c r="J1126">
        <v>0.05</v>
      </c>
      <c r="K1126">
        <v>12301.31</v>
      </c>
      <c r="L1126">
        <v>6288.7</v>
      </c>
      <c r="M1126">
        <v>6012.61</v>
      </c>
      <c r="N1126" s="7" t="s">
        <v>20</v>
      </c>
      <c r="O1126" s="9">
        <f>IFERROR(RawSalesTable_[[#This Row],[Profit]]/RawSalesTable_[[#This Row],[Revenue]],0)</f>
        <v>0.48877802445430607</v>
      </c>
    </row>
    <row r="1127" spans="1:15">
      <c r="A1127" s="7" t="s">
        <v>1267</v>
      </c>
      <c r="B1127" s="8">
        <v>45897</v>
      </c>
      <c r="C1127" s="7" t="s">
        <v>15</v>
      </c>
      <c r="D1127" s="7" t="s">
        <v>63</v>
      </c>
      <c r="E1127" s="7" t="s">
        <v>17</v>
      </c>
      <c r="F1127" s="7" t="s">
        <v>24</v>
      </c>
      <c r="G1127" s="7" t="s">
        <v>64</v>
      </c>
      <c r="H1127">
        <v>6</v>
      </c>
      <c r="I1127">
        <v>89115.36</v>
      </c>
      <c r="J1127">
        <v>0.05</v>
      </c>
      <c r="K1127">
        <v>507957.55</v>
      </c>
      <c r="L1127">
        <v>408654.82</v>
      </c>
      <c r="M1127">
        <v>99302.73</v>
      </c>
      <c r="N1127" s="7" t="s">
        <v>26</v>
      </c>
      <c r="O1127" s="9">
        <f>IFERROR(RawSalesTable_[[#This Row],[Profit]]/RawSalesTable_[[#This Row],[Revenue]],0)</f>
        <v>0.19549415103683368</v>
      </c>
    </row>
    <row r="1128" spans="1:15">
      <c r="A1128" s="7" t="s">
        <v>1268</v>
      </c>
      <c r="B1128" s="8">
        <v>45803</v>
      </c>
      <c r="C1128" s="7" t="s">
        <v>15</v>
      </c>
      <c r="D1128" s="7" t="s">
        <v>43</v>
      </c>
      <c r="E1128" s="7" t="s">
        <v>44</v>
      </c>
      <c r="F1128" s="7" t="s">
        <v>69</v>
      </c>
      <c r="G1128" s="7" t="s">
        <v>70</v>
      </c>
      <c r="H1128">
        <v>7</v>
      </c>
      <c r="I1128">
        <v>37485.589999999997</v>
      </c>
      <c r="J1128">
        <v>0</v>
      </c>
      <c r="K1128">
        <v>262399.13</v>
      </c>
      <c r="L1128">
        <v>186112.69</v>
      </c>
      <c r="M1128">
        <v>76286.44</v>
      </c>
      <c r="N1128" s="7" t="s">
        <v>26</v>
      </c>
      <c r="O1128" s="9">
        <f>IFERROR(RawSalesTable_[[#This Row],[Profit]]/RawSalesTable_[[#This Row],[Revenue]],0)</f>
        <v>0.29072672611376416</v>
      </c>
    </row>
    <row r="1129" spans="1:15">
      <c r="A1129" s="7" t="s">
        <v>1269</v>
      </c>
      <c r="B1129" s="8">
        <v>45714</v>
      </c>
      <c r="C1129" s="7" t="s">
        <v>28</v>
      </c>
      <c r="D1129" s="7" t="s">
        <v>29</v>
      </c>
      <c r="E1129" s="7" t="s">
        <v>44</v>
      </c>
      <c r="F1129" s="7" t="s">
        <v>53</v>
      </c>
      <c r="G1129" s="7" t="s">
        <v>58</v>
      </c>
      <c r="H1129">
        <v>2</v>
      </c>
      <c r="I1129">
        <v>7951.89</v>
      </c>
      <c r="J1129">
        <v>0</v>
      </c>
      <c r="K1129">
        <v>15903.78</v>
      </c>
      <c r="L1129">
        <v>9650.9599999999991</v>
      </c>
      <c r="M1129">
        <v>6252.82</v>
      </c>
      <c r="N1129" s="7" t="s">
        <v>26</v>
      </c>
      <c r="O1129" s="9">
        <f>IFERROR(RawSalesTable_[[#This Row],[Profit]]/RawSalesTable_[[#This Row],[Revenue]],0)</f>
        <v>0.39316564992724995</v>
      </c>
    </row>
    <row r="1130" spans="1:15">
      <c r="A1130" s="7" t="s">
        <v>1270</v>
      </c>
      <c r="B1130" s="8">
        <v>45800</v>
      </c>
      <c r="C1130" s="7" t="s">
        <v>22</v>
      </c>
      <c r="D1130" s="7" t="s">
        <v>37</v>
      </c>
      <c r="E1130" s="7" t="s">
        <v>49</v>
      </c>
      <c r="F1130" s="7" t="s">
        <v>107</v>
      </c>
      <c r="G1130" s="7" t="s">
        <v>32</v>
      </c>
      <c r="H1130">
        <v>6</v>
      </c>
      <c r="I1130">
        <v>5409.07</v>
      </c>
      <c r="J1130">
        <v>0.05</v>
      </c>
      <c r="K1130">
        <v>30831.7</v>
      </c>
      <c r="L1130">
        <v>16735.12</v>
      </c>
      <c r="M1130">
        <v>14096.58</v>
      </c>
      <c r="N1130" s="7" t="s">
        <v>59</v>
      </c>
      <c r="O1130" s="9">
        <f>IFERROR(RawSalesTable_[[#This Row],[Profit]]/RawSalesTable_[[#This Row],[Revenue]],0)</f>
        <v>0.45721059818303889</v>
      </c>
    </row>
    <row r="1131" spans="1:15">
      <c r="A1131" s="7" t="s">
        <v>1271</v>
      </c>
      <c r="B1131" s="8">
        <v>45804</v>
      </c>
      <c r="C1131" s="7" t="s">
        <v>15</v>
      </c>
      <c r="D1131" s="7" t="s">
        <v>16</v>
      </c>
      <c r="E1131" s="7" t="s">
        <v>30</v>
      </c>
      <c r="F1131" s="7" t="s">
        <v>40</v>
      </c>
      <c r="G1131" s="7" t="s">
        <v>70</v>
      </c>
      <c r="H1131">
        <v>4</v>
      </c>
      <c r="I1131">
        <v>25907.5</v>
      </c>
      <c r="J1131">
        <v>0.05</v>
      </c>
      <c r="K1131">
        <v>98448.5</v>
      </c>
      <c r="L1131">
        <v>64652.21</v>
      </c>
      <c r="M1131">
        <v>33796.29</v>
      </c>
      <c r="N1131" s="7" t="s">
        <v>26</v>
      </c>
      <c r="O1131" s="9">
        <f>IFERROR(RawSalesTable_[[#This Row],[Profit]]/RawSalesTable_[[#This Row],[Revenue]],0)</f>
        <v>0.34328902928942545</v>
      </c>
    </row>
    <row r="1132" spans="1:15">
      <c r="A1132" s="7" t="s">
        <v>1272</v>
      </c>
      <c r="B1132" s="8">
        <v>45708</v>
      </c>
      <c r="C1132" s="7" t="s">
        <v>22</v>
      </c>
      <c r="D1132" s="7" t="s">
        <v>35</v>
      </c>
      <c r="E1132" s="7" t="s">
        <v>30</v>
      </c>
      <c r="F1132" s="7" t="s">
        <v>31</v>
      </c>
      <c r="G1132" s="7" t="s">
        <v>25</v>
      </c>
      <c r="H1132">
        <v>6</v>
      </c>
      <c r="I1132">
        <v>140679.39000000001</v>
      </c>
      <c r="J1132">
        <v>0.15</v>
      </c>
      <c r="K1132">
        <v>717464.89</v>
      </c>
      <c r="L1132">
        <v>595127.72</v>
      </c>
      <c r="M1132">
        <v>122337.17</v>
      </c>
      <c r="N1132" s="7" t="s">
        <v>20</v>
      </c>
      <c r="O1132" s="9">
        <f>IFERROR(RawSalesTable_[[#This Row],[Profit]]/RawSalesTable_[[#This Row],[Revenue]],0)</f>
        <v>0.17051311040460809</v>
      </c>
    </row>
    <row r="1133" spans="1:15">
      <c r="A1133" s="7" t="s">
        <v>1273</v>
      </c>
      <c r="B1133" s="8">
        <v>45699</v>
      </c>
      <c r="C1133" s="7" t="s">
        <v>28</v>
      </c>
      <c r="D1133" s="7" t="s">
        <v>56</v>
      </c>
      <c r="E1133" s="7" t="s">
        <v>44</v>
      </c>
      <c r="F1133" s="7" t="s">
        <v>80</v>
      </c>
      <c r="G1133" s="7" t="s">
        <v>25</v>
      </c>
      <c r="H1133">
        <v>4</v>
      </c>
      <c r="I1133">
        <v>40513.379999999997</v>
      </c>
      <c r="J1133">
        <v>0.1</v>
      </c>
      <c r="K1133">
        <v>145848.17000000001</v>
      </c>
      <c r="L1133">
        <v>124649.18</v>
      </c>
      <c r="M1133">
        <v>21198.99</v>
      </c>
      <c r="N1133" s="7" t="s">
        <v>33</v>
      </c>
      <c r="O1133" s="9">
        <f>IFERROR(RawSalesTable_[[#This Row],[Profit]]/RawSalesTable_[[#This Row],[Revenue]],0)</f>
        <v>0.14534971539238373</v>
      </c>
    </row>
    <row r="1134" spans="1:15">
      <c r="A1134" s="7" t="s">
        <v>1274</v>
      </c>
      <c r="B1134" s="8">
        <v>45965</v>
      </c>
      <c r="C1134" s="7" t="s">
        <v>28</v>
      </c>
      <c r="D1134" s="7" t="s">
        <v>29</v>
      </c>
      <c r="E1134" s="7" t="s">
        <v>44</v>
      </c>
      <c r="F1134" s="7" t="s">
        <v>45</v>
      </c>
      <c r="G1134" s="7" t="s">
        <v>25</v>
      </c>
      <c r="H1134">
        <v>8</v>
      </c>
      <c r="I1134">
        <v>29340.7</v>
      </c>
      <c r="J1134">
        <v>0.05</v>
      </c>
      <c r="K1134">
        <v>222989.32</v>
      </c>
      <c r="L1134">
        <v>147681.74</v>
      </c>
      <c r="M1134">
        <v>75307.58</v>
      </c>
      <c r="N1134" s="7" t="s">
        <v>26</v>
      </c>
      <c r="O1134" s="9">
        <f>IFERROR(RawSalesTable_[[#This Row],[Profit]]/RawSalesTable_[[#This Row],[Revenue]],0)</f>
        <v>0.33771832659967749</v>
      </c>
    </row>
    <row r="1135" spans="1:15">
      <c r="A1135" s="7" t="s">
        <v>1275</v>
      </c>
      <c r="B1135" s="8">
        <v>45823</v>
      </c>
      <c r="C1135" s="7" t="s">
        <v>22</v>
      </c>
      <c r="D1135" s="7" t="s">
        <v>35</v>
      </c>
      <c r="E1135" s="7" t="s">
        <v>30</v>
      </c>
      <c r="F1135" s="7" t="s">
        <v>86</v>
      </c>
      <c r="G1135" s="7" t="s">
        <v>61</v>
      </c>
      <c r="H1135">
        <v>3</v>
      </c>
      <c r="I1135">
        <v>32853.050000000003</v>
      </c>
      <c r="J1135">
        <v>0.15</v>
      </c>
      <c r="K1135">
        <v>83775.28</v>
      </c>
      <c r="L1135">
        <v>69828.55</v>
      </c>
      <c r="M1135">
        <v>13946.73</v>
      </c>
      <c r="N1135" s="7" t="s">
        <v>59</v>
      </c>
      <c r="O1135" s="9">
        <f>IFERROR(RawSalesTable_[[#This Row],[Profit]]/RawSalesTable_[[#This Row],[Revenue]],0)</f>
        <v>0.16647786793431188</v>
      </c>
    </row>
    <row r="1136" spans="1:15">
      <c r="A1136" s="7" t="s">
        <v>1276</v>
      </c>
      <c r="B1136" s="8">
        <v>45781</v>
      </c>
      <c r="C1136" s="7" t="s">
        <v>22</v>
      </c>
      <c r="D1136" s="7" t="s">
        <v>23</v>
      </c>
      <c r="E1136" s="7" t="s">
        <v>44</v>
      </c>
      <c r="F1136" s="7" t="s">
        <v>53</v>
      </c>
      <c r="G1136" s="7" t="s">
        <v>61</v>
      </c>
      <c r="H1136">
        <v>8</v>
      </c>
      <c r="I1136">
        <v>8153.26</v>
      </c>
      <c r="J1136">
        <v>0.1</v>
      </c>
      <c r="K1136">
        <v>58703.47</v>
      </c>
      <c r="L1136">
        <v>39241.379999999997</v>
      </c>
      <c r="M1136">
        <v>19462.09</v>
      </c>
      <c r="N1136" s="7" t="s">
        <v>20</v>
      </c>
      <c r="O1136" s="9">
        <f>IFERROR(RawSalesTable_[[#This Row],[Profit]]/RawSalesTable_[[#This Row],[Revenue]],0)</f>
        <v>0.33153219051616539</v>
      </c>
    </row>
    <row r="1137" spans="1:15">
      <c r="A1137" s="7" t="s">
        <v>1277</v>
      </c>
      <c r="B1137" s="8">
        <v>45661</v>
      </c>
      <c r="C1137" s="7" t="s">
        <v>15</v>
      </c>
      <c r="D1137" s="7" t="s">
        <v>43</v>
      </c>
      <c r="E1137" s="7" t="s">
        <v>17</v>
      </c>
      <c r="F1137" s="7" t="s">
        <v>18</v>
      </c>
      <c r="G1137" s="7" t="s">
        <v>64</v>
      </c>
      <c r="H1137">
        <v>3</v>
      </c>
      <c r="I1137">
        <v>13908.08</v>
      </c>
      <c r="J1137">
        <v>0.15</v>
      </c>
      <c r="K1137">
        <v>35465.599999999999</v>
      </c>
      <c r="L1137">
        <v>25519.38</v>
      </c>
      <c r="M1137">
        <v>9946.2199999999993</v>
      </c>
      <c r="N1137" s="7" t="s">
        <v>20</v>
      </c>
      <c r="O1137" s="9">
        <f>IFERROR(RawSalesTable_[[#This Row],[Profit]]/RawSalesTable_[[#This Row],[Revenue]],0)</f>
        <v>0.28044696832987459</v>
      </c>
    </row>
    <row r="1138" spans="1:15">
      <c r="A1138" s="7" t="s">
        <v>1278</v>
      </c>
      <c r="B1138" s="8">
        <v>45968</v>
      </c>
      <c r="C1138" s="7" t="s">
        <v>15</v>
      </c>
      <c r="D1138" s="7" t="s">
        <v>63</v>
      </c>
      <c r="E1138" s="7" t="s">
        <v>49</v>
      </c>
      <c r="F1138" s="7" t="s">
        <v>91</v>
      </c>
      <c r="G1138" s="7" t="s">
        <v>64</v>
      </c>
      <c r="H1138">
        <v>7</v>
      </c>
      <c r="I1138">
        <v>6975.88</v>
      </c>
      <c r="J1138">
        <v>0.15</v>
      </c>
      <c r="K1138">
        <v>41506.49</v>
      </c>
      <c r="L1138">
        <v>25391.87</v>
      </c>
      <c r="M1138">
        <v>16114.62</v>
      </c>
      <c r="N1138" s="7" t="s">
        <v>20</v>
      </c>
      <c r="O1138" s="9">
        <f>IFERROR(RawSalesTable_[[#This Row],[Profit]]/RawSalesTable_[[#This Row],[Revenue]],0)</f>
        <v>0.3882433807339527</v>
      </c>
    </row>
    <row r="1139" spans="1:15">
      <c r="A1139" s="7" t="s">
        <v>1279</v>
      </c>
      <c r="B1139" s="8">
        <v>45844</v>
      </c>
      <c r="C1139" s="7" t="s">
        <v>28</v>
      </c>
      <c r="D1139" s="7" t="s">
        <v>29</v>
      </c>
      <c r="E1139" s="7" t="s">
        <v>17</v>
      </c>
      <c r="F1139" s="7" t="s">
        <v>18</v>
      </c>
      <c r="G1139" s="7" t="s">
        <v>25</v>
      </c>
      <c r="H1139">
        <v>7</v>
      </c>
      <c r="I1139">
        <v>15261.67</v>
      </c>
      <c r="J1139">
        <v>0.15</v>
      </c>
      <c r="K1139">
        <v>90806.94</v>
      </c>
      <c r="L1139">
        <v>58766.879999999997</v>
      </c>
      <c r="M1139">
        <v>32040.06</v>
      </c>
      <c r="N1139" s="7" t="s">
        <v>20</v>
      </c>
      <c r="O1139" s="9">
        <f>IFERROR(RawSalesTable_[[#This Row],[Profit]]/RawSalesTable_[[#This Row],[Revenue]],0)</f>
        <v>0.35283712896833658</v>
      </c>
    </row>
    <row r="1140" spans="1:15">
      <c r="A1140" s="7" t="s">
        <v>1280</v>
      </c>
      <c r="B1140" s="8">
        <v>45715</v>
      </c>
      <c r="C1140" s="7" t="s">
        <v>28</v>
      </c>
      <c r="D1140" s="7" t="s">
        <v>52</v>
      </c>
      <c r="E1140" s="7" t="s">
        <v>17</v>
      </c>
      <c r="F1140" s="7" t="s">
        <v>24</v>
      </c>
      <c r="G1140" s="7" t="s">
        <v>61</v>
      </c>
      <c r="H1140">
        <v>5</v>
      </c>
      <c r="I1140">
        <v>95796.88</v>
      </c>
      <c r="J1140">
        <v>0.1</v>
      </c>
      <c r="K1140">
        <v>431085.96</v>
      </c>
      <c r="L1140">
        <v>347735.15</v>
      </c>
      <c r="M1140">
        <v>83350.81</v>
      </c>
      <c r="N1140" s="7" t="s">
        <v>59</v>
      </c>
      <c r="O1140" s="9">
        <f>IFERROR(RawSalesTable_[[#This Row],[Profit]]/RawSalesTable_[[#This Row],[Revenue]],0)</f>
        <v>0.19335078785678844</v>
      </c>
    </row>
    <row r="1141" spans="1:15">
      <c r="A1141" s="7" t="s">
        <v>1281</v>
      </c>
      <c r="B1141" s="8">
        <v>45826</v>
      </c>
      <c r="C1141" s="7" t="s">
        <v>28</v>
      </c>
      <c r="D1141" s="7" t="s">
        <v>29</v>
      </c>
      <c r="E1141" s="7" t="s">
        <v>30</v>
      </c>
      <c r="F1141" s="7" t="s">
        <v>86</v>
      </c>
      <c r="G1141" s="7" t="s">
        <v>19</v>
      </c>
      <c r="H1141">
        <v>4</v>
      </c>
      <c r="I1141">
        <v>34560.519999999997</v>
      </c>
      <c r="J1141">
        <v>0</v>
      </c>
      <c r="K1141">
        <v>138242.07999999999</v>
      </c>
      <c r="L1141">
        <v>88966.399999999994</v>
      </c>
      <c r="M1141">
        <v>49275.68</v>
      </c>
      <c r="N1141" s="7" t="s">
        <v>20</v>
      </c>
      <c r="O1141" s="9">
        <f>IFERROR(RawSalesTable_[[#This Row],[Profit]]/RawSalesTable_[[#This Row],[Revenue]],0)</f>
        <v>0.35644486830637967</v>
      </c>
    </row>
    <row r="1142" spans="1:15">
      <c r="A1142" s="7" t="s">
        <v>1282</v>
      </c>
      <c r="B1142" s="8">
        <v>45888</v>
      </c>
      <c r="C1142" s="7" t="s">
        <v>15</v>
      </c>
      <c r="D1142" s="7" t="s">
        <v>63</v>
      </c>
      <c r="E1142" s="7" t="s">
        <v>44</v>
      </c>
      <c r="F1142" s="7" t="s">
        <v>69</v>
      </c>
      <c r="G1142" s="7" t="s">
        <v>58</v>
      </c>
      <c r="H1142">
        <v>6</v>
      </c>
      <c r="I1142">
        <v>36755.379999999997</v>
      </c>
      <c r="J1142">
        <v>0.05</v>
      </c>
      <c r="K1142">
        <v>209505.67</v>
      </c>
      <c r="L1142">
        <v>154930.82</v>
      </c>
      <c r="M1142">
        <v>54574.85</v>
      </c>
      <c r="N1142" s="7" t="s">
        <v>59</v>
      </c>
      <c r="O1142" s="9">
        <f>IFERROR(RawSalesTable_[[#This Row],[Profit]]/RawSalesTable_[[#This Row],[Revenue]],0)</f>
        <v>0.26049342721846142</v>
      </c>
    </row>
    <row r="1143" spans="1:15">
      <c r="A1143" s="7" t="s">
        <v>1283</v>
      </c>
      <c r="B1143" s="8">
        <v>45807</v>
      </c>
      <c r="C1143" s="7" t="s">
        <v>15</v>
      </c>
      <c r="D1143" s="7" t="s">
        <v>16</v>
      </c>
      <c r="E1143" s="7" t="s">
        <v>44</v>
      </c>
      <c r="F1143" s="7" t="s">
        <v>45</v>
      </c>
      <c r="G1143" s="7" t="s">
        <v>58</v>
      </c>
      <c r="H1143">
        <v>5</v>
      </c>
      <c r="I1143">
        <v>26338.29</v>
      </c>
      <c r="J1143">
        <v>0.05</v>
      </c>
      <c r="K1143">
        <v>125106.88</v>
      </c>
      <c r="L1143">
        <v>95897.54</v>
      </c>
      <c r="M1143">
        <v>29209.34</v>
      </c>
      <c r="N1143" s="7" t="s">
        <v>26</v>
      </c>
      <c r="O1143" s="9">
        <f>IFERROR(RawSalesTable_[[#This Row],[Profit]]/RawSalesTable_[[#This Row],[Revenue]],0)</f>
        <v>0.23347508945950854</v>
      </c>
    </row>
    <row r="1144" spans="1:15">
      <c r="A1144" s="7" t="s">
        <v>1284</v>
      </c>
      <c r="B1144" s="8">
        <v>46013</v>
      </c>
      <c r="C1144" s="7" t="s">
        <v>15</v>
      </c>
      <c r="D1144" s="7" t="s">
        <v>43</v>
      </c>
      <c r="E1144" s="7" t="s">
        <v>30</v>
      </c>
      <c r="F1144" s="7" t="s">
        <v>40</v>
      </c>
      <c r="G1144" s="7" t="s">
        <v>61</v>
      </c>
      <c r="H1144">
        <v>8</v>
      </c>
      <c r="I1144">
        <v>25179.25</v>
      </c>
      <c r="J1144">
        <v>0</v>
      </c>
      <c r="K1144">
        <v>201434</v>
      </c>
      <c r="L1144">
        <v>129188.55</v>
      </c>
      <c r="M1144">
        <v>72245.45</v>
      </c>
      <c r="N1144" s="7" t="s">
        <v>26</v>
      </c>
      <c r="O1144" s="9">
        <f>IFERROR(RawSalesTable_[[#This Row],[Profit]]/RawSalesTable_[[#This Row],[Revenue]],0)</f>
        <v>0.35865568871193543</v>
      </c>
    </row>
    <row r="1145" spans="1:15">
      <c r="A1145" s="7" t="s">
        <v>1285</v>
      </c>
      <c r="B1145" s="8">
        <v>45733</v>
      </c>
      <c r="C1145" s="7" t="s">
        <v>15</v>
      </c>
      <c r="D1145" s="7" t="s">
        <v>63</v>
      </c>
      <c r="E1145" s="7" t="s">
        <v>49</v>
      </c>
      <c r="F1145" s="7" t="s">
        <v>57</v>
      </c>
      <c r="G1145" s="7" t="s">
        <v>64</v>
      </c>
      <c r="H1145">
        <v>4</v>
      </c>
      <c r="I1145">
        <v>10631.53</v>
      </c>
      <c r="J1145">
        <v>0</v>
      </c>
      <c r="K1145">
        <v>42526.12</v>
      </c>
      <c r="L1145">
        <v>26281.48</v>
      </c>
      <c r="M1145">
        <v>16244.64</v>
      </c>
      <c r="N1145" s="7" t="s">
        <v>59</v>
      </c>
      <c r="O1145" s="9">
        <f>IFERROR(RawSalesTable_[[#This Row],[Profit]]/RawSalesTable_[[#This Row],[Revenue]],0)</f>
        <v>0.38199205570599898</v>
      </c>
    </row>
    <row r="1146" spans="1:15">
      <c r="A1146" s="7" t="s">
        <v>1286</v>
      </c>
      <c r="B1146" s="8">
        <v>45914</v>
      </c>
      <c r="C1146" s="7" t="s">
        <v>28</v>
      </c>
      <c r="D1146" s="7" t="s">
        <v>29</v>
      </c>
      <c r="E1146" s="7" t="s">
        <v>49</v>
      </c>
      <c r="F1146" s="7" t="s">
        <v>107</v>
      </c>
      <c r="G1146" s="7" t="s">
        <v>32</v>
      </c>
      <c r="H1146">
        <v>3</v>
      </c>
      <c r="I1146">
        <v>5593.04</v>
      </c>
      <c r="J1146">
        <v>0.15</v>
      </c>
      <c r="K1146">
        <v>14262.25</v>
      </c>
      <c r="L1146">
        <v>7945.38</v>
      </c>
      <c r="M1146">
        <v>6316.87</v>
      </c>
      <c r="N1146" s="7" t="s">
        <v>59</v>
      </c>
      <c r="O1146" s="9">
        <f>IFERROR(RawSalesTable_[[#This Row],[Profit]]/RawSalesTable_[[#This Row],[Revenue]],0)</f>
        <v>0.44290837700923769</v>
      </c>
    </row>
    <row r="1147" spans="1:15">
      <c r="A1147" s="7" t="s">
        <v>1287</v>
      </c>
      <c r="B1147" s="8">
        <v>45691</v>
      </c>
      <c r="C1147" s="7" t="s">
        <v>28</v>
      </c>
      <c r="D1147" s="7" t="s">
        <v>56</v>
      </c>
      <c r="E1147" s="7" t="s">
        <v>44</v>
      </c>
      <c r="F1147" s="7" t="s">
        <v>53</v>
      </c>
      <c r="G1147" s="7" t="s">
        <v>32</v>
      </c>
      <c r="H1147">
        <v>3</v>
      </c>
      <c r="I1147">
        <v>8478.24</v>
      </c>
      <c r="J1147">
        <v>0.05</v>
      </c>
      <c r="K1147">
        <v>24162.98</v>
      </c>
      <c r="L1147">
        <v>14273.65</v>
      </c>
      <c r="M1147">
        <v>9889.33</v>
      </c>
      <c r="N1147" s="7" t="s">
        <v>26</v>
      </c>
      <c r="O1147" s="9">
        <f>IFERROR(RawSalesTable_[[#This Row],[Profit]]/RawSalesTable_[[#This Row],[Revenue]],0)</f>
        <v>0.40927609094573603</v>
      </c>
    </row>
    <row r="1148" spans="1:15">
      <c r="A1148" s="7" t="s">
        <v>1288</v>
      </c>
      <c r="B1148" s="8">
        <v>45990</v>
      </c>
      <c r="C1148" s="7" t="s">
        <v>28</v>
      </c>
      <c r="D1148" s="7" t="s">
        <v>52</v>
      </c>
      <c r="E1148" s="7" t="s">
        <v>44</v>
      </c>
      <c r="F1148" s="7" t="s">
        <v>45</v>
      </c>
      <c r="G1148" s="7" t="s">
        <v>47</v>
      </c>
      <c r="H1148">
        <v>5</v>
      </c>
      <c r="I1148">
        <v>28995.4</v>
      </c>
      <c r="J1148">
        <v>0.15</v>
      </c>
      <c r="K1148">
        <v>123230.45</v>
      </c>
      <c r="L1148">
        <v>97398.67</v>
      </c>
      <c r="M1148">
        <v>25831.78</v>
      </c>
      <c r="N1148" s="7" t="s">
        <v>59</v>
      </c>
      <c r="O1148" s="9">
        <f>IFERROR(RawSalesTable_[[#This Row],[Profit]]/RawSalesTable_[[#This Row],[Revenue]],0)</f>
        <v>0.20962172904505338</v>
      </c>
    </row>
    <row r="1149" spans="1:15">
      <c r="A1149" s="7" t="s">
        <v>1289</v>
      </c>
      <c r="B1149" s="8">
        <v>45708</v>
      </c>
      <c r="C1149" s="7" t="s">
        <v>28</v>
      </c>
      <c r="D1149" s="7" t="s">
        <v>56</v>
      </c>
      <c r="E1149" s="7" t="s">
        <v>17</v>
      </c>
      <c r="F1149" s="7" t="s">
        <v>24</v>
      </c>
      <c r="G1149" s="7" t="s">
        <v>32</v>
      </c>
      <c r="H1149">
        <v>4</v>
      </c>
      <c r="I1149">
        <v>89991.61</v>
      </c>
      <c r="J1149">
        <v>0</v>
      </c>
      <c r="K1149">
        <v>359966.44</v>
      </c>
      <c r="L1149">
        <v>271427.27</v>
      </c>
      <c r="M1149">
        <v>88539.17</v>
      </c>
      <c r="N1149" s="7" t="s">
        <v>33</v>
      </c>
      <c r="O1149" s="9">
        <f>IFERROR(RawSalesTable_[[#This Row],[Profit]]/RawSalesTable_[[#This Row],[Revenue]],0)</f>
        <v>0.24596506829914477</v>
      </c>
    </row>
    <row r="1150" spans="1:15">
      <c r="A1150" s="7" t="s">
        <v>1291</v>
      </c>
      <c r="B1150" s="8">
        <v>45704</v>
      </c>
      <c r="C1150" s="7" t="s">
        <v>15</v>
      </c>
      <c r="D1150" s="7" t="s">
        <v>43</v>
      </c>
      <c r="E1150" s="7" t="s">
        <v>49</v>
      </c>
      <c r="F1150" s="7" t="s">
        <v>1590</v>
      </c>
      <c r="G1150" s="7" t="s">
        <v>47</v>
      </c>
      <c r="H1150">
        <v>1</v>
      </c>
      <c r="I1150">
        <v>4522.1400000000003</v>
      </c>
      <c r="J1150">
        <v>0.05</v>
      </c>
      <c r="K1150">
        <v>4296.03</v>
      </c>
      <c r="L1150">
        <v>2118.14</v>
      </c>
      <c r="M1150">
        <v>2177.89</v>
      </c>
      <c r="N1150" s="7" t="s">
        <v>33</v>
      </c>
      <c r="O1150" s="9">
        <f>IFERROR(RawSalesTable_[[#This Row],[Profit]]/RawSalesTable_[[#This Row],[Revenue]],0)</f>
        <v>0.50695409482708453</v>
      </c>
    </row>
    <row r="1151" spans="1:15">
      <c r="A1151" s="7" t="s">
        <v>1292</v>
      </c>
      <c r="B1151" s="8">
        <v>45902</v>
      </c>
      <c r="C1151" s="7" t="s">
        <v>22</v>
      </c>
      <c r="D1151" s="7" t="s">
        <v>37</v>
      </c>
      <c r="E1151" s="7" t="s">
        <v>30</v>
      </c>
      <c r="F1151" s="7" t="s">
        <v>31</v>
      </c>
      <c r="G1151" s="7" t="s">
        <v>70</v>
      </c>
      <c r="H1151">
        <v>4</v>
      </c>
      <c r="I1151">
        <v>129115.86</v>
      </c>
      <c r="J1151">
        <v>0.1</v>
      </c>
      <c r="K1151">
        <v>464817.1</v>
      </c>
      <c r="L1151">
        <v>413420.32</v>
      </c>
      <c r="M1151">
        <v>51396.78</v>
      </c>
      <c r="N1151" s="7" t="s">
        <v>33</v>
      </c>
      <c r="O1151" s="9">
        <f>IFERROR(RawSalesTable_[[#This Row],[Profit]]/RawSalesTable_[[#This Row],[Revenue]],0)</f>
        <v>0.11057420219695016</v>
      </c>
    </row>
    <row r="1152" spans="1:15">
      <c r="A1152" s="7" t="s">
        <v>1293</v>
      </c>
      <c r="B1152" s="8">
        <v>45759</v>
      </c>
      <c r="C1152" s="7" t="s">
        <v>15</v>
      </c>
      <c r="D1152" s="7" t="s">
        <v>16</v>
      </c>
      <c r="E1152" s="7" t="s">
        <v>30</v>
      </c>
      <c r="F1152" s="7" t="s">
        <v>31</v>
      </c>
      <c r="G1152" s="7" t="s">
        <v>19</v>
      </c>
      <c r="H1152">
        <v>4</v>
      </c>
      <c r="I1152">
        <v>134531.26</v>
      </c>
      <c r="J1152">
        <v>0.05</v>
      </c>
      <c r="K1152">
        <v>511218.79</v>
      </c>
      <c r="L1152">
        <v>394238.16</v>
      </c>
      <c r="M1152">
        <v>116980.63</v>
      </c>
      <c r="N1152" s="7" t="s">
        <v>26</v>
      </c>
      <c r="O1152" s="9">
        <f>IFERROR(RawSalesTable_[[#This Row],[Profit]]/RawSalesTable_[[#This Row],[Revenue]],0)</f>
        <v>0.22882693728843576</v>
      </c>
    </row>
    <row r="1153" spans="1:15">
      <c r="A1153" s="7" t="s">
        <v>1294</v>
      </c>
      <c r="B1153" s="8">
        <v>45884</v>
      </c>
      <c r="C1153" s="7" t="s">
        <v>15</v>
      </c>
      <c r="D1153" s="7" t="s">
        <v>63</v>
      </c>
      <c r="E1153" s="7" t="s">
        <v>30</v>
      </c>
      <c r="F1153" s="7" t="s">
        <v>31</v>
      </c>
      <c r="G1153" s="7" t="s">
        <v>47</v>
      </c>
      <c r="H1153">
        <v>7</v>
      </c>
      <c r="I1153">
        <v>142800.6</v>
      </c>
      <c r="J1153">
        <v>0</v>
      </c>
      <c r="K1153">
        <v>999604.2</v>
      </c>
      <c r="L1153">
        <v>721421.88</v>
      </c>
      <c r="M1153">
        <v>278182.32</v>
      </c>
      <c r="N1153" s="7" t="s">
        <v>20</v>
      </c>
      <c r="O1153" s="9">
        <f>IFERROR(RawSalesTable_[[#This Row],[Profit]]/RawSalesTable_[[#This Row],[Revenue]],0)</f>
        <v>0.2782924681588973</v>
      </c>
    </row>
    <row r="1154" spans="1:15">
      <c r="A1154" s="7" t="s">
        <v>1295</v>
      </c>
      <c r="B1154" s="8">
        <v>45921</v>
      </c>
      <c r="C1154" s="7" t="s">
        <v>22</v>
      </c>
      <c r="D1154" s="7" t="s">
        <v>35</v>
      </c>
      <c r="E1154" s="7" t="s">
        <v>49</v>
      </c>
      <c r="F1154" s="7" t="s">
        <v>57</v>
      </c>
      <c r="G1154" s="7" t="s">
        <v>58</v>
      </c>
      <c r="H1154">
        <v>8</v>
      </c>
      <c r="I1154">
        <v>11741.28</v>
      </c>
      <c r="J1154">
        <v>0.05</v>
      </c>
      <c r="K1154">
        <v>89233.73</v>
      </c>
      <c r="L1154">
        <v>52286.55</v>
      </c>
      <c r="M1154">
        <v>36947.18</v>
      </c>
      <c r="N1154" s="7" t="s">
        <v>59</v>
      </c>
      <c r="O1154" s="9">
        <f>IFERROR(RawSalesTable_[[#This Row],[Profit]]/RawSalesTable_[[#This Row],[Revenue]],0)</f>
        <v>0.41404948554767351</v>
      </c>
    </row>
    <row r="1155" spans="1:15">
      <c r="A1155" s="7" t="s">
        <v>1296</v>
      </c>
      <c r="B1155" s="8">
        <v>45883</v>
      </c>
      <c r="C1155" s="7" t="s">
        <v>28</v>
      </c>
      <c r="D1155" s="7" t="s">
        <v>29</v>
      </c>
      <c r="E1155" s="7" t="s">
        <v>44</v>
      </c>
      <c r="F1155" s="7" t="s">
        <v>69</v>
      </c>
      <c r="G1155" s="7" t="s">
        <v>19</v>
      </c>
      <c r="H1155">
        <v>5</v>
      </c>
      <c r="I1155">
        <v>39081.279999999999</v>
      </c>
      <c r="J1155">
        <v>0.1</v>
      </c>
      <c r="K1155">
        <v>175865.76</v>
      </c>
      <c r="L1155">
        <v>128910.12</v>
      </c>
      <c r="M1155">
        <v>46955.64</v>
      </c>
      <c r="N1155" s="7" t="s">
        <v>26</v>
      </c>
      <c r="O1155" s="9">
        <f>IFERROR(RawSalesTable_[[#This Row],[Profit]]/RawSalesTable_[[#This Row],[Revenue]],0)</f>
        <v>0.26699705502651566</v>
      </c>
    </row>
    <row r="1156" spans="1:15">
      <c r="A1156" s="7" t="s">
        <v>1297</v>
      </c>
      <c r="B1156" s="8">
        <v>46002</v>
      </c>
      <c r="C1156" s="7" t="s">
        <v>28</v>
      </c>
      <c r="D1156" s="7" t="s">
        <v>52</v>
      </c>
      <c r="E1156" s="7" t="s">
        <v>30</v>
      </c>
      <c r="F1156" s="7" t="s">
        <v>40</v>
      </c>
      <c r="G1156" s="7" t="s">
        <v>58</v>
      </c>
      <c r="H1156">
        <v>8</v>
      </c>
      <c r="I1156">
        <v>23179.47</v>
      </c>
      <c r="J1156">
        <v>0</v>
      </c>
      <c r="K1156">
        <v>185435.76</v>
      </c>
      <c r="L1156">
        <v>129336.35</v>
      </c>
      <c r="M1156">
        <v>56099.41</v>
      </c>
      <c r="N1156" s="7" t="s">
        <v>33</v>
      </c>
      <c r="O1156" s="9">
        <f>IFERROR(RawSalesTable_[[#This Row],[Profit]]/RawSalesTable_[[#This Row],[Revenue]],0)</f>
        <v>0.30252746287986743</v>
      </c>
    </row>
    <row r="1157" spans="1:15">
      <c r="A1157" s="7" t="s">
        <v>1298</v>
      </c>
      <c r="B1157" s="8">
        <v>45814</v>
      </c>
      <c r="C1157" s="7" t="s">
        <v>28</v>
      </c>
      <c r="D1157" s="7" t="s">
        <v>56</v>
      </c>
      <c r="E1157" s="7" t="s">
        <v>44</v>
      </c>
      <c r="F1157" s="7" t="s">
        <v>45</v>
      </c>
      <c r="G1157" s="7" t="s">
        <v>32</v>
      </c>
      <c r="H1157">
        <v>2</v>
      </c>
      <c r="I1157">
        <v>29698.61</v>
      </c>
      <c r="J1157">
        <v>0</v>
      </c>
      <c r="K1157">
        <v>59397.22</v>
      </c>
      <c r="L1157">
        <v>37677.15</v>
      </c>
      <c r="M1157">
        <v>21720.07</v>
      </c>
      <c r="N1157" s="7" t="s">
        <v>20</v>
      </c>
      <c r="O1157" s="9">
        <f>IFERROR(RawSalesTable_[[#This Row],[Profit]]/RawSalesTable_[[#This Row],[Revenue]],0)</f>
        <v>0.36567485818359846</v>
      </c>
    </row>
    <row r="1158" spans="1:15">
      <c r="A1158" s="7" t="s">
        <v>1299</v>
      </c>
      <c r="B1158" s="8">
        <v>45745</v>
      </c>
      <c r="C1158" s="7" t="s">
        <v>22</v>
      </c>
      <c r="D1158" s="7" t="s">
        <v>37</v>
      </c>
      <c r="E1158" s="7" t="s">
        <v>30</v>
      </c>
      <c r="F1158" s="7" t="s">
        <v>86</v>
      </c>
      <c r="G1158" s="7" t="s">
        <v>61</v>
      </c>
      <c r="H1158">
        <v>3</v>
      </c>
      <c r="I1158">
        <v>32069.48</v>
      </c>
      <c r="J1158">
        <v>0</v>
      </c>
      <c r="K1158">
        <v>96208.44</v>
      </c>
      <c r="L1158">
        <v>69096.23</v>
      </c>
      <c r="M1158">
        <v>27112.21</v>
      </c>
      <c r="N1158" s="7" t="s">
        <v>26</v>
      </c>
      <c r="O1158" s="9">
        <f>IFERROR(RawSalesTable_[[#This Row],[Profit]]/RawSalesTable_[[#This Row],[Revenue]],0)</f>
        <v>0.28180698075969218</v>
      </c>
    </row>
    <row r="1159" spans="1:15">
      <c r="A1159" s="7" t="s">
        <v>1300</v>
      </c>
      <c r="B1159" s="8">
        <v>45813</v>
      </c>
      <c r="C1159" s="7" t="s">
        <v>28</v>
      </c>
      <c r="D1159" s="7" t="s">
        <v>29</v>
      </c>
      <c r="E1159" s="7" t="s">
        <v>49</v>
      </c>
      <c r="F1159" s="7" t="s">
        <v>107</v>
      </c>
      <c r="G1159" s="7" t="s">
        <v>32</v>
      </c>
      <c r="H1159">
        <v>5</v>
      </c>
      <c r="I1159">
        <v>4974.3</v>
      </c>
      <c r="J1159">
        <v>0.05</v>
      </c>
      <c r="K1159">
        <v>23627.919999999998</v>
      </c>
      <c r="L1159">
        <v>13541.02</v>
      </c>
      <c r="M1159">
        <v>10086.9</v>
      </c>
      <c r="N1159" s="7" t="s">
        <v>26</v>
      </c>
      <c r="O1159" s="9">
        <f>IFERROR(RawSalesTable_[[#This Row],[Profit]]/RawSalesTable_[[#This Row],[Revenue]],0)</f>
        <v>0.42690596548490095</v>
      </c>
    </row>
    <row r="1160" spans="1:15">
      <c r="A1160" s="7" t="s">
        <v>1301</v>
      </c>
      <c r="B1160" s="8">
        <v>45871</v>
      </c>
      <c r="C1160" s="7" t="s">
        <v>28</v>
      </c>
      <c r="D1160" s="7" t="s">
        <v>56</v>
      </c>
      <c r="E1160" s="7" t="s">
        <v>30</v>
      </c>
      <c r="F1160" s="7" t="s">
        <v>38</v>
      </c>
      <c r="G1160" s="7" t="s">
        <v>64</v>
      </c>
      <c r="H1160">
        <v>8</v>
      </c>
      <c r="I1160">
        <v>26170.63</v>
      </c>
      <c r="J1160">
        <v>0.1</v>
      </c>
      <c r="K1160">
        <v>188428.54</v>
      </c>
      <c r="L1160">
        <v>143646.91</v>
      </c>
      <c r="M1160">
        <v>44781.63</v>
      </c>
      <c r="N1160" s="7" t="s">
        <v>20</v>
      </c>
      <c r="O1160" s="9">
        <f>IFERROR(RawSalesTable_[[#This Row],[Profit]]/RawSalesTable_[[#This Row],[Revenue]],0)</f>
        <v>0.23765842478002533</v>
      </c>
    </row>
    <row r="1161" spans="1:15">
      <c r="A1161" s="7" t="s">
        <v>1302</v>
      </c>
      <c r="B1161" s="8">
        <v>45761</v>
      </c>
      <c r="C1161" s="7" t="s">
        <v>22</v>
      </c>
      <c r="D1161" s="7" t="s">
        <v>35</v>
      </c>
      <c r="E1161" s="7" t="s">
        <v>30</v>
      </c>
      <c r="F1161" s="7" t="s">
        <v>86</v>
      </c>
      <c r="G1161" s="7" t="s">
        <v>47</v>
      </c>
      <c r="H1161">
        <v>8</v>
      </c>
      <c r="I1161">
        <v>34410.019999999997</v>
      </c>
      <c r="J1161">
        <v>0</v>
      </c>
      <c r="K1161">
        <v>275280.15999999997</v>
      </c>
      <c r="L1161">
        <v>184913.52</v>
      </c>
      <c r="M1161">
        <v>90366.64</v>
      </c>
      <c r="N1161" s="7" t="s">
        <v>59</v>
      </c>
      <c r="O1161" s="9">
        <f>IFERROR(RawSalesTable_[[#This Row],[Profit]]/RawSalesTable_[[#This Row],[Revenue]],0)</f>
        <v>0.32827153253616248</v>
      </c>
    </row>
    <row r="1162" spans="1:15">
      <c r="A1162" s="7" t="s">
        <v>1303</v>
      </c>
      <c r="B1162" s="8">
        <v>45760</v>
      </c>
      <c r="C1162" s="7" t="s">
        <v>28</v>
      </c>
      <c r="D1162" s="7" t="s">
        <v>56</v>
      </c>
      <c r="E1162" s="7" t="s">
        <v>17</v>
      </c>
      <c r="F1162" s="7" t="s">
        <v>18</v>
      </c>
      <c r="G1162" s="7" t="s">
        <v>47</v>
      </c>
      <c r="H1162">
        <v>7</v>
      </c>
      <c r="I1162">
        <v>15174.93</v>
      </c>
      <c r="J1162">
        <v>0.05</v>
      </c>
      <c r="K1162">
        <v>100913.28</v>
      </c>
      <c r="L1162">
        <v>57920.32</v>
      </c>
      <c r="M1162">
        <v>42992.959999999999</v>
      </c>
      <c r="N1162" s="7" t="s">
        <v>20</v>
      </c>
      <c r="O1162" s="9">
        <f>IFERROR(RawSalesTable_[[#This Row],[Profit]]/RawSalesTable_[[#This Row],[Revenue]],0)</f>
        <v>0.42603867399811007</v>
      </c>
    </row>
    <row r="1163" spans="1:15">
      <c r="A1163" s="7" t="s">
        <v>1304</v>
      </c>
      <c r="B1163" s="8">
        <v>45961</v>
      </c>
      <c r="C1163" s="7" t="s">
        <v>28</v>
      </c>
      <c r="D1163" s="7" t="s">
        <v>52</v>
      </c>
      <c r="E1163" s="7" t="s">
        <v>17</v>
      </c>
      <c r="F1163" s="7" t="s">
        <v>24</v>
      </c>
      <c r="G1163" s="7" t="s">
        <v>70</v>
      </c>
      <c r="H1163">
        <v>3</v>
      </c>
      <c r="I1163">
        <v>89431.11</v>
      </c>
      <c r="J1163">
        <v>0.05</v>
      </c>
      <c r="K1163">
        <v>254878.66</v>
      </c>
      <c r="L1163">
        <v>211324.54</v>
      </c>
      <c r="M1163">
        <v>43554.12</v>
      </c>
      <c r="N1163" s="7" t="s">
        <v>33</v>
      </c>
      <c r="O1163" s="9">
        <f>IFERROR(RawSalesTable_[[#This Row],[Profit]]/RawSalesTable_[[#This Row],[Revenue]],0)</f>
        <v>0.17088178351220146</v>
      </c>
    </row>
    <row r="1164" spans="1:15">
      <c r="A1164" s="7" t="s">
        <v>1305</v>
      </c>
      <c r="B1164" s="8">
        <v>45709</v>
      </c>
      <c r="C1164" s="7" t="s">
        <v>15</v>
      </c>
      <c r="D1164" s="7" t="s">
        <v>63</v>
      </c>
      <c r="E1164" s="7" t="s">
        <v>49</v>
      </c>
      <c r="F1164" s="7" t="s">
        <v>1590</v>
      </c>
      <c r="G1164" s="7" t="s">
        <v>64</v>
      </c>
      <c r="H1164">
        <v>5</v>
      </c>
      <c r="I1164">
        <v>4527.22</v>
      </c>
      <c r="J1164">
        <v>0.1</v>
      </c>
      <c r="K1164">
        <v>20372.490000000002</v>
      </c>
      <c r="L1164">
        <v>10460.64</v>
      </c>
      <c r="M1164">
        <v>9911.85</v>
      </c>
      <c r="N1164" s="7" t="s">
        <v>59</v>
      </c>
      <c r="O1164" s="9">
        <f>IFERROR(RawSalesTable_[[#This Row],[Profit]]/RawSalesTable_[[#This Row],[Revenue]],0)</f>
        <v>0.48653110150011114</v>
      </c>
    </row>
    <row r="1165" spans="1:15">
      <c r="A1165" s="7" t="s">
        <v>1306</v>
      </c>
      <c r="B1165" s="8">
        <v>45695</v>
      </c>
      <c r="C1165" s="7" t="s">
        <v>28</v>
      </c>
      <c r="D1165" s="7" t="s">
        <v>29</v>
      </c>
      <c r="E1165" s="7" t="s">
        <v>30</v>
      </c>
      <c r="F1165" s="7" t="s">
        <v>40</v>
      </c>
      <c r="G1165" s="7" t="s">
        <v>32</v>
      </c>
      <c r="H1165">
        <v>5</v>
      </c>
      <c r="I1165">
        <v>22975.24</v>
      </c>
      <c r="J1165">
        <v>0</v>
      </c>
      <c r="K1165">
        <v>114876.2</v>
      </c>
      <c r="L1165">
        <v>81501.100000000006</v>
      </c>
      <c r="M1165">
        <v>33375.1</v>
      </c>
      <c r="N1165" s="7" t="s">
        <v>20</v>
      </c>
      <c r="O1165" s="9">
        <f>IFERROR(RawSalesTable_[[#This Row],[Profit]]/RawSalesTable_[[#This Row],[Revenue]],0)</f>
        <v>0.29053102383261287</v>
      </c>
    </row>
    <row r="1166" spans="1:15">
      <c r="A1166" s="7" t="s">
        <v>1307</v>
      </c>
      <c r="B1166" s="8">
        <v>45996</v>
      </c>
      <c r="C1166" s="7" t="s">
        <v>22</v>
      </c>
      <c r="D1166" s="7" t="s">
        <v>23</v>
      </c>
      <c r="E1166" s="7" t="s">
        <v>30</v>
      </c>
      <c r="F1166" s="7" t="s">
        <v>86</v>
      </c>
      <c r="G1166" s="7" t="s">
        <v>58</v>
      </c>
      <c r="H1166">
        <v>2</v>
      </c>
      <c r="I1166">
        <v>32674.02</v>
      </c>
      <c r="J1166">
        <v>0.05</v>
      </c>
      <c r="K1166">
        <v>62080.639999999999</v>
      </c>
      <c r="L1166">
        <v>45454.11</v>
      </c>
      <c r="M1166">
        <v>16626.53</v>
      </c>
      <c r="N1166" s="7" t="s">
        <v>59</v>
      </c>
      <c r="O1166" s="9">
        <f>IFERROR(RawSalesTable_[[#This Row],[Profit]]/RawSalesTable_[[#This Row],[Revenue]],0)</f>
        <v>0.26782149797424765</v>
      </c>
    </row>
    <row r="1167" spans="1:15">
      <c r="A1167" s="7" t="s">
        <v>1308</v>
      </c>
      <c r="B1167" s="8">
        <v>45886</v>
      </c>
      <c r="C1167" s="7" t="s">
        <v>15</v>
      </c>
      <c r="D1167" s="7" t="s">
        <v>16</v>
      </c>
      <c r="E1167" s="7" t="s">
        <v>44</v>
      </c>
      <c r="F1167" s="7" t="s">
        <v>80</v>
      </c>
      <c r="G1167" s="7" t="s">
        <v>47</v>
      </c>
      <c r="H1167">
        <v>6</v>
      </c>
      <c r="I1167">
        <v>46145.54</v>
      </c>
      <c r="J1167">
        <v>0.05</v>
      </c>
      <c r="K1167">
        <v>263029.58</v>
      </c>
      <c r="L1167">
        <v>192204.45</v>
      </c>
      <c r="M1167">
        <v>70825.13</v>
      </c>
      <c r="N1167" s="7" t="s">
        <v>26</v>
      </c>
      <c r="O1167" s="9">
        <f>IFERROR(RawSalesTable_[[#This Row],[Profit]]/RawSalesTable_[[#This Row],[Revenue]],0)</f>
        <v>0.26926678740847321</v>
      </c>
    </row>
    <row r="1168" spans="1:15">
      <c r="A1168" s="7" t="s">
        <v>1309</v>
      </c>
      <c r="B1168" s="8">
        <v>45790</v>
      </c>
      <c r="C1168" s="7" t="s">
        <v>28</v>
      </c>
      <c r="D1168" s="7" t="s">
        <v>56</v>
      </c>
      <c r="E1168" s="7" t="s">
        <v>44</v>
      </c>
      <c r="F1168" s="7" t="s">
        <v>53</v>
      </c>
      <c r="G1168" s="7" t="s">
        <v>58</v>
      </c>
      <c r="H1168">
        <v>6</v>
      </c>
      <c r="I1168">
        <v>8272.9</v>
      </c>
      <c r="J1168">
        <v>0.15</v>
      </c>
      <c r="K1168">
        <v>42191.79</v>
      </c>
      <c r="L1168">
        <v>30517.22</v>
      </c>
      <c r="M1168">
        <v>11674.57</v>
      </c>
      <c r="N1168" s="7" t="s">
        <v>33</v>
      </c>
      <c r="O1168" s="9">
        <f>IFERROR(RawSalesTable_[[#This Row],[Profit]]/RawSalesTable_[[#This Row],[Revenue]],0)</f>
        <v>0.27670241058746264</v>
      </c>
    </row>
    <row r="1169" spans="1:15">
      <c r="A1169" s="7" t="s">
        <v>1310</v>
      </c>
      <c r="B1169" s="8">
        <v>45688</v>
      </c>
      <c r="C1169" s="7" t="s">
        <v>22</v>
      </c>
      <c r="D1169" s="7" t="s">
        <v>23</v>
      </c>
      <c r="E1169" s="7" t="s">
        <v>49</v>
      </c>
      <c r="F1169" s="7" t="s">
        <v>107</v>
      </c>
      <c r="G1169" s="7" t="s">
        <v>32</v>
      </c>
      <c r="H1169">
        <v>7</v>
      </c>
      <c r="I1169">
        <v>5454.65</v>
      </c>
      <c r="J1169">
        <v>0</v>
      </c>
      <c r="K1169">
        <v>38182.550000000003</v>
      </c>
      <c r="L1169">
        <v>19433.310000000001</v>
      </c>
      <c r="M1169">
        <v>18749.240000000002</v>
      </c>
      <c r="N1169" s="7" t="s">
        <v>33</v>
      </c>
      <c r="O1169" s="9">
        <f>IFERROR(RawSalesTable_[[#This Row],[Profit]]/RawSalesTable_[[#This Row],[Revenue]],0)</f>
        <v>0.49104211216904059</v>
      </c>
    </row>
    <row r="1170" spans="1:15">
      <c r="A1170" s="7" t="s">
        <v>1311</v>
      </c>
      <c r="B1170" s="8">
        <v>45696</v>
      </c>
      <c r="C1170" s="7" t="s">
        <v>15</v>
      </c>
      <c r="D1170" s="7" t="s">
        <v>63</v>
      </c>
      <c r="E1170" s="7" t="s">
        <v>17</v>
      </c>
      <c r="F1170" s="7" t="s">
        <v>18</v>
      </c>
      <c r="G1170" s="7" t="s">
        <v>19</v>
      </c>
      <c r="H1170">
        <v>8</v>
      </c>
      <c r="I1170">
        <v>13995.74</v>
      </c>
      <c r="J1170">
        <v>0.05</v>
      </c>
      <c r="K1170">
        <v>106367.62</v>
      </c>
      <c r="L1170">
        <v>66545.039999999994</v>
      </c>
      <c r="M1170">
        <v>39822.58</v>
      </c>
      <c r="N1170" s="7" t="s">
        <v>33</v>
      </c>
      <c r="O1170" s="9">
        <f>IFERROR(RawSalesTable_[[#This Row],[Profit]]/RawSalesTable_[[#This Row],[Revenue]],0)</f>
        <v>0.37438630289932223</v>
      </c>
    </row>
    <row r="1171" spans="1:15">
      <c r="A1171" s="7" t="s">
        <v>1312</v>
      </c>
      <c r="B1171" s="8">
        <v>45799</v>
      </c>
      <c r="C1171" s="7" t="s">
        <v>15</v>
      </c>
      <c r="D1171" s="7" t="s">
        <v>16</v>
      </c>
      <c r="E1171" s="7" t="s">
        <v>17</v>
      </c>
      <c r="F1171" s="7" t="s">
        <v>114</v>
      </c>
      <c r="G1171" s="7" t="s">
        <v>70</v>
      </c>
      <c r="H1171">
        <v>4</v>
      </c>
      <c r="I1171">
        <v>54095.87</v>
      </c>
      <c r="J1171">
        <v>0.15</v>
      </c>
      <c r="K1171">
        <v>183925.96</v>
      </c>
      <c r="L1171">
        <v>146024.28</v>
      </c>
      <c r="M1171">
        <v>37901.68</v>
      </c>
      <c r="N1171" s="7" t="s">
        <v>20</v>
      </c>
      <c r="O1171" s="9">
        <f>IFERROR(RawSalesTable_[[#This Row],[Profit]]/RawSalesTable_[[#This Row],[Revenue]],0)</f>
        <v>0.20607031220606381</v>
      </c>
    </row>
    <row r="1172" spans="1:15">
      <c r="A1172" s="7" t="s">
        <v>1313</v>
      </c>
      <c r="B1172" s="8">
        <v>46012</v>
      </c>
      <c r="C1172" s="7" t="s">
        <v>15</v>
      </c>
      <c r="D1172" s="7" t="s">
        <v>16</v>
      </c>
      <c r="E1172" s="7" t="s">
        <v>30</v>
      </c>
      <c r="F1172" s="7" t="s">
        <v>31</v>
      </c>
      <c r="G1172" s="7" t="s">
        <v>25</v>
      </c>
      <c r="H1172">
        <v>3</v>
      </c>
      <c r="I1172">
        <v>138193.34</v>
      </c>
      <c r="J1172">
        <v>0.05</v>
      </c>
      <c r="K1172">
        <v>393851.02</v>
      </c>
      <c r="L1172">
        <v>303540.34000000003</v>
      </c>
      <c r="M1172">
        <v>90310.68</v>
      </c>
      <c r="N1172" s="7" t="s">
        <v>33</v>
      </c>
      <c r="O1172" s="9">
        <f>IFERROR(RawSalesTable_[[#This Row],[Profit]]/RawSalesTable_[[#This Row],[Revenue]],0)</f>
        <v>0.22930162780840327</v>
      </c>
    </row>
    <row r="1173" spans="1:15">
      <c r="A1173" s="7" t="s">
        <v>1314</v>
      </c>
      <c r="B1173" s="8">
        <v>45735</v>
      </c>
      <c r="C1173" s="7" t="s">
        <v>28</v>
      </c>
      <c r="D1173" s="7" t="s">
        <v>29</v>
      </c>
      <c r="E1173" s="7" t="s">
        <v>30</v>
      </c>
      <c r="F1173" s="7" t="s">
        <v>31</v>
      </c>
      <c r="G1173" s="7" t="s">
        <v>58</v>
      </c>
      <c r="H1173">
        <v>7</v>
      </c>
      <c r="I1173">
        <v>124607.63</v>
      </c>
      <c r="J1173">
        <v>0</v>
      </c>
      <c r="K1173">
        <v>872253.41</v>
      </c>
      <c r="L1173">
        <v>701744.8</v>
      </c>
      <c r="M1173">
        <v>170508.61</v>
      </c>
      <c r="N1173" s="7" t="s">
        <v>26</v>
      </c>
      <c r="O1173" s="9">
        <f>IFERROR(RawSalesTable_[[#This Row],[Profit]]/RawSalesTable_[[#This Row],[Revenue]],0)</f>
        <v>0.19548058860555212</v>
      </c>
    </row>
    <row r="1174" spans="1:15">
      <c r="A1174" s="7" t="s">
        <v>1315</v>
      </c>
      <c r="B1174" s="8">
        <v>45953</v>
      </c>
      <c r="C1174" s="7" t="s">
        <v>15</v>
      </c>
      <c r="D1174" s="7" t="s">
        <v>43</v>
      </c>
      <c r="E1174" s="7" t="s">
        <v>30</v>
      </c>
      <c r="F1174" s="7" t="s">
        <v>40</v>
      </c>
      <c r="G1174" s="7" t="s">
        <v>61</v>
      </c>
      <c r="H1174">
        <v>4</v>
      </c>
      <c r="I1174">
        <v>25558.12</v>
      </c>
      <c r="J1174">
        <v>0.1</v>
      </c>
      <c r="K1174">
        <v>92009.23</v>
      </c>
      <c r="L1174">
        <v>65397.78</v>
      </c>
      <c r="M1174">
        <v>26611.45</v>
      </c>
      <c r="N1174" s="7" t="s">
        <v>26</v>
      </c>
      <c r="O1174" s="9">
        <f>IFERROR(RawSalesTable_[[#This Row],[Profit]]/RawSalesTable_[[#This Row],[Revenue]],0)</f>
        <v>0.28922587440412229</v>
      </c>
    </row>
    <row r="1175" spans="1:15">
      <c r="A1175" s="7" t="s">
        <v>1316</v>
      </c>
      <c r="B1175" s="8">
        <v>45678</v>
      </c>
      <c r="C1175" s="7" t="s">
        <v>22</v>
      </c>
      <c r="D1175" s="7" t="s">
        <v>23</v>
      </c>
      <c r="E1175" s="7" t="s">
        <v>30</v>
      </c>
      <c r="F1175" s="7" t="s">
        <v>86</v>
      </c>
      <c r="G1175" s="7" t="s">
        <v>61</v>
      </c>
      <c r="H1175">
        <v>2</v>
      </c>
      <c r="I1175">
        <v>30498.47</v>
      </c>
      <c r="J1175">
        <v>0.1</v>
      </c>
      <c r="K1175">
        <v>54897.25</v>
      </c>
      <c r="L1175">
        <v>46625.16</v>
      </c>
      <c r="M1175">
        <v>8272.09</v>
      </c>
      <c r="N1175" s="7" t="s">
        <v>59</v>
      </c>
      <c r="O1175" s="9">
        <f>IFERROR(RawSalesTable_[[#This Row],[Profit]]/RawSalesTable_[[#This Row],[Revenue]],0)</f>
        <v>0.15068313986584028</v>
      </c>
    </row>
    <row r="1176" spans="1:15">
      <c r="A1176" s="7" t="s">
        <v>1317</v>
      </c>
      <c r="B1176" s="8">
        <v>45796</v>
      </c>
      <c r="C1176" s="7" t="s">
        <v>22</v>
      </c>
      <c r="D1176" s="7" t="s">
        <v>35</v>
      </c>
      <c r="E1176" s="7" t="s">
        <v>30</v>
      </c>
      <c r="F1176" s="7" t="s">
        <v>86</v>
      </c>
      <c r="G1176" s="7" t="s">
        <v>47</v>
      </c>
      <c r="H1176">
        <v>4</v>
      </c>
      <c r="I1176">
        <v>31424.98</v>
      </c>
      <c r="J1176">
        <v>0</v>
      </c>
      <c r="K1176">
        <v>125699.92</v>
      </c>
      <c r="L1176">
        <v>89972.99</v>
      </c>
      <c r="M1176">
        <v>35726.93</v>
      </c>
      <c r="N1176" s="7" t="s">
        <v>26</v>
      </c>
      <c r="O1176" s="9">
        <f>IFERROR(RawSalesTable_[[#This Row],[Profit]]/RawSalesTable_[[#This Row],[Revenue]],0)</f>
        <v>0.28422396768430719</v>
      </c>
    </row>
    <row r="1177" spans="1:15">
      <c r="A1177" s="7" t="s">
        <v>1318</v>
      </c>
      <c r="B1177" s="8">
        <v>45764</v>
      </c>
      <c r="C1177" s="7" t="s">
        <v>28</v>
      </c>
      <c r="D1177" s="7" t="s">
        <v>52</v>
      </c>
      <c r="E1177" s="7" t="s">
        <v>44</v>
      </c>
      <c r="F1177" s="7" t="s">
        <v>53</v>
      </c>
      <c r="G1177" s="7" t="s">
        <v>25</v>
      </c>
      <c r="H1177">
        <v>2</v>
      </c>
      <c r="I1177">
        <v>8954.4500000000007</v>
      </c>
      <c r="J1177">
        <v>0.05</v>
      </c>
      <c r="K1177">
        <v>17013.46</v>
      </c>
      <c r="L1177">
        <v>9523.44</v>
      </c>
      <c r="M1177">
        <v>7490.02</v>
      </c>
      <c r="N1177" s="7" t="s">
        <v>33</v>
      </c>
      <c r="O1177" s="9">
        <f>IFERROR(RawSalesTable_[[#This Row],[Profit]]/RawSalesTable_[[#This Row],[Revenue]],0)</f>
        <v>0.44024084460186236</v>
      </c>
    </row>
    <row r="1178" spans="1:15">
      <c r="A1178" s="7" t="s">
        <v>1319</v>
      </c>
      <c r="B1178" s="8">
        <v>45705</v>
      </c>
      <c r="C1178" s="7" t="s">
        <v>28</v>
      </c>
      <c r="D1178" s="7" t="s">
        <v>56</v>
      </c>
      <c r="E1178" s="7" t="s">
        <v>49</v>
      </c>
      <c r="F1178" s="7" t="s">
        <v>1590</v>
      </c>
      <c r="G1178" s="7" t="s">
        <v>61</v>
      </c>
      <c r="H1178">
        <v>4</v>
      </c>
      <c r="I1178">
        <v>4382.1000000000004</v>
      </c>
      <c r="J1178">
        <v>0.1</v>
      </c>
      <c r="K1178">
        <v>15775.56</v>
      </c>
      <c r="L1178">
        <v>8626.93</v>
      </c>
      <c r="M1178">
        <v>7148.63</v>
      </c>
      <c r="N1178" s="7" t="s">
        <v>33</v>
      </c>
      <c r="O1178" s="9">
        <f>IFERROR(RawSalesTable_[[#This Row],[Profit]]/RawSalesTable_[[#This Row],[Revenue]],0)</f>
        <v>0.45314587881507856</v>
      </c>
    </row>
    <row r="1179" spans="1:15">
      <c r="A1179" s="7" t="s">
        <v>1320</v>
      </c>
      <c r="B1179" s="8">
        <v>45765</v>
      </c>
      <c r="C1179" s="7" t="s">
        <v>22</v>
      </c>
      <c r="D1179" s="7" t="s">
        <v>23</v>
      </c>
      <c r="E1179" s="7" t="s">
        <v>17</v>
      </c>
      <c r="F1179" s="7" t="s">
        <v>114</v>
      </c>
      <c r="G1179" s="7" t="s">
        <v>19</v>
      </c>
      <c r="H1179">
        <v>6</v>
      </c>
      <c r="I1179">
        <v>54077.36</v>
      </c>
      <c r="J1179">
        <v>0.05</v>
      </c>
      <c r="K1179">
        <v>308240.95</v>
      </c>
      <c r="L1179">
        <v>218793.91</v>
      </c>
      <c r="M1179">
        <v>89447.039999999994</v>
      </c>
      <c r="N1179" s="7" t="s">
        <v>59</v>
      </c>
      <c r="O1179" s="9">
        <f>IFERROR(RawSalesTable_[[#This Row],[Profit]]/RawSalesTable_[[#This Row],[Revenue]],0)</f>
        <v>0.29018545394438988</v>
      </c>
    </row>
    <row r="1180" spans="1:15">
      <c r="A1180" s="7" t="s">
        <v>1321</v>
      </c>
      <c r="B1180" s="8">
        <v>45709</v>
      </c>
      <c r="C1180" s="7" t="s">
        <v>28</v>
      </c>
      <c r="D1180" s="7" t="s">
        <v>56</v>
      </c>
      <c r="E1180" s="7" t="s">
        <v>17</v>
      </c>
      <c r="F1180" s="7" t="s">
        <v>114</v>
      </c>
      <c r="G1180" s="7" t="s">
        <v>32</v>
      </c>
      <c r="H1180">
        <v>1</v>
      </c>
      <c r="I1180">
        <v>47900.37</v>
      </c>
      <c r="J1180">
        <v>0.05</v>
      </c>
      <c r="K1180">
        <v>45505.35</v>
      </c>
      <c r="L1180">
        <v>36427.79</v>
      </c>
      <c r="M1180">
        <v>9077.56</v>
      </c>
      <c r="N1180" s="7" t="s">
        <v>59</v>
      </c>
      <c r="O1180" s="9">
        <f>IFERROR(RawSalesTable_[[#This Row],[Profit]]/RawSalesTable_[[#This Row],[Revenue]],0)</f>
        <v>0.1994833574513766</v>
      </c>
    </row>
    <row r="1181" spans="1:15">
      <c r="A1181" s="7" t="s">
        <v>1322</v>
      </c>
      <c r="B1181" s="8">
        <v>45857</v>
      </c>
      <c r="C1181" s="7" t="s">
        <v>28</v>
      </c>
      <c r="D1181" s="7" t="s">
        <v>52</v>
      </c>
      <c r="E1181" s="7" t="s">
        <v>49</v>
      </c>
      <c r="F1181" s="7" t="s">
        <v>57</v>
      </c>
      <c r="G1181" s="7" t="s">
        <v>70</v>
      </c>
      <c r="H1181">
        <v>4</v>
      </c>
      <c r="I1181">
        <v>12419.46</v>
      </c>
      <c r="J1181">
        <v>0</v>
      </c>
      <c r="K1181">
        <v>49677.84</v>
      </c>
      <c r="L1181">
        <v>26403.79</v>
      </c>
      <c r="M1181">
        <v>23274.05</v>
      </c>
      <c r="N1181" s="7" t="s">
        <v>33</v>
      </c>
      <c r="O1181" s="9">
        <f>IFERROR(RawSalesTable_[[#This Row],[Profit]]/RawSalesTable_[[#This Row],[Revenue]],0)</f>
        <v>0.46849963686021778</v>
      </c>
    </row>
    <row r="1182" spans="1:15">
      <c r="A1182" s="7" t="s">
        <v>1323</v>
      </c>
      <c r="B1182" s="8">
        <v>45723</v>
      </c>
      <c r="C1182" s="7" t="s">
        <v>28</v>
      </c>
      <c r="D1182" s="7" t="s">
        <v>29</v>
      </c>
      <c r="E1182" s="7" t="s">
        <v>30</v>
      </c>
      <c r="F1182" s="7" t="s">
        <v>31</v>
      </c>
      <c r="G1182" s="7" t="s">
        <v>61</v>
      </c>
      <c r="H1182">
        <v>3</v>
      </c>
      <c r="I1182">
        <v>142504.16</v>
      </c>
      <c r="J1182">
        <v>0</v>
      </c>
      <c r="K1182">
        <v>427512.48</v>
      </c>
      <c r="L1182">
        <v>305884.73</v>
      </c>
      <c r="M1182">
        <v>121627.75</v>
      </c>
      <c r="N1182" s="7" t="s">
        <v>26</v>
      </c>
      <c r="O1182" s="9">
        <f>IFERROR(RawSalesTable_[[#This Row],[Profit]]/RawSalesTable_[[#This Row],[Revenue]],0)</f>
        <v>0.2845010512909471</v>
      </c>
    </row>
    <row r="1183" spans="1:15">
      <c r="A1183" s="7" t="s">
        <v>1324</v>
      </c>
      <c r="B1183" s="8">
        <v>45974</v>
      </c>
      <c r="C1183" s="7" t="s">
        <v>15</v>
      </c>
      <c r="D1183" s="7" t="s">
        <v>63</v>
      </c>
      <c r="E1183" s="7" t="s">
        <v>17</v>
      </c>
      <c r="F1183" s="7" t="s">
        <v>75</v>
      </c>
      <c r="G1183" s="7" t="s">
        <v>25</v>
      </c>
      <c r="H1183">
        <v>4</v>
      </c>
      <c r="I1183">
        <v>195843.81</v>
      </c>
      <c r="J1183">
        <v>0.15</v>
      </c>
      <c r="K1183">
        <v>665868.94999999995</v>
      </c>
      <c r="L1183">
        <v>562613.04</v>
      </c>
      <c r="M1183">
        <v>103255.91</v>
      </c>
      <c r="N1183" s="7" t="s">
        <v>26</v>
      </c>
      <c r="O1183" s="9">
        <f>IFERROR(RawSalesTable_[[#This Row],[Profit]]/RawSalesTable_[[#This Row],[Revenue]],0)</f>
        <v>0.15506941718787159</v>
      </c>
    </row>
    <row r="1184" spans="1:15">
      <c r="A1184" s="7" t="s">
        <v>1325</v>
      </c>
      <c r="B1184" s="8">
        <v>45673</v>
      </c>
      <c r="C1184" s="7" t="s">
        <v>28</v>
      </c>
      <c r="D1184" s="7" t="s">
        <v>52</v>
      </c>
      <c r="E1184" s="7" t="s">
        <v>44</v>
      </c>
      <c r="F1184" s="7" t="s">
        <v>45</v>
      </c>
      <c r="G1184" s="7" t="s">
        <v>70</v>
      </c>
      <c r="H1184">
        <v>3</v>
      </c>
      <c r="I1184">
        <v>27884.71</v>
      </c>
      <c r="J1184">
        <v>0</v>
      </c>
      <c r="K1184">
        <v>83654.13</v>
      </c>
      <c r="L1184">
        <v>58428.36</v>
      </c>
      <c r="M1184">
        <v>25225.77</v>
      </c>
      <c r="N1184" s="7" t="s">
        <v>26</v>
      </c>
      <c r="O1184" s="9">
        <f>IFERROR(RawSalesTable_[[#This Row],[Profit]]/RawSalesTable_[[#This Row],[Revenue]],0)</f>
        <v>0.30154841129780441</v>
      </c>
    </row>
    <row r="1185" spans="1:15">
      <c r="A1185" s="7" t="s">
        <v>1326</v>
      </c>
      <c r="B1185" s="8">
        <v>45898</v>
      </c>
      <c r="C1185" s="7" t="s">
        <v>28</v>
      </c>
      <c r="D1185" s="7" t="s">
        <v>56</v>
      </c>
      <c r="E1185" s="7" t="s">
        <v>30</v>
      </c>
      <c r="F1185" s="7" t="s">
        <v>38</v>
      </c>
      <c r="G1185" s="7" t="s">
        <v>64</v>
      </c>
      <c r="H1185">
        <v>6</v>
      </c>
      <c r="I1185">
        <v>24963.03</v>
      </c>
      <c r="J1185">
        <v>0</v>
      </c>
      <c r="K1185">
        <v>149778.18</v>
      </c>
      <c r="L1185">
        <v>107266.76</v>
      </c>
      <c r="M1185">
        <v>42511.42</v>
      </c>
      <c r="N1185" s="7" t="s">
        <v>26</v>
      </c>
      <c r="O1185" s="9">
        <f>IFERROR(RawSalesTable_[[#This Row],[Profit]]/RawSalesTable_[[#This Row],[Revenue]],0)</f>
        <v>0.28382919327768569</v>
      </c>
    </row>
    <row r="1186" spans="1:15">
      <c r="A1186" s="7" t="s">
        <v>1327</v>
      </c>
      <c r="B1186" s="8">
        <v>45705</v>
      </c>
      <c r="C1186" s="7" t="s">
        <v>28</v>
      </c>
      <c r="D1186" s="7" t="s">
        <v>52</v>
      </c>
      <c r="E1186" s="7" t="s">
        <v>49</v>
      </c>
      <c r="F1186" s="7" t="s">
        <v>1590</v>
      </c>
      <c r="G1186" s="7" t="s">
        <v>25</v>
      </c>
      <c r="H1186">
        <v>3</v>
      </c>
      <c r="I1186">
        <v>3931.28</v>
      </c>
      <c r="J1186">
        <v>0.05</v>
      </c>
      <c r="K1186">
        <v>11204.15</v>
      </c>
      <c r="L1186">
        <v>6506.66</v>
      </c>
      <c r="M1186">
        <v>4697.49</v>
      </c>
      <c r="N1186" s="7" t="s">
        <v>33</v>
      </c>
      <c r="O1186" s="9">
        <f>IFERROR(RawSalesTable_[[#This Row],[Profit]]/RawSalesTable_[[#This Row],[Revenue]],0)</f>
        <v>0.41926339793737144</v>
      </c>
    </row>
    <row r="1187" spans="1:15">
      <c r="A1187" s="7" t="s">
        <v>1328</v>
      </c>
      <c r="B1187" s="8">
        <v>45658</v>
      </c>
      <c r="C1187" s="7" t="s">
        <v>22</v>
      </c>
      <c r="D1187" s="7" t="s">
        <v>35</v>
      </c>
      <c r="E1187" s="7" t="s">
        <v>49</v>
      </c>
      <c r="F1187" s="7" t="s">
        <v>107</v>
      </c>
      <c r="G1187" s="7" t="s">
        <v>58</v>
      </c>
      <c r="H1187">
        <v>8</v>
      </c>
      <c r="I1187">
        <v>4895.83</v>
      </c>
      <c r="J1187">
        <v>0.1</v>
      </c>
      <c r="K1187">
        <v>35249.980000000003</v>
      </c>
      <c r="L1187">
        <v>22175.85</v>
      </c>
      <c r="M1187">
        <v>13074.13</v>
      </c>
      <c r="N1187" s="7" t="s">
        <v>20</v>
      </c>
      <c r="O1187" s="9">
        <f>IFERROR(RawSalesTable_[[#This Row],[Profit]]/RawSalesTable_[[#This Row],[Revenue]],0)</f>
        <v>0.37089751540284555</v>
      </c>
    </row>
    <row r="1188" spans="1:15">
      <c r="A1188" s="7" t="s">
        <v>1329</v>
      </c>
      <c r="B1188" s="8">
        <v>45902</v>
      </c>
      <c r="C1188" s="7" t="s">
        <v>28</v>
      </c>
      <c r="D1188" s="7" t="s">
        <v>56</v>
      </c>
      <c r="E1188" s="7" t="s">
        <v>44</v>
      </c>
      <c r="F1188" s="7" t="s">
        <v>69</v>
      </c>
      <c r="G1188" s="7" t="s">
        <v>70</v>
      </c>
      <c r="H1188">
        <v>6</v>
      </c>
      <c r="I1188">
        <v>40777.980000000003</v>
      </c>
      <c r="J1188">
        <v>0.15</v>
      </c>
      <c r="K1188">
        <v>207967.7</v>
      </c>
      <c r="L1188">
        <v>159142.16</v>
      </c>
      <c r="M1188">
        <v>48825.54</v>
      </c>
      <c r="N1188" s="7" t="s">
        <v>26</v>
      </c>
      <c r="O1188" s="9">
        <f>IFERROR(RawSalesTable_[[#This Row],[Profit]]/RawSalesTable_[[#This Row],[Revenue]],0)</f>
        <v>0.23477463086815883</v>
      </c>
    </row>
    <row r="1189" spans="1:15">
      <c r="A1189" s="7" t="s">
        <v>1330</v>
      </c>
      <c r="B1189" s="8">
        <v>45864</v>
      </c>
      <c r="C1189" s="7" t="s">
        <v>22</v>
      </c>
      <c r="D1189" s="7" t="s">
        <v>23</v>
      </c>
      <c r="E1189" s="7" t="s">
        <v>44</v>
      </c>
      <c r="F1189" s="7" t="s">
        <v>45</v>
      </c>
      <c r="G1189" s="7" t="s">
        <v>58</v>
      </c>
      <c r="H1189">
        <v>4</v>
      </c>
      <c r="I1189">
        <v>29226</v>
      </c>
      <c r="J1189">
        <v>0.15</v>
      </c>
      <c r="K1189">
        <v>99368.4</v>
      </c>
      <c r="L1189">
        <v>74224.28</v>
      </c>
      <c r="M1189">
        <v>25144.12</v>
      </c>
      <c r="N1189" s="7" t="s">
        <v>33</v>
      </c>
      <c r="O1189" s="9">
        <f>IFERROR(RawSalesTable_[[#This Row],[Profit]]/RawSalesTable_[[#This Row],[Revenue]],0)</f>
        <v>0.25303939683038068</v>
      </c>
    </row>
    <row r="1190" spans="1:15">
      <c r="A1190" s="7" t="s">
        <v>1331</v>
      </c>
      <c r="B1190" s="8">
        <v>45924</v>
      </c>
      <c r="C1190" s="7" t="s">
        <v>22</v>
      </c>
      <c r="D1190" s="7" t="s">
        <v>23</v>
      </c>
      <c r="E1190" s="7" t="s">
        <v>30</v>
      </c>
      <c r="F1190" s="7" t="s">
        <v>86</v>
      </c>
      <c r="G1190" s="7" t="s">
        <v>58</v>
      </c>
      <c r="H1190">
        <v>5</v>
      </c>
      <c r="I1190">
        <v>32095.14</v>
      </c>
      <c r="J1190">
        <v>0.05</v>
      </c>
      <c r="K1190">
        <v>152451.92000000001</v>
      </c>
      <c r="L1190">
        <v>114388.31</v>
      </c>
      <c r="M1190">
        <v>38063.61</v>
      </c>
      <c r="N1190" s="7" t="s">
        <v>26</v>
      </c>
      <c r="O1190" s="9">
        <f>IFERROR(RawSalesTable_[[#This Row],[Profit]]/RawSalesTable_[[#This Row],[Revenue]],0)</f>
        <v>0.24967616019529304</v>
      </c>
    </row>
    <row r="1191" spans="1:15">
      <c r="A1191" s="7" t="s">
        <v>1332</v>
      </c>
      <c r="B1191" s="8">
        <v>45759</v>
      </c>
      <c r="C1191" s="7" t="s">
        <v>28</v>
      </c>
      <c r="D1191" s="7" t="s">
        <v>56</v>
      </c>
      <c r="E1191" s="7" t="s">
        <v>30</v>
      </c>
      <c r="F1191" s="7" t="s">
        <v>86</v>
      </c>
      <c r="G1191" s="7" t="s">
        <v>61</v>
      </c>
      <c r="H1191">
        <v>1</v>
      </c>
      <c r="I1191">
        <v>34309.1</v>
      </c>
      <c r="J1191">
        <v>0.05</v>
      </c>
      <c r="K1191">
        <v>32593.64</v>
      </c>
      <c r="L1191">
        <v>22820.21</v>
      </c>
      <c r="M1191">
        <v>9773.43</v>
      </c>
      <c r="N1191" s="7" t="s">
        <v>33</v>
      </c>
      <c r="O1191" s="9">
        <f>IFERROR(RawSalesTable_[[#This Row],[Profit]]/RawSalesTable_[[#This Row],[Revenue]],0)</f>
        <v>0.29985696596023032</v>
      </c>
    </row>
    <row r="1192" spans="1:15">
      <c r="A1192" s="7" t="s">
        <v>1333</v>
      </c>
      <c r="B1192" s="8">
        <v>45905</v>
      </c>
      <c r="C1192" s="7" t="s">
        <v>22</v>
      </c>
      <c r="D1192" s="7" t="s">
        <v>37</v>
      </c>
      <c r="E1192" s="7" t="s">
        <v>17</v>
      </c>
      <c r="F1192" s="7" t="s">
        <v>24</v>
      </c>
      <c r="G1192" s="7" t="s">
        <v>32</v>
      </c>
      <c r="H1192">
        <v>3</v>
      </c>
      <c r="I1192">
        <v>90480.36</v>
      </c>
      <c r="J1192">
        <v>0</v>
      </c>
      <c r="K1192">
        <v>271441.08</v>
      </c>
      <c r="L1192">
        <v>206049.4</v>
      </c>
      <c r="M1192">
        <v>65391.68</v>
      </c>
      <c r="N1192" s="7" t="s">
        <v>26</v>
      </c>
      <c r="O1192" s="9">
        <f>IFERROR(RawSalesTable_[[#This Row],[Profit]]/RawSalesTable_[[#This Row],[Revenue]],0)</f>
        <v>0.24090561384444828</v>
      </c>
    </row>
    <row r="1193" spans="1:15">
      <c r="A1193" s="7" t="s">
        <v>1334</v>
      </c>
      <c r="B1193" s="8">
        <v>45718</v>
      </c>
      <c r="C1193" s="7" t="s">
        <v>15</v>
      </c>
      <c r="D1193" s="7" t="s">
        <v>43</v>
      </c>
      <c r="E1193" s="7" t="s">
        <v>49</v>
      </c>
      <c r="F1193" s="7" t="s">
        <v>107</v>
      </c>
      <c r="G1193" s="7" t="s">
        <v>58</v>
      </c>
      <c r="H1193">
        <v>4</v>
      </c>
      <c r="I1193">
        <v>5161.0600000000004</v>
      </c>
      <c r="J1193">
        <v>0.05</v>
      </c>
      <c r="K1193">
        <v>19612.03</v>
      </c>
      <c r="L1193">
        <v>10888.68</v>
      </c>
      <c r="M1193">
        <v>8723.35</v>
      </c>
      <c r="N1193" s="7" t="s">
        <v>59</v>
      </c>
      <c r="O1193" s="9">
        <f>IFERROR(RawSalesTable_[[#This Row],[Profit]]/RawSalesTable_[[#This Row],[Revenue]],0)</f>
        <v>0.44479587273729443</v>
      </c>
    </row>
    <row r="1194" spans="1:15">
      <c r="A1194" s="7" t="s">
        <v>1335</v>
      </c>
      <c r="B1194" s="8">
        <v>46000</v>
      </c>
      <c r="C1194" s="7" t="s">
        <v>28</v>
      </c>
      <c r="D1194" s="7" t="s">
        <v>52</v>
      </c>
      <c r="E1194" s="7" t="s">
        <v>30</v>
      </c>
      <c r="F1194" s="7" t="s">
        <v>38</v>
      </c>
      <c r="G1194" s="7" t="s">
        <v>32</v>
      </c>
      <c r="H1194">
        <v>8</v>
      </c>
      <c r="I1194">
        <v>28175.07</v>
      </c>
      <c r="J1194">
        <v>0.05</v>
      </c>
      <c r="K1194">
        <v>214130.53</v>
      </c>
      <c r="L1194">
        <v>146365.54</v>
      </c>
      <c r="M1194">
        <v>67764.990000000005</v>
      </c>
      <c r="N1194" s="7" t="s">
        <v>59</v>
      </c>
      <c r="O1194" s="9">
        <f>IFERROR(RawSalesTable_[[#This Row],[Profit]]/RawSalesTable_[[#This Row],[Revenue]],0)</f>
        <v>0.31646580242434375</v>
      </c>
    </row>
    <row r="1195" spans="1:15">
      <c r="A1195" s="7" t="s">
        <v>1336</v>
      </c>
      <c r="B1195" s="8">
        <v>45719</v>
      </c>
      <c r="C1195" s="7" t="s">
        <v>22</v>
      </c>
      <c r="D1195" s="7" t="s">
        <v>35</v>
      </c>
      <c r="E1195" s="7" t="s">
        <v>49</v>
      </c>
      <c r="F1195" s="7" t="s">
        <v>91</v>
      </c>
      <c r="G1195" s="7" t="s">
        <v>58</v>
      </c>
      <c r="H1195">
        <v>3</v>
      </c>
      <c r="I1195">
        <v>6078.37</v>
      </c>
      <c r="J1195">
        <v>0.05</v>
      </c>
      <c r="K1195">
        <v>17323.349999999999</v>
      </c>
      <c r="L1195">
        <v>11103.54</v>
      </c>
      <c r="M1195">
        <v>6219.81</v>
      </c>
      <c r="N1195" s="7" t="s">
        <v>26</v>
      </c>
      <c r="O1195" s="9">
        <f>IFERROR(RawSalesTable_[[#This Row],[Profit]]/RawSalesTable_[[#This Row],[Revenue]],0)</f>
        <v>0.35904198668271442</v>
      </c>
    </row>
    <row r="1196" spans="1:15">
      <c r="A1196" s="7" t="s">
        <v>1337</v>
      </c>
      <c r="B1196" s="8">
        <v>45919</v>
      </c>
      <c r="C1196" s="7" t="s">
        <v>28</v>
      </c>
      <c r="D1196" s="7" t="s">
        <v>56</v>
      </c>
      <c r="E1196" s="7" t="s">
        <v>49</v>
      </c>
      <c r="F1196" s="7" t="s">
        <v>107</v>
      </c>
      <c r="G1196" s="7" t="s">
        <v>47</v>
      </c>
      <c r="H1196">
        <v>2</v>
      </c>
      <c r="I1196">
        <v>5587.96</v>
      </c>
      <c r="J1196">
        <v>0.1</v>
      </c>
      <c r="K1196">
        <v>10058.33</v>
      </c>
      <c r="L1196">
        <v>5307.03</v>
      </c>
      <c r="M1196">
        <v>4751.3</v>
      </c>
      <c r="N1196" s="7" t="s">
        <v>26</v>
      </c>
      <c r="O1196" s="9">
        <f>IFERROR(RawSalesTable_[[#This Row],[Profit]]/RawSalesTable_[[#This Row],[Revenue]],0)</f>
        <v>0.47237463873227464</v>
      </c>
    </row>
    <row r="1197" spans="1:15">
      <c r="A1197" s="7" t="s">
        <v>1338</v>
      </c>
      <c r="B1197" s="8">
        <v>45929</v>
      </c>
      <c r="C1197" s="7" t="s">
        <v>15</v>
      </c>
      <c r="D1197" s="7" t="s">
        <v>16</v>
      </c>
      <c r="E1197" s="7" t="s">
        <v>17</v>
      </c>
      <c r="F1197" s="7" t="s">
        <v>24</v>
      </c>
      <c r="G1197" s="7" t="s">
        <v>64</v>
      </c>
      <c r="H1197">
        <v>6</v>
      </c>
      <c r="I1197">
        <v>92376.46</v>
      </c>
      <c r="J1197">
        <v>0</v>
      </c>
      <c r="K1197">
        <v>554258.76</v>
      </c>
      <c r="L1197">
        <v>411835.94</v>
      </c>
      <c r="M1197">
        <v>142422.82</v>
      </c>
      <c r="N1197" s="7" t="s">
        <v>59</v>
      </c>
      <c r="O1197" s="9">
        <f>IFERROR(RawSalesTable_[[#This Row],[Profit]]/RawSalesTable_[[#This Row],[Revenue]],0)</f>
        <v>0.25696088231424613</v>
      </c>
    </row>
    <row r="1198" spans="1:15">
      <c r="A1198" s="7" t="s">
        <v>1339</v>
      </c>
      <c r="B1198" s="8">
        <v>45974</v>
      </c>
      <c r="C1198" s="7" t="s">
        <v>15</v>
      </c>
      <c r="D1198" s="7" t="s">
        <v>16</v>
      </c>
      <c r="E1198" s="7" t="s">
        <v>44</v>
      </c>
      <c r="F1198" s="7" t="s">
        <v>69</v>
      </c>
      <c r="G1198" s="7" t="s">
        <v>47</v>
      </c>
      <c r="H1198">
        <v>3</v>
      </c>
      <c r="I1198">
        <v>35568.839999999997</v>
      </c>
      <c r="J1198">
        <v>0</v>
      </c>
      <c r="K1198">
        <v>106706.52</v>
      </c>
      <c r="L1198">
        <v>79126.59</v>
      </c>
      <c r="M1198">
        <v>27579.93</v>
      </c>
      <c r="N1198" s="7" t="s">
        <v>26</v>
      </c>
      <c r="O1198" s="9">
        <f>IFERROR(RawSalesTable_[[#This Row],[Profit]]/RawSalesTable_[[#This Row],[Revenue]],0)</f>
        <v>0.25846527466175451</v>
      </c>
    </row>
    <row r="1199" spans="1:15">
      <c r="A1199" s="7" t="s">
        <v>1340</v>
      </c>
      <c r="B1199" s="8">
        <v>45925</v>
      </c>
      <c r="C1199" s="7" t="s">
        <v>15</v>
      </c>
      <c r="D1199" s="7" t="s">
        <v>43</v>
      </c>
      <c r="E1199" s="7" t="s">
        <v>49</v>
      </c>
      <c r="F1199" s="7" t="s">
        <v>1590</v>
      </c>
      <c r="G1199" s="7" t="s">
        <v>25</v>
      </c>
      <c r="H1199">
        <v>5</v>
      </c>
      <c r="I1199">
        <v>3896.87</v>
      </c>
      <c r="J1199">
        <v>0.05</v>
      </c>
      <c r="K1199">
        <v>18510.13</v>
      </c>
      <c r="L1199">
        <v>10402.92</v>
      </c>
      <c r="M1199">
        <v>8107.21</v>
      </c>
      <c r="N1199" s="7" t="s">
        <v>20</v>
      </c>
      <c r="O1199" s="9">
        <f>IFERROR(RawSalesTable_[[#This Row],[Profit]]/RawSalesTable_[[#This Row],[Revenue]],0)</f>
        <v>0.4379877396863231</v>
      </c>
    </row>
    <row r="1200" spans="1:15">
      <c r="A1200" s="7" t="s">
        <v>1341</v>
      </c>
      <c r="B1200" s="8">
        <v>45817</v>
      </c>
      <c r="C1200" s="7" t="s">
        <v>28</v>
      </c>
      <c r="D1200" s="7" t="s">
        <v>56</v>
      </c>
      <c r="E1200" s="7" t="s">
        <v>44</v>
      </c>
      <c r="F1200" s="7" t="s">
        <v>69</v>
      </c>
      <c r="G1200" s="7" t="s">
        <v>47</v>
      </c>
      <c r="H1200">
        <v>1</v>
      </c>
      <c r="I1200">
        <v>35415.21</v>
      </c>
      <c r="J1200">
        <v>0.15</v>
      </c>
      <c r="K1200">
        <v>30102.93</v>
      </c>
      <c r="L1200">
        <v>26231.48</v>
      </c>
      <c r="M1200">
        <v>3871.45</v>
      </c>
      <c r="N1200" s="7" t="s">
        <v>33</v>
      </c>
      <c r="O1200" s="9">
        <f>IFERROR(RawSalesTable_[[#This Row],[Profit]]/RawSalesTable_[[#This Row],[Revenue]],0)</f>
        <v>0.12860708243350397</v>
      </c>
    </row>
    <row r="1201" spans="1:15">
      <c r="A1201" s="7" t="s">
        <v>1343</v>
      </c>
      <c r="B1201" s="8">
        <v>45863</v>
      </c>
      <c r="C1201" s="7" t="s">
        <v>15</v>
      </c>
      <c r="D1201" s="7" t="s">
        <v>16</v>
      </c>
      <c r="E1201" s="7" t="s">
        <v>44</v>
      </c>
      <c r="F1201" s="7" t="s">
        <v>69</v>
      </c>
      <c r="G1201" s="7" t="s">
        <v>19</v>
      </c>
      <c r="H1201">
        <v>2</v>
      </c>
      <c r="I1201">
        <v>36335.93</v>
      </c>
      <c r="J1201">
        <v>0.05</v>
      </c>
      <c r="K1201">
        <v>69038.27</v>
      </c>
      <c r="L1201">
        <v>50951.199999999997</v>
      </c>
      <c r="M1201">
        <v>18087.07</v>
      </c>
      <c r="N1201" s="7" t="s">
        <v>26</v>
      </c>
      <c r="O1201" s="9">
        <f>IFERROR(RawSalesTable_[[#This Row],[Profit]]/RawSalesTable_[[#This Row],[Revenue]],0)</f>
        <v>0.261986141889129</v>
      </c>
    </row>
    <row r="1202" spans="1:15">
      <c r="A1202" s="7" t="s">
        <v>1344</v>
      </c>
      <c r="B1202" s="8">
        <v>45926</v>
      </c>
      <c r="C1202" s="7" t="s">
        <v>22</v>
      </c>
      <c r="D1202" s="7" t="s">
        <v>35</v>
      </c>
      <c r="E1202" s="7" t="s">
        <v>44</v>
      </c>
      <c r="F1202" s="7" t="s">
        <v>69</v>
      </c>
      <c r="G1202" s="7" t="s">
        <v>19</v>
      </c>
      <c r="H1202">
        <v>6</v>
      </c>
      <c r="I1202">
        <v>35025.480000000003</v>
      </c>
      <c r="J1202">
        <v>0</v>
      </c>
      <c r="K1202">
        <v>210152.88</v>
      </c>
      <c r="L1202">
        <v>157005.17000000001</v>
      </c>
      <c r="M1202">
        <v>53147.71</v>
      </c>
      <c r="N1202" s="7" t="s">
        <v>20</v>
      </c>
      <c r="O1202" s="9">
        <f>IFERROR(RawSalesTable_[[#This Row],[Profit]]/RawSalesTable_[[#This Row],[Revenue]],0)</f>
        <v>0.25290022197173789</v>
      </c>
    </row>
    <row r="1203" spans="1:15">
      <c r="A1203" s="7" t="s">
        <v>1345</v>
      </c>
      <c r="B1203" s="8">
        <v>45694</v>
      </c>
      <c r="C1203" s="7" t="s">
        <v>22</v>
      </c>
      <c r="D1203" s="7" t="s">
        <v>37</v>
      </c>
      <c r="E1203" s="7" t="s">
        <v>49</v>
      </c>
      <c r="F1203" s="7" t="s">
        <v>57</v>
      </c>
      <c r="G1203" s="7" t="s">
        <v>32</v>
      </c>
      <c r="H1203">
        <v>2</v>
      </c>
      <c r="I1203">
        <v>11575.92</v>
      </c>
      <c r="J1203">
        <v>0.1</v>
      </c>
      <c r="K1203">
        <v>20836.66</v>
      </c>
      <c r="L1203">
        <v>13023.47</v>
      </c>
      <c r="M1203">
        <v>7813.19</v>
      </c>
      <c r="N1203" s="7" t="s">
        <v>59</v>
      </c>
      <c r="O1203" s="9">
        <f>IFERROR(RawSalesTable_[[#This Row],[Profit]]/RawSalesTable_[[#This Row],[Revenue]],0)</f>
        <v>0.37497324427235457</v>
      </c>
    </row>
    <row r="1204" spans="1:15">
      <c r="A1204" s="7" t="s">
        <v>1346</v>
      </c>
      <c r="B1204" s="8">
        <v>46012</v>
      </c>
      <c r="C1204" s="7" t="s">
        <v>22</v>
      </c>
      <c r="D1204" s="7" t="s">
        <v>35</v>
      </c>
      <c r="E1204" s="7" t="s">
        <v>30</v>
      </c>
      <c r="F1204" s="7" t="s">
        <v>31</v>
      </c>
      <c r="G1204" s="7" t="s">
        <v>70</v>
      </c>
      <c r="H1204">
        <v>8</v>
      </c>
      <c r="I1204">
        <v>133399.67000000001</v>
      </c>
      <c r="J1204">
        <v>0</v>
      </c>
      <c r="K1204">
        <v>1067197.3600000001</v>
      </c>
      <c r="L1204">
        <v>833320.27</v>
      </c>
      <c r="M1204">
        <v>233877.09</v>
      </c>
      <c r="N1204" s="7" t="s">
        <v>59</v>
      </c>
      <c r="O1204" s="9">
        <f>IFERROR(RawSalesTable_[[#This Row],[Profit]]/RawSalesTable_[[#This Row],[Revenue]],0)</f>
        <v>0.21915073890362693</v>
      </c>
    </row>
    <row r="1205" spans="1:15">
      <c r="A1205" s="7" t="s">
        <v>1347</v>
      </c>
      <c r="B1205" s="8">
        <v>46017</v>
      </c>
      <c r="C1205" s="7" t="s">
        <v>22</v>
      </c>
      <c r="D1205" s="7" t="s">
        <v>37</v>
      </c>
      <c r="E1205" s="7" t="s">
        <v>17</v>
      </c>
      <c r="F1205" s="7" t="s">
        <v>75</v>
      </c>
      <c r="G1205" s="7" t="s">
        <v>25</v>
      </c>
      <c r="H1205">
        <v>6</v>
      </c>
      <c r="I1205">
        <v>177342.26</v>
      </c>
      <c r="J1205">
        <v>0.15</v>
      </c>
      <c r="K1205">
        <v>904445.53</v>
      </c>
      <c r="L1205">
        <v>855933.88</v>
      </c>
      <c r="M1205">
        <v>48511.65</v>
      </c>
      <c r="N1205" s="7" t="s">
        <v>20</v>
      </c>
      <c r="O1205" s="9">
        <f>IFERROR(RawSalesTable_[[#This Row],[Profit]]/RawSalesTable_[[#This Row],[Revenue]],0)</f>
        <v>5.3636895082006759E-2</v>
      </c>
    </row>
    <row r="1206" spans="1:15">
      <c r="A1206" s="7" t="s">
        <v>1348</v>
      </c>
      <c r="B1206" s="8">
        <v>45872</v>
      </c>
      <c r="C1206" s="7" t="s">
        <v>22</v>
      </c>
      <c r="D1206" s="7" t="s">
        <v>37</v>
      </c>
      <c r="E1206" s="7" t="s">
        <v>17</v>
      </c>
      <c r="F1206" s="7" t="s">
        <v>18</v>
      </c>
      <c r="G1206" s="7" t="s">
        <v>58</v>
      </c>
      <c r="H1206">
        <v>5</v>
      </c>
      <c r="I1206">
        <v>15438.98</v>
      </c>
      <c r="J1206">
        <v>0.15</v>
      </c>
      <c r="K1206">
        <v>65615.66</v>
      </c>
      <c r="L1206">
        <v>41227.449999999997</v>
      </c>
      <c r="M1206">
        <v>24388.21</v>
      </c>
      <c r="N1206" s="7" t="s">
        <v>59</v>
      </c>
      <c r="O1206" s="9">
        <f>IFERROR(RawSalesTable_[[#This Row],[Profit]]/RawSalesTable_[[#This Row],[Revenue]],0)</f>
        <v>0.37168276597385436</v>
      </c>
    </row>
    <row r="1207" spans="1:15">
      <c r="A1207" s="7" t="s">
        <v>1349</v>
      </c>
      <c r="B1207" s="8">
        <v>45998</v>
      </c>
      <c r="C1207" s="7" t="s">
        <v>22</v>
      </c>
      <c r="D1207" s="7" t="s">
        <v>23</v>
      </c>
      <c r="E1207" s="7" t="s">
        <v>17</v>
      </c>
      <c r="F1207" s="7" t="s">
        <v>114</v>
      </c>
      <c r="G1207" s="7" t="s">
        <v>58</v>
      </c>
      <c r="H1207">
        <v>4</v>
      </c>
      <c r="I1207">
        <v>52713.72</v>
      </c>
      <c r="J1207">
        <v>0</v>
      </c>
      <c r="K1207">
        <v>210854.88</v>
      </c>
      <c r="L1207">
        <v>147660.88</v>
      </c>
      <c r="M1207">
        <v>63194</v>
      </c>
      <c r="N1207" s="7" t="s">
        <v>33</v>
      </c>
      <c r="O1207" s="9">
        <f>IFERROR(RawSalesTable_[[#This Row],[Profit]]/RawSalesTable_[[#This Row],[Revenue]],0)</f>
        <v>0.29970375833843638</v>
      </c>
    </row>
    <row r="1208" spans="1:15">
      <c r="A1208" s="7" t="s">
        <v>1350</v>
      </c>
      <c r="B1208" s="8">
        <v>45987</v>
      </c>
      <c r="C1208" s="7" t="s">
        <v>15</v>
      </c>
      <c r="D1208" s="7" t="s">
        <v>63</v>
      </c>
      <c r="E1208" s="7" t="s">
        <v>49</v>
      </c>
      <c r="F1208" s="7" t="s">
        <v>107</v>
      </c>
      <c r="G1208" s="7" t="s">
        <v>19</v>
      </c>
      <c r="H1208">
        <v>1</v>
      </c>
      <c r="I1208">
        <v>5284.58</v>
      </c>
      <c r="J1208">
        <v>0.1</v>
      </c>
      <c r="K1208">
        <v>4756.12</v>
      </c>
      <c r="L1208">
        <v>2777.42</v>
      </c>
      <c r="M1208">
        <v>1978.7</v>
      </c>
      <c r="N1208" s="7" t="s">
        <v>33</v>
      </c>
      <c r="O1208" s="9">
        <f>IFERROR(RawSalesTable_[[#This Row],[Profit]]/RawSalesTable_[[#This Row],[Revenue]],0)</f>
        <v>0.41603239615484894</v>
      </c>
    </row>
    <row r="1209" spans="1:15">
      <c r="A1209" s="7" t="s">
        <v>1351</v>
      </c>
      <c r="B1209" s="8">
        <v>45883</v>
      </c>
      <c r="C1209" s="7" t="s">
        <v>22</v>
      </c>
      <c r="D1209" s="7" t="s">
        <v>23</v>
      </c>
      <c r="E1209" s="7" t="s">
        <v>30</v>
      </c>
      <c r="F1209" s="7" t="s">
        <v>40</v>
      </c>
      <c r="G1209" s="7" t="s">
        <v>70</v>
      </c>
      <c r="H1209">
        <v>7</v>
      </c>
      <c r="I1209">
        <v>25355.69</v>
      </c>
      <c r="J1209">
        <v>0</v>
      </c>
      <c r="K1209">
        <v>177489.83</v>
      </c>
      <c r="L1209">
        <v>109970.83</v>
      </c>
      <c r="M1209">
        <v>67519</v>
      </c>
      <c r="N1209" s="7" t="s">
        <v>33</v>
      </c>
      <c r="O1209" s="9">
        <f>IFERROR(RawSalesTable_[[#This Row],[Profit]]/RawSalesTable_[[#This Row],[Revenue]],0)</f>
        <v>0.38041052831026995</v>
      </c>
    </row>
    <row r="1210" spans="1:15">
      <c r="A1210" s="7" t="s">
        <v>1352</v>
      </c>
      <c r="B1210" s="8">
        <v>45826</v>
      </c>
      <c r="C1210" s="7" t="s">
        <v>28</v>
      </c>
      <c r="D1210" s="7" t="s">
        <v>29</v>
      </c>
      <c r="E1210" s="7" t="s">
        <v>49</v>
      </c>
      <c r="F1210" s="7" t="s">
        <v>91</v>
      </c>
      <c r="G1210" s="7" t="s">
        <v>19</v>
      </c>
      <c r="H1210">
        <v>4</v>
      </c>
      <c r="I1210">
        <v>6569.61</v>
      </c>
      <c r="J1210">
        <v>0</v>
      </c>
      <c r="K1210">
        <v>26278.44</v>
      </c>
      <c r="L1210">
        <v>14603.57</v>
      </c>
      <c r="M1210">
        <v>11674.87</v>
      </c>
      <c r="N1210" s="7" t="s">
        <v>59</v>
      </c>
      <c r="O1210" s="9">
        <f>IFERROR(RawSalesTable_[[#This Row],[Profit]]/RawSalesTable_[[#This Row],[Revenue]],0)</f>
        <v>0.44427561148987538</v>
      </c>
    </row>
    <row r="1211" spans="1:15">
      <c r="A1211" s="7" t="s">
        <v>1353</v>
      </c>
      <c r="B1211" s="8">
        <v>45785</v>
      </c>
      <c r="C1211" s="7" t="s">
        <v>28</v>
      </c>
      <c r="D1211" s="7" t="s">
        <v>52</v>
      </c>
      <c r="E1211" s="7" t="s">
        <v>49</v>
      </c>
      <c r="F1211" s="7" t="s">
        <v>57</v>
      </c>
      <c r="G1211" s="7" t="s">
        <v>58</v>
      </c>
      <c r="H1211">
        <v>6</v>
      </c>
      <c r="I1211">
        <v>12085.8</v>
      </c>
      <c r="J1211">
        <v>0.05</v>
      </c>
      <c r="K1211">
        <v>68889.06</v>
      </c>
      <c r="L1211">
        <v>38791.99</v>
      </c>
      <c r="M1211">
        <v>30097.07</v>
      </c>
      <c r="N1211" s="7" t="s">
        <v>20</v>
      </c>
      <c r="O1211" s="9">
        <f>IFERROR(RawSalesTable_[[#This Row],[Profit]]/RawSalesTable_[[#This Row],[Revenue]],0)</f>
        <v>0.43689186642988015</v>
      </c>
    </row>
    <row r="1212" spans="1:15">
      <c r="A1212" s="7" t="s">
        <v>1354</v>
      </c>
      <c r="B1212" s="8">
        <v>45863</v>
      </c>
      <c r="C1212" s="7" t="s">
        <v>22</v>
      </c>
      <c r="D1212" s="7" t="s">
        <v>35</v>
      </c>
      <c r="E1212" s="7" t="s">
        <v>49</v>
      </c>
      <c r="F1212" s="7" t="s">
        <v>57</v>
      </c>
      <c r="G1212" s="7" t="s">
        <v>32</v>
      </c>
      <c r="H1212">
        <v>3</v>
      </c>
      <c r="I1212">
        <v>10965.26</v>
      </c>
      <c r="J1212">
        <v>0.1</v>
      </c>
      <c r="K1212">
        <v>29606.2</v>
      </c>
      <c r="L1212">
        <v>19799.91</v>
      </c>
      <c r="M1212">
        <v>9806.2900000000009</v>
      </c>
      <c r="N1212" s="7" t="s">
        <v>26</v>
      </c>
      <c r="O1212" s="9">
        <f>IFERROR(RawSalesTable_[[#This Row],[Profit]]/RawSalesTable_[[#This Row],[Revenue]],0)</f>
        <v>0.33122420303855277</v>
      </c>
    </row>
    <row r="1213" spans="1:15">
      <c r="A1213" s="7" t="s">
        <v>1355</v>
      </c>
      <c r="B1213" s="8">
        <v>45704</v>
      </c>
      <c r="C1213" s="7" t="s">
        <v>28</v>
      </c>
      <c r="D1213" s="7" t="s">
        <v>52</v>
      </c>
      <c r="E1213" s="7" t="s">
        <v>30</v>
      </c>
      <c r="F1213" s="7" t="s">
        <v>38</v>
      </c>
      <c r="G1213" s="7" t="s">
        <v>25</v>
      </c>
      <c r="H1213">
        <v>4</v>
      </c>
      <c r="I1213">
        <v>26207.43</v>
      </c>
      <c r="J1213">
        <v>0.05</v>
      </c>
      <c r="K1213">
        <v>99588.23</v>
      </c>
      <c r="L1213">
        <v>70350.539999999994</v>
      </c>
      <c r="M1213">
        <v>29237.69</v>
      </c>
      <c r="N1213" s="7" t="s">
        <v>59</v>
      </c>
      <c r="O1213" s="9">
        <f>IFERROR(RawSalesTable_[[#This Row],[Profit]]/RawSalesTable_[[#This Row],[Revenue]],0)</f>
        <v>0.29358579824141867</v>
      </c>
    </row>
    <row r="1214" spans="1:15">
      <c r="A1214" s="7" t="s">
        <v>1356</v>
      </c>
      <c r="B1214" s="8">
        <v>45830</v>
      </c>
      <c r="C1214" s="7" t="s">
        <v>15</v>
      </c>
      <c r="D1214" s="7" t="s">
        <v>63</v>
      </c>
      <c r="E1214" s="7" t="s">
        <v>44</v>
      </c>
      <c r="F1214" s="7" t="s">
        <v>53</v>
      </c>
      <c r="G1214" s="7" t="s">
        <v>70</v>
      </c>
      <c r="H1214">
        <v>4</v>
      </c>
      <c r="I1214">
        <v>8179.97</v>
      </c>
      <c r="J1214">
        <v>0.15</v>
      </c>
      <c r="K1214">
        <v>27811.9</v>
      </c>
      <c r="L1214">
        <v>19678.02</v>
      </c>
      <c r="M1214">
        <v>8133.88</v>
      </c>
      <c r="N1214" s="7" t="s">
        <v>59</v>
      </c>
      <c r="O1214" s="9">
        <f>IFERROR(RawSalesTable_[[#This Row],[Profit]]/RawSalesTable_[[#This Row],[Revenue]],0)</f>
        <v>0.29246042161808433</v>
      </c>
    </row>
    <row r="1215" spans="1:15">
      <c r="A1215" s="7" t="s">
        <v>1357</v>
      </c>
      <c r="B1215" s="8">
        <v>46016</v>
      </c>
      <c r="C1215" s="7" t="s">
        <v>22</v>
      </c>
      <c r="D1215" s="7" t="s">
        <v>23</v>
      </c>
      <c r="E1215" s="7" t="s">
        <v>30</v>
      </c>
      <c r="F1215" s="7" t="s">
        <v>31</v>
      </c>
      <c r="G1215" s="7" t="s">
        <v>58</v>
      </c>
      <c r="H1215">
        <v>2</v>
      </c>
      <c r="I1215">
        <v>128299.46</v>
      </c>
      <c r="J1215">
        <v>0.05</v>
      </c>
      <c r="K1215">
        <v>243768.97</v>
      </c>
      <c r="L1215">
        <v>208790.86</v>
      </c>
      <c r="M1215">
        <v>34978.11</v>
      </c>
      <c r="N1215" s="7" t="s">
        <v>26</v>
      </c>
      <c r="O1215" s="9">
        <f>IFERROR(RawSalesTable_[[#This Row],[Profit]]/RawSalesTable_[[#This Row],[Revenue]],0)</f>
        <v>0.14348877135592772</v>
      </c>
    </row>
    <row r="1216" spans="1:15">
      <c r="A1216" s="7" t="s">
        <v>1358</v>
      </c>
      <c r="B1216" s="8">
        <v>45997</v>
      </c>
      <c r="C1216" s="7" t="s">
        <v>28</v>
      </c>
      <c r="D1216" s="7" t="s">
        <v>29</v>
      </c>
      <c r="E1216" s="7" t="s">
        <v>17</v>
      </c>
      <c r="F1216" s="7" t="s">
        <v>24</v>
      </c>
      <c r="G1216" s="7" t="s">
        <v>25</v>
      </c>
      <c r="H1216">
        <v>2</v>
      </c>
      <c r="I1216">
        <v>85972.78</v>
      </c>
      <c r="J1216">
        <v>0.1</v>
      </c>
      <c r="K1216">
        <v>154751</v>
      </c>
      <c r="L1216">
        <v>140627.92000000001</v>
      </c>
      <c r="M1216">
        <v>14123.08</v>
      </c>
      <c r="N1216" s="7" t="s">
        <v>59</v>
      </c>
      <c r="O1216" s="9">
        <f>IFERROR(RawSalesTable_[[#This Row],[Profit]]/RawSalesTable_[[#This Row],[Revenue]],0)</f>
        <v>9.1263255164748536E-2</v>
      </c>
    </row>
    <row r="1217" spans="1:15">
      <c r="A1217" s="7" t="s">
        <v>1359</v>
      </c>
      <c r="B1217" s="8">
        <v>45808</v>
      </c>
      <c r="C1217" s="7" t="s">
        <v>22</v>
      </c>
      <c r="D1217" s="7" t="s">
        <v>37</v>
      </c>
      <c r="E1217" s="7" t="s">
        <v>30</v>
      </c>
      <c r="F1217" s="7" t="s">
        <v>38</v>
      </c>
      <c r="G1217" s="7" t="s">
        <v>19</v>
      </c>
      <c r="H1217">
        <v>7</v>
      </c>
      <c r="I1217">
        <v>25414.7</v>
      </c>
      <c r="J1217">
        <v>0.05</v>
      </c>
      <c r="K1217">
        <v>169007.75</v>
      </c>
      <c r="L1217">
        <v>123133.98</v>
      </c>
      <c r="M1217">
        <v>45873.77</v>
      </c>
      <c r="N1217" s="7" t="s">
        <v>59</v>
      </c>
      <c r="O1217" s="9">
        <f>IFERROR(RawSalesTable_[[#This Row],[Profit]]/RawSalesTable_[[#This Row],[Revenue]],0)</f>
        <v>0.27142997880274722</v>
      </c>
    </row>
    <row r="1218" spans="1:15">
      <c r="A1218" s="7" t="s">
        <v>1360</v>
      </c>
      <c r="B1218" s="8">
        <v>45772</v>
      </c>
      <c r="C1218" s="7" t="s">
        <v>22</v>
      </c>
      <c r="D1218" s="7" t="s">
        <v>35</v>
      </c>
      <c r="E1218" s="7" t="s">
        <v>17</v>
      </c>
      <c r="F1218" s="7" t="s">
        <v>24</v>
      </c>
      <c r="G1218" s="7" t="s">
        <v>47</v>
      </c>
      <c r="H1218">
        <v>3</v>
      </c>
      <c r="I1218">
        <v>94465.91</v>
      </c>
      <c r="J1218">
        <v>0.05</v>
      </c>
      <c r="K1218">
        <v>269227.84000000003</v>
      </c>
      <c r="L1218">
        <v>198256.41</v>
      </c>
      <c r="M1218">
        <v>70971.429999999993</v>
      </c>
      <c r="N1218" s="7" t="s">
        <v>26</v>
      </c>
      <c r="O1218" s="9">
        <f>IFERROR(RawSalesTable_[[#This Row],[Profit]]/RawSalesTable_[[#This Row],[Revenue]],0)</f>
        <v>0.26361103665950736</v>
      </c>
    </row>
    <row r="1219" spans="1:15">
      <c r="A1219" s="7" t="s">
        <v>1361</v>
      </c>
      <c r="B1219" s="8">
        <v>45905</v>
      </c>
      <c r="C1219" s="7" t="s">
        <v>22</v>
      </c>
      <c r="D1219" s="7" t="s">
        <v>35</v>
      </c>
      <c r="E1219" s="7" t="s">
        <v>44</v>
      </c>
      <c r="F1219" s="7" t="s">
        <v>45</v>
      </c>
      <c r="G1219" s="7" t="s">
        <v>70</v>
      </c>
      <c r="H1219">
        <v>1</v>
      </c>
      <c r="I1219">
        <v>27573.38</v>
      </c>
      <c r="J1219">
        <v>0</v>
      </c>
      <c r="K1219">
        <v>27573.38</v>
      </c>
      <c r="L1219">
        <v>19570.52</v>
      </c>
      <c r="M1219">
        <v>8002.86</v>
      </c>
      <c r="N1219" s="7" t="s">
        <v>20</v>
      </c>
      <c r="O1219" s="9">
        <f>IFERROR(RawSalesTable_[[#This Row],[Profit]]/RawSalesTable_[[#This Row],[Revenue]],0)</f>
        <v>0.29023862870638273</v>
      </c>
    </row>
    <row r="1220" spans="1:15">
      <c r="A1220" s="7" t="s">
        <v>1362</v>
      </c>
      <c r="B1220" s="8">
        <v>45952</v>
      </c>
      <c r="C1220" s="7" t="s">
        <v>15</v>
      </c>
      <c r="D1220" s="7" t="s">
        <v>43</v>
      </c>
      <c r="E1220" s="7" t="s">
        <v>44</v>
      </c>
      <c r="F1220" s="7" t="s">
        <v>53</v>
      </c>
      <c r="G1220" s="7" t="s">
        <v>25</v>
      </c>
      <c r="H1220">
        <v>3</v>
      </c>
      <c r="I1220">
        <v>8973.15</v>
      </c>
      <c r="J1220">
        <v>0.1</v>
      </c>
      <c r="K1220">
        <v>24227.5</v>
      </c>
      <c r="L1220">
        <v>14670.21</v>
      </c>
      <c r="M1220">
        <v>9557.2900000000009</v>
      </c>
      <c r="N1220" s="7" t="s">
        <v>59</v>
      </c>
      <c r="O1220" s="9">
        <f>IFERROR(RawSalesTable_[[#This Row],[Profit]]/RawSalesTable_[[#This Row],[Revenue]],0)</f>
        <v>0.39448106490558255</v>
      </c>
    </row>
    <row r="1221" spans="1:15">
      <c r="A1221" s="7" t="s">
        <v>1363</v>
      </c>
      <c r="B1221" s="8">
        <v>45840</v>
      </c>
      <c r="C1221" s="7" t="s">
        <v>15</v>
      </c>
      <c r="D1221" s="7" t="s">
        <v>63</v>
      </c>
      <c r="E1221" s="7" t="s">
        <v>30</v>
      </c>
      <c r="F1221" s="7" t="s">
        <v>40</v>
      </c>
      <c r="G1221" s="7" t="s">
        <v>19</v>
      </c>
      <c r="H1221">
        <v>6</v>
      </c>
      <c r="I1221">
        <v>23968.9</v>
      </c>
      <c r="J1221">
        <v>0</v>
      </c>
      <c r="K1221">
        <v>143813.4</v>
      </c>
      <c r="L1221">
        <v>94080.55</v>
      </c>
      <c r="M1221">
        <v>49732.85</v>
      </c>
      <c r="N1221" s="7" t="s">
        <v>26</v>
      </c>
      <c r="O1221" s="9">
        <f>IFERROR(RawSalesTable_[[#This Row],[Profit]]/RawSalesTable_[[#This Row],[Revenue]],0)</f>
        <v>0.34581513266496727</v>
      </c>
    </row>
    <row r="1222" spans="1:15">
      <c r="A1222" s="7" t="s">
        <v>1364</v>
      </c>
      <c r="B1222" s="8">
        <v>45932</v>
      </c>
      <c r="C1222" s="7" t="s">
        <v>28</v>
      </c>
      <c r="D1222" s="7" t="s">
        <v>29</v>
      </c>
      <c r="E1222" s="7" t="s">
        <v>44</v>
      </c>
      <c r="F1222" s="7" t="s">
        <v>45</v>
      </c>
      <c r="G1222" s="7" t="s">
        <v>32</v>
      </c>
      <c r="H1222">
        <v>2</v>
      </c>
      <c r="I1222">
        <v>30693.41</v>
      </c>
      <c r="J1222">
        <v>0.1</v>
      </c>
      <c r="K1222">
        <v>55248.14</v>
      </c>
      <c r="L1222">
        <v>38744.22</v>
      </c>
      <c r="M1222">
        <v>16503.919999999998</v>
      </c>
      <c r="N1222" s="7" t="s">
        <v>33</v>
      </c>
      <c r="O1222" s="9">
        <f>IFERROR(RawSalesTable_[[#This Row],[Profit]]/RawSalesTable_[[#This Row],[Revenue]],0)</f>
        <v>0.29872354073820401</v>
      </c>
    </row>
    <row r="1223" spans="1:15">
      <c r="A1223" s="7" t="s">
        <v>1365</v>
      </c>
      <c r="B1223" s="8">
        <v>45882</v>
      </c>
      <c r="C1223" s="7" t="s">
        <v>15</v>
      </c>
      <c r="D1223" s="7" t="s">
        <v>16</v>
      </c>
      <c r="E1223" s="7" t="s">
        <v>30</v>
      </c>
      <c r="F1223" s="7" t="s">
        <v>86</v>
      </c>
      <c r="G1223" s="7" t="s">
        <v>70</v>
      </c>
      <c r="H1223">
        <v>8</v>
      </c>
      <c r="I1223">
        <v>31781.02</v>
      </c>
      <c r="J1223">
        <v>0</v>
      </c>
      <c r="K1223">
        <v>254248.16</v>
      </c>
      <c r="L1223">
        <v>180399.01</v>
      </c>
      <c r="M1223">
        <v>73849.149999999994</v>
      </c>
      <c r="N1223" s="7" t="s">
        <v>20</v>
      </c>
      <c r="O1223" s="9">
        <f>IFERROR(RawSalesTable_[[#This Row],[Profit]]/RawSalesTable_[[#This Row],[Revenue]],0)</f>
        <v>0.29046090245058209</v>
      </c>
    </row>
    <row r="1224" spans="1:15">
      <c r="A1224" s="7" t="s">
        <v>1367</v>
      </c>
      <c r="B1224" s="8">
        <v>45726</v>
      </c>
      <c r="C1224" s="7" t="s">
        <v>22</v>
      </c>
      <c r="D1224" s="7" t="s">
        <v>37</v>
      </c>
      <c r="E1224" s="7" t="s">
        <v>30</v>
      </c>
      <c r="F1224" s="7" t="s">
        <v>38</v>
      </c>
      <c r="G1224" s="7" t="s">
        <v>25</v>
      </c>
      <c r="H1224">
        <v>1</v>
      </c>
      <c r="I1224">
        <v>27922.799999999999</v>
      </c>
      <c r="J1224">
        <v>0.05</v>
      </c>
      <c r="K1224">
        <v>26526.66</v>
      </c>
      <c r="L1224">
        <v>18002.849999999999</v>
      </c>
      <c r="M1224">
        <v>8523.81</v>
      </c>
      <c r="N1224" s="7" t="s">
        <v>26</v>
      </c>
      <c r="O1224" s="9">
        <f>IFERROR(RawSalesTable_[[#This Row],[Profit]]/RawSalesTable_[[#This Row],[Revenue]],0)</f>
        <v>0.32132993750438238</v>
      </c>
    </row>
    <row r="1225" spans="1:15">
      <c r="A1225" s="7" t="s">
        <v>1368</v>
      </c>
      <c r="B1225" s="8">
        <v>45731</v>
      </c>
      <c r="C1225" s="7" t="s">
        <v>15</v>
      </c>
      <c r="D1225" s="7" t="s">
        <v>63</v>
      </c>
      <c r="E1225" s="7" t="s">
        <v>30</v>
      </c>
      <c r="F1225" s="7" t="s">
        <v>38</v>
      </c>
      <c r="G1225" s="7" t="s">
        <v>32</v>
      </c>
      <c r="H1225">
        <v>6</v>
      </c>
      <c r="I1225">
        <v>25844.68</v>
      </c>
      <c r="J1225">
        <v>0.1</v>
      </c>
      <c r="K1225">
        <v>139561.26999999999</v>
      </c>
      <c r="L1225">
        <v>111913.78</v>
      </c>
      <c r="M1225">
        <v>27647.49</v>
      </c>
      <c r="N1225" s="7" t="s">
        <v>33</v>
      </c>
      <c r="O1225" s="9">
        <f>IFERROR(RawSalesTable_[[#This Row],[Profit]]/RawSalesTable_[[#This Row],[Revenue]],0)</f>
        <v>0.19810288341457485</v>
      </c>
    </row>
    <row r="1226" spans="1:15">
      <c r="A1226" s="7" t="s">
        <v>1369</v>
      </c>
      <c r="B1226" s="8">
        <v>45740</v>
      </c>
      <c r="C1226" s="7" t="s">
        <v>15</v>
      </c>
      <c r="D1226" s="7" t="s">
        <v>16</v>
      </c>
      <c r="E1226" s="7" t="s">
        <v>30</v>
      </c>
      <c r="F1226" s="7" t="s">
        <v>31</v>
      </c>
      <c r="G1226" s="7" t="s">
        <v>47</v>
      </c>
      <c r="H1226">
        <v>2</v>
      </c>
      <c r="I1226">
        <v>137459.17000000001</v>
      </c>
      <c r="J1226">
        <v>0.1</v>
      </c>
      <c r="K1226">
        <v>247426.51</v>
      </c>
      <c r="L1226">
        <v>201789.88</v>
      </c>
      <c r="M1226">
        <v>45636.63</v>
      </c>
      <c r="N1226" s="7" t="s">
        <v>26</v>
      </c>
      <c r="O1226" s="9">
        <f>IFERROR(RawSalesTable_[[#This Row],[Profit]]/RawSalesTable_[[#This Row],[Revenue]],0)</f>
        <v>0.18444519142269758</v>
      </c>
    </row>
    <row r="1227" spans="1:15">
      <c r="A1227" s="7" t="s">
        <v>1370</v>
      </c>
      <c r="B1227" s="8">
        <v>45864</v>
      </c>
      <c r="C1227" s="7" t="s">
        <v>15</v>
      </c>
      <c r="D1227" s="7" t="s">
        <v>16</v>
      </c>
      <c r="E1227" s="7" t="s">
        <v>44</v>
      </c>
      <c r="F1227" s="7" t="s">
        <v>80</v>
      </c>
      <c r="G1227" s="7" t="s">
        <v>25</v>
      </c>
      <c r="H1227">
        <v>8</v>
      </c>
      <c r="I1227">
        <v>44573.23</v>
      </c>
      <c r="J1227">
        <v>0.05</v>
      </c>
      <c r="K1227">
        <v>338756.55</v>
      </c>
      <c r="L1227">
        <v>242106.88</v>
      </c>
      <c r="M1227">
        <v>96649.67</v>
      </c>
      <c r="N1227" s="7" t="s">
        <v>20</v>
      </c>
      <c r="O1227" s="9">
        <f>IFERROR(RawSalesTable_[[#This Row],[Profit]]/RawSalesTable_[[#This Row],[Revenue]],0)</f>
        <v>0.28530716232645537</v>
      </c>
    </row>
    <row r="1228" spans="1:15">
      <c r="A1228" s="7" t="s">
        <v>1371</v>
      </c>
      <c r="B1228" s="8">
        <v>46020</v>
      </c>
      <c r="C1228" s="7" t="s">
        <v>28</v>
      </c>
      <c r="D1228" s="7" t="s">
        <v>29</v>
      </c>
      <c r="E1228" s="7" t="s">
        <v>49</v>
      </c>
      <c r="F1228" s="7" t="s">
        <v>1590</v>
      </c>
      <c r="G1228" s="7" t="s">
        <v>25</v>
      </c>
      <c r="H1228">
        <v>6</v>
      </c>
      <c r="I1228">
        <v>3986.97</v>
      </c>
      <c r="J1228">
        <v>0.05</v>
      </c>
      <c r="K1228">
        <v>22725.73</v>
      </c>
      <c r="L1228">
        <v>12535.25</v>
      </c>
      <c r="M1228">
        <v>10190.48</v>
      </c>
      <c r="N1228" s="7" t="s">
        <v>59</v>
      </c>
      <c r="O1228" s="9">
        <f>IFERROR(RawSalesTable_[[#This Row],[Profit]]/RawSalesTable_[[#This Row],[Revenue]],0)</f>
        <v>0.44841155817656903</v>
      </c>
    </row>
    <row r="1229" spans="1:15">
      <c r="A1229" s="7" t="s">
        <v>1372</v>
      </c>
      <c r="B1229" s="8">
        <v>45982</v>
      </c>
      <c r="C1229" s="7" t="s">
        <v>28</v>
      </c>
      <c r="D1229" s="7" t="s">
        <v>52</v>
      </c>
      <c r="E1229" s="7" t="s">
        <v>44</v>
      </c>
      <c r="F1229" s="7" t="s">
        <v>69</v>
      </c>
      <c r="G1229" s="7" t="s">
        <v>19</v>
      </c>
      <c r="H1229">
        <v>7</v>
      </c>
      <c r="I1229">
        <v>36179.69</v>
      </c>
      <c r="J1229">
        <v>0.05</v>
      </c>
      <c r="K1229">
        <v>240594.94</v>
      </c>
      <c r="L1229">
        <v>189097</v>
      </c>
      <c r="M1229">
        <v>51497.94</v>
      </c>
      <c r="N1229" s="7" t="s">
        <v>59</v>
      </c>
      <c r="O1229" s="9">
        <f>IFERROR(RawSalesTable_[[#This Row],[Profit]]/RawSalesTable_[[#This Row],[Revenue]],0)</f>
        <v>0.21404415238325461</v>
      </c>
    </row>
    <row r="1230" spans="1:15">
      <c r="A1230" s="7" t="s">
        <v>1373</v>
      </c>
      <c r="B1230" s="8">
        <v>45706</v>
      </c>
      <c r="C1230" s="7" t="s">
        <v>28</v>
      </c>
      <c r="D1230" s="7" t="s">
        <v>52</v>
      </c>
      <c r="E1230" s="7" t="s">
        <v>30</v>
      </c>
      <c r="F1230" s="7" t="s">
        <v>31</v>
      </c>
      <c r="G1230" s="7" t="s">
        <v>61</v>
      </c>
      <c r="H1230">
        <v>1</v>
      </c>
      <c r="I1230">
        <v>145411.42000000001</v>
      </c>
      <c r="J1230">
        <v>0</v>
      </c>
      <c r="K1230">
        <v>145411.42000000001</v>
      </c>
      <c r="L1230">
        <v>102796.76</v>
      </c>
      <c r="M1230">
        <v>42614.66</v>
      </c>
      <c r="N1230" s="7" t="s">
        <v>33</v>
      </c>
      <c r="O1230" s="9">
        <f>IFERROR(RawSalesTable_[[#This Row],[Profit]]/RawSalesTable_[[#This Row],[Revenue]],0)</f>
        <v>0.29306267692042343</v>
      </c>
    </row>
    <row r="1231" spans="1:15">
      <c r="A1231" s="7" t="s">
        <v>1375</v>
      </c>
      <c r="B1231" s="8">
        <v>45737</v>
      </c>
      <c r="C1231" s="7" t="s">
        <v>15</v>
      </c>
      <c r="D1231" s="7" t="s">
        <v>43</v>
      </c>
      <c r="E1231" s="7" t="s">
        <v>49</v>
      </c>
      <c r="F1231" s="7" t="s">
        <v>1590</v>
      </c>
      <c r="G1231" s="7" t="s">
        <v>32</v>
      </c>
      <c r="H1231">
        <v>4</v>
      </c>
      <c r="I1231">
        <v>4519.72</v>
      </c>
      <c r="J1231">
        <v>0</v>
      </c>
      <c r="K1231">
        <v>18078.88</v>
      </c>
      <c r="L1231">
        <v>8660.7900000000009</v>
      </c>
      <c r="M1231">
        <v>9418.09</v>
      </c>
      <c r="N1231" s="7" t="s">
        <v>26</v>
      </c>
      <c r="O1231" s="9">
        <f>IFERROR(RawSalesTable_[[#This Row],[Profit]]/RawSalesTable_[[#This Row],[Revenue]],0)</f>
        <v>0.52094432840972449</v>
      </c>
    </row>
    <row r="1232" spans="1:15">
      <c r="A1232" s="7" t="s">
        <v>1376</v>
      </c>
      <c r="B1232" s="8">
        <v>45719</v>
      </c>
      <c r="C1232" s="7" t="s">
        <v>28</v>
      </c>
      <c r="D1232" s="7" t="s">
        <v>29</v>
      </c>
      <c r="E1232" s="7" t="s">
        <v>44</v>
      </c>
      <c r="F1232" s="7" t="s">
        <v>45</v>
      </c>
      <c r="G1232" s="7" t="s">
        <v>58</v>
      </c>
      <c r="H1232">
        <v>8</v>
      </c>
      <c r="I1232">
        <v>26358.36</v>
      </c>
      <c r="J1232">
        <v>0</v>
      </c>
      <c r="K1232">
        <v>210866.88</v>
      </c>
      <c r="L1232">
        <v>157391.51999999999</v>
      </c>
      <c r="M1232">
        <v>53475.360000000001</v>
      </c>
      <c r="N1232" s="7" t="s">
        <v>59</v>
      </c>
      <c r="O1232" s="9">
        <f>IFERROR(RawSalesTable_[[#This Row],[Profit]]/RawSalesTable_[[#This Row],[Revenue]],0)</f>
        <v>0.25359772004024528</v>
      </c>
    </row>
    <row r="1233" spans="1:15">
      <c r="A1233" s="7" t="s">
        <v>1377</v>
      </c>
      <c r="B1233" s="8">
        <v>45971</v>
      </c>
      <c r="C1233" s="7" t="s">
        <v>22</v>
      </c>
      <c r="D1233" s="7" t="s">
        <v>35</v>
      </c>
      <c r="E1233" s="7" t="s">
        <v>44</v>
      </c>
      <c r="F1233" s="7" t="s">
        <v>45</v>
      </c>
      <c r="G1233" s="7" t="s">
        <v>32</v>
      </c>
      <c r="H1233">
        <v>2</v>
      </c>
      <c r="I1233">
        <v>28489.29</v>
      </c>
      <c r="J1233">
        <v>0.1</v>
      </c>
      <c r="K1233">
        <v>51280.72</v>
      </c>
      <c r="L1233">
        <v>37272.97</v>
      </c>
      <c r="M1233">
        <v>14007.75</v>
      </c>
      <c r="N1233" s="7" t="s">
        <v>20</v>
      </c>
      <c r="O1233" s="9">
        <f>IFERROR(RawSalesTable_[[#This Row],[Profit]]/RawSalesTable_[[#This Row],[Revenue]],0)</f>
        <v>0.27315821618729219</v>
      </c>
    </row>
    <row r="1234" spans="1:15">
      <c r="A1234" s="7" t="s">
        <v>1378</v>
      </c>
      <c r="B1234" s="8">
        <v>45845</v>
      </c>
      <c r="C1234" s="7" t="s">
        <v>15</v>
      </c>
      <c r="D1234" s="7" t="s">
        <v>43</v>
      </c>
      <c r="E1234" s="7" t="s">
        <v>49</v>
      </c>
      <c r="F1234" s="7" t="s">
        <v>107</v>
      </c>
      <c r="G1234" s="7" t="s">
        <v>61</v>
      </c>
      <c r="H1234">
        <v>2</v>
      </c>
      <c r="I1234">
        <v>5340.36</v>
      </c>
      <c r="J1234">
        <v>0</v>
      </c>
      <c r="K1234">
        <v>10680.72</v>
      </c>
      <c r="L1234">
        <v>5365.89</v>
      </c>
      <c r="M1234">
        <v>5314.83</v>
      </c>
      <c r="N1234" s="7" t="s">
        <v>26</v>
      </c>
      <c r="O1234" s="9">
        <f>IFERROR(RawSalesTable_[[#This Row],[Profit]]/RawSalesTable_[[#This Row],[Revenue]],0)</f>
        <v>0.49760971170482893</v>
      </c>
    </row>
    <row r="1235" spans="1:15">
      <c r="A1235" s="7" t="s">
        <v>1379</v>
      </c>
      <c r="B1235" s="8">
        <v>45995</v>
      </c>
      <c r="C1235" s="7" t="s">
        <v>28</v>
      </c>
      <c r="D1235" s="7" t="s">
        <v>52</v>
      </c>
      <c r="E1235" s="7" t="s">
        <v>49</v>
      </c>
      <c r="F1235" s="7" t="s">
        <v>91</v>
      </c>
      <c r="G1235" s="7" t="s">
        <v>19</v>
      </c>
      <c r="H1235">
        <v>6</v>
      </c>
      <c r="I1235">
        <v>6040.97</v>
      </c>
      <c r="J1235">
        <v>0.05</v>
      </c>
      <c r="K1235">
        <v>34433.53</v>
      </c>
      <c r="L1235">
        <v>22178.09</v>
      </c>
      <c r="M1235">
        <v>12255.44</v>
      </c>
      <c r="N1235" s="7" t="s">
        <v>33</v>
      </c>
      <c r="O1235" s="9">
        <f>IFERROR(RawSalesTable_[[#This Row],[Profit]]/RawSalesTable_[[#This Row],[Revenue]],0)</f>
        <v>0.35591587618231418</v>
      </c>
    </row>
    <row r="1236" spans="1:15">
      <c r="A1236" s="7" t="s">
        <v>1380</v>
      </c>
      <c r="B1236" s="8">
        <v>45759</v>
      </c>
      <c r="C1236" s="7" t="s">
        <v>15</v>
      </c>
      <c r="D1236" s="7" t="s">
        <v>43</v>
      </c>
      <c r="E1236" s="7" t="s">
        <v>30</v>
      </c>
      <c r="F1236" s="7" t="s">
        <v>40</v>
      </c>
      <c r="G1236" s="7" t="s">
        <v>58</v>
      </c>
      <c r="H1236">
        <v>4</v>
      </c>
      <c r="I1236">
        <v>23647.64</v>
      </c>
      <c r="J1236">
        <v>0</v>
      </c>
      <c r="K1236">
        <v>94590.56</v>
      </c>
      <c r="L1236">
        <v>63285.53</v>
      </c>
      <c r="M1236">
        <v>31305.03</v>
      </c>
      <c r="N1236" s="7" t="s">
        <v>20</v>
      </c>
      <c r="O1236" s="9">
        <f>IFERROR(RawSalesTable_[[#This Row],[Profit]]/RawSalesTable_[[#This Row],[Revenue]],0)</f>
        <v>0.33095300418984724</v>
      </c>
    </row>
    <row r="1237" spans="1:15">
      <c r="A1237" s="7" t="s">
        <v>1381</v>
      </c>
      <c r="B1237" s="8">
        <v>45905</v>
      </c>
      <c r="C1237" s="7" t="s">
        <v>28</v>
      </c>
      <c r="D1237" s="7" t="s">
        <v>56</v>
      </c>
      <c r="E1237" s="7" t="s">
        <v>49</v>
      </c>
      <c r="F1237" s="7" t="s">
        <v>91</v>
      </c>
      <c r="G1237" s="7" t="s">
        <v>25</v>
      </c>
      <c r="H1237">
        <v>8</v>
      </c>
      <c r="I1237">
        <v>6004.79</v>
      </c>
      <c r="J1237">
        <v>0</v>
      </c>
      <c r="K1237">
        <v>48038.32</v>
      </c>
      <c r="L1237">
        <v>28584.17</v>
      </c>
      <c r="M1237">
        <v>19454.150000000001</v>
      </c>
      <c r="N1237" s="7" t="s">
        <v>59</v>
      </c>
      <c r="O1237" s="9">
        <f>IFERROR(RawSalesTable_[[#This Row],[Profit]]/RawSalesTable_[[#This Row],[Revenue]],0)</f>
        <v>0.40497148942760697</v>
      </c>
    </row>
    <row r="1238" spans="1:15">
      <c r="A1238" s="7" t="s">
        <v>1382</v>
      </c>
      <c r="B1238" s="8">
        <v>45950</v>
      </c>
      <c r="C1238" s="7" t="s">
        <v>28</v>
      </c>
      <c r="D1238" s="7" t="s">
        <v>56</v>
      </c>
      <c r="E1238" s="7" t="s">
        <v>17</v>
      </c>
      <c r="F1238" s="7" t="s">
        <v>75</v>
      </c>
      <c r="G1238" s="7" t="s">
        <v>61</v>
      </c>
      <c r="H1238">
        <v>4</v>
      </c>
      <c r="I1238">
        <v>198224.68</v>
      </c>
      <c r="J1238">
        <v>0.05</v>
      </c>
      <c r="K1238">
        <v>753253.78</v>
      </c>
      <c r="L1238">
        <v>586429.6</v>
      </c>
      <c r="M1238">
        <v>166824.18</v>
      </c>
      <c r="N1238" s="7" t="s">
        <v>59</v>
      </c>
      <c r="O1238" s="9">
        <f>IFERROR(RawSalesTable_[[#This Row],[Profit]]/RawSalesTable_[[#This Row],[Revenue]],0)</f>
        <v>0.22147141432200976</v>
      </c>
    </row>
    <row r="1239" spans="1:15">
      <c r="A1239" s="7" t="s">
        <v>1383</v>
      </c>
      <c r="B1239" s="8">
        <v>45684</v>
      </c>
      <c r="C1239" s="7" t="s">
        <v>15</v>
      </c>
      <c r="D1239" s="7" t="s">
        <v>16</v>
      </c>
      <c r="E1239" s="7" t="s">
        <v>17</v>
      </c>
      <c r="F1239" s="7" t="s">
        <v>75</v>
      </c>
      <c r="G1239" s="7" t="s">
        <v>25</v>
      </c>
      <c r="H1239">
        <v>5</v>
      </c>
      <c r="I1239">
        <v>181593.08</v>
      </c>
      <c r="J1239">
        <v>0.05</v>
      </c>
      <c r="K1239">
        <v>862567.13</v>
      </c>
      <c r="L1239">
        <v>736620.1</v>
      </c>
      <c r="M1239">
        <v>125947.03</v>
      </c>
      <c r="N1239" s="7" t="s">
        <v>26</v>
      </c>
      <c r="O1239" s="9">
        <f>IFERROR(RawSalesTable_[[#This Row],[Profit]]/RawSalesTable_[[#This Row],[Revenue]],0)</f>
        <v>0.14601417747045381</v>
      </c>
    </row>
    <row r="1240" spans="1:15">
      <c r="A1240" s="7" t="s">
        <v>1384</v>
      </c>
      <c r="B1240" s="8">
        <v>46022</v>
      </c>
      <c r="C1240" s="7" t="s">
        <v>15</v>
      </c>
      <c r="D1240" s="7" t="s">
        <v>63</v>
      </c>
      <c r="E1240" s="7" t="s">
        <v>17</v>
      </c>
      <c r="F1240" s="7" t="s">
        <v>24</v>
      </c>
      <c r="G1240" s="7" t="s">
        <v>32</v>
      </c>
      <c r="H1240">
        <v>2</v>
      </c>
      <c r="I1240">
        <v>91370.48</v>
      </c>
      <c r="J1240">
        <v>0</v>
      </c>
      <c r="K1240">
        <v>182740.96</v>
      </c>
      <c r="L1240">
        <v>140415.23000000001</v>
      </c>
      <c r="M1240">
        <v>42325.73</v>
      </c>
      <c r="N1240" s="7" t="s">
        <v>33</v>
      </c>
      <c r="O1240" s="9">
        <f>IFERROR(RawSalesTable_[[#This Row],[Profit]]/RawSalesTable_[[#This Row],[Revenue]],0)</f>
        <v>0.23161599895283469</v>
      </c>
    </row>
    <row r="1241" spans="1:15">
      <c r="A1241" s="7" t="s">
        <v>1385</v>
      </c>
      <c r="B1241" s="8">
        <v>46010</v>
      </c>
      <c r="C1241" s="7" t="s">
        <v>15</v>
      </c>
      <c r="D1241" s="7" t="s">
        <v>16</v>
      </c>
      <c r="E1241" s="7" t="s">
        <v>49</v>
      </c>
      <c r="F1241" s="7" t="s">
        <v>1590</v>
      </c>
      <c r="G1241" s="7" t="s">
        <v>19</v>
      </c>
      <c r="H1241">
        <v>1</v>
      </c>
      <c r="I1241">
        <v>3894.4</v>
      </c>
      <c r="J1241">
        <v>0.05</v>
      </c>
      <c r="K1241">
        <v>3699.68</v>
      </c>
      <c r="L1241">
        <v>2067.29</v>
      </c>
      <c r="M1241">
        <v>1632.39</v>
      </c>
      <c r="N1241" s="7" t="s">
        <v>59</v>
      </c>
      <c r="O1241" s="9">
        <f>IFERROR(RawSalesTable_[[#This Row],[Profit]]/RawSalesTable_[[#This Row],[Revenue]],0)</f>
        <v>0.44122464645590975</v>
      </c>
    </row>
    <row r="1242" spans="1:15">
      <c r="A1242" s="7" t="s">
        <v>1386</v>
      </c>
      <c r="B1242" s="8">
        <v>45863</v>
      </c>
      <c r="C1242" s="7" t="s">
        <v>22</v>
      </c>
      <c r="D1242" s="7" t="s">
        <v>23</v>
      </c>
      <c r="E1242" s="7" t="s">
        <v>30</v>
      </c>
      <c r="F1242" s="7" t="s">
        <v>86</v>
      </c>
      <c r="G1242" s="7" t="s">
        <v>64</v>
      </c>
      <c r="H1242">
        <v>7</v>
      </c>
      <c r="I1242">
        <v>34724.300000000003</v>
      </c>
      <c r="J1242">
        <v>0.05</v>
      </c>
      <c r="K1242">
        <v>230916.6</v>
      </c>
      <c r="L1242">
        <v>162891.35999999999</v>
      </c>
      <c r="M1242">
        <v>68025.240000000005</v>
      </c>
      <c r="N1242" s="7" t="s">
        <v>26</v>
      </c>
      <c r="O1242" s="9">
        <f>IFERROR(RawSalesTable_[[#This Row],[Profit]]/RawSalesTable_[[#This Row],[Revenue]],0)</f>
        <v>0.29458791615674235</v>
      </c>
    </row>
    <row r="1243" spans="1:15">
      <c r="A1243" s="7" t="s">
        <v>1388</v>
      </c>
      <c r="B1243" s="8">
        <v>45755</v>
      </c>
      <c r="C1243" s="7" t="s">
        <v>15</v>
      </c>
      <c r="D1243" s="7" t="s">
        <v>43</v>
      </c>
      <c r="E1243" s="7" t="s">
        <v>30</v>
      </c>
      <c r="F1243" s="7" t="s">
        <v>40</v>
      </c>
      <c r="G1243" s="7" t="s">
        <v>70</v>
      </c>
      <c r="H1243">
        <v>1</v>
      </c>
      <c r="I1243">
        <v>24170.28</v>
      </c>
      <c r="J1243">
        <v>0.05</v>
      </c>
      <c r="K1243">
        <v>22961.77</v>
      </c>
      <c r="L1243">
        <v>15743.11</v>
      </c>
      <c r="M1243">
        <v>7218.66</v>
      </c>
      <c r="N1243" s="7" t="s">
        <v>59</v>
      </c>
      <c r="O1243" s="9">
        <f>IFERROR(RawSalesTable_[[#This Row],[Profit]]/RawSalesTable_[[#This Row],[Revenue]],0)</f>
        <v>0.31437733240947885</v>
      </c>
    </row>
    <row r="1244" spans="1:15">
      <c r="A1244" s="7" t="s">
        <v>1390</v>
      </c>
      <c r="B1244" s="8">
        <v>46006</v>
      </c>
      <c r="C1244" s="7" t="s">
        <v>22</v>
      </c>
      <c r="D1244" s="7" t="s">
        <v>35</v>
      </c>
      <c r="E1244" s="7" t="s">
        <v>17</v>
      </c>
      <c r="F1244" s="7" t="s">
        <v>24</v>
      </c>
      <c r="G1244" s="7" t="s">
        <v>25</v>
      </c>
      <c r="H1244">
        <v>6</v>
      </c>
      <c r="I1244">
        <v>87103.64</v>
      </c>
      <c r="J1244">
        <v>0.15</v>
      </c>
      <c r="K1244">
        <v>444228.56</v>
      </c>
      <c r="L1244">
        <v>403085.62</v>
      </c>
      <c r="M1244">
        <v>41142.94</v>
      </c>
      <c r="N1244" s="7" t="s">
        <v>59</v>
      </c>
      <c r="O1244" s="9">
        <f>IFERROR(RawSalesTable_[[#This Row],[Profit]]/RawSalesTable_[[#This Row],[Revenue]],0)</f>
        <v>9.2616602588541361E-2</v>
      </c>
    </row>
    <row r="1245" spans="1:15">
      <c r="A1245" s="7" t="s">
        <v>1392</v>
      </c>
      <c r="B1245" s="8">
        <v>45761</v>
      </c>
      <c r="C1245" s="7" t="s">
        <v>15</v>
      </c>
      <c r="D1245" s="7" t="s">
        <v>63</v>
      </c>
      <c r="E1245" s="7" t="s">
        <v>30</v>
      </c>
      <c r="F1245" s="7" t="s">
        <v>38</v>
      </c>
      <c r="G1245" s="7" t="s">
        <v>19</v>
      </c>
      <c r="H1245">
        <v>2</v>
      </c>
      <c r="I1245">
        <v>28127.47</v>
      </c>
      <c r="J1245">
        <v>0.05</v>
      </c>
      <c r="K1245">
        <v>53442.19</v>
      </c>
      <c r="L1245">
        <v>36993.65</v>
      </c>
      <c r="M1245">
        <v>16448.54</v>
      </c>
      <c r="N1245" s="7" t="s">
        <v>20</v>
      </c>
      <c r="O1245" s="9">
        <f>IFERROR(RawSalesTable_[[#This Row],[Profit]]/RawSalesTable_[[#This Row],[Revenue]],0)</f>
        <v>0.30778192285907446</v>
      </c>
    </row>
    <row r="1246" spans="1:15">
      <c r="A1246" s="7" t="s">
        <v>1393</v>
      </c>
      <c r="B1246" s="8">
        <v>45856</v>
      </c>
      <c r="C1246" s="7" t="s">
        <v>22</v>
      </c>
      <c r="D1246" s="7" t="s">
        <v>23</v>
      </c>
      <c r="E1246" s="7" t="s">
        <v>17</v>
      </c>
      <c r="F1246" s="7" t="s">
        <v>114</v>
      </c>
      <c r="G1246" s="7" t="s">
        <v>61</v>
      </c>
      <c r="H1246">
        <v>8</v>
      </c>
      <c r="I1246">
        <v>48749.74</v>
      </c>
      <c r="J1246">
        <v>0</v>
      </c>
      <c r="K1246">
        <v>389997.92</v>
      </c>
      <c r="L1246">
        <v>284017.36</v>
      </c>
      <c r="M1246">
        <v>105980.56</v>
      </c>
      <c r="N1246" s="7" t="s">
        <v>33</v>
      </c>
      <c r="O1246" s="9">
        <f>IFERROR(RawSalesTable_[[#This Row],[Profit]]/RawSalesTable_[[#This Row],[Revenue]],0)</f>
        <v>0.27174647495555876</v>
      </c>
    </row>
    <row r="1247" spans="1:15">
      <c r="A1247" s="7" t="s">
        <v>1394</v>
      </c>
      <c r="B1247" s="8">
        <v>45679</v>
      </c>
      <c r="C1247" s="7" t="s">
        <v>15</v>
      </c>
      <c r="D1247" s="7" t="s">
        <v>16</v>
      </c>
      <c r="E1247" s="7" t="s">
        <v>44</v>
      </c>
      <c r="F1247" s="7" t="s">
        <v>53</v>
      </c>
      <c r="G1247" s="7" t="s">
        <v>47</v>
      </c>
      <c r="H1247">
        <v>6</v>
      </c>
      <c r="I1247">
        <v>8415.83</v>
      </c>
      <c r="J1247">
        <v>0</v>
      </c>
      <c r="K1247">
        <v>50494.98</v>
      </c>
      <c r="L1247">
        <v>29427.69</v>
      </c>
      <c r="M1247">
        <v>21067.29</v>
      </c>
      <c r="N1247" s="7" t="s">
        <v>26</v>
      </c>
      <c r="O1247" s="9">
        <f>IFERROR(RawSalesTable_[[#This Row],[Profit]]/RawSalesTable_[[#This Row],[Revenue]],0)</f>
        <v>0.41721553310843967</v>
      </c>
    </row>
    <row r="1248" spans="1:15">
      <c r="A1248" s="7" t="s">
        <v>1395</v>
      </c>
      <c r="B1248" s="8">
        <v>45837</v>
      </c>
      <c r="C1248" s="7" t="s">
        <v>15</v>
      </c>
      <c r="D1248" s="7" t="s">
        <v>63</v>
      </c>
      <c r="E1248" s="7" t="s">
        <v>17</v>
      </c>
      <c r="F1248" s="7" t="s">
        <v>75</v>
      </c>
      <c r="G1248" s="7" t="s">
        <v>70</v>
      </c>
      <c r="H1248">
        <v>3</v>
      </c>
      <c r="I1248">
        <v>180303.89</v>
      </c>
      <c r="J1248">
        <v>0.05</v>
      </c>
      <c r="K1248">
        <v>513866.09</v>
      </c>
      <c r="L1248">
        <v>440709.26</v>
      </c>
      <c r="M1248">
        <v>73156.83</v>
      </c>
      <c r="N1248" s="7" t="s">
        <v>26</v>
      </c>
      <c r="O1248" s="9">
        <f>IFERROR(RawSalesTable_[[#This Row],[Profit]]/RawSalesTable_[[#This Row],[Revenue]],0)</f>
        <v>0.14236555286222524</v>
      </c>
    </row>
    <row r="1249" spans="1:15">
      <c r="A1249" s="7" t="s">
        <v>1396</v>
      </c>
      <c r="B1249" s="8">
        <v>45752</v>
      </c>
      <c r="C1249" s="7" t="s">
        <v>15</v>
      </c>
      <c r="D1249" s="7" t="s">
        <v>16</v>
      </c>
      <c r="E1249" s="7" t="s">
        <v>49</v>
      </c>
      <c r="F1249" s="7" t="s">
        <v>107</v>
      </c>
      <c r="G1249" s="7" t="s">
        <v>47</v>
      </c>
      <c r="H1249">
        <v>3</v>
      </c>
      <c r="I1249">
        <v>5571.76</v>
      </c>
      <c r="J1249">
        <v>0.1</v>
      </c>
      <c r="K1249">
        <v>15043.75</v>
      </c>
      <c r="L1249">
        <v>7893.09</v>
      </c>
      <c r="M1249">
        <v>7150.66</v>
      </c>
      <c r="N1249" s="7" t="s">
        <v>59</v>
      </c>
      <c r="O1249" s="9">
        <f>IFERROR(RawSalesTable_[[#This Row],[Profit]]/RawSalesTable_[[#This Row],[Revenue]],0)</f>
        <v>0.47532430411300375</v>
      </c>
    </row>
    <row r="1250" spans="1:15">
      <c r="A1250" s="7" t="s">
        <v>1397</v>
      </c>
      <c r="B1250" s="8">
        <v>45805</v>
      </c>
      <c r="C1250" s="7" t="s">
        <v>15</v>
      </c>
      <c r="D1250" s="7" t="s">
        <v>43</v>
      </c>
      <c r="E1250" s="7" t="s">
        <v>49</v>
      </c>
      <c r="F1250" s="7" t="s">
        <v>91</v>
      </c>
      <c r="G1250" s="7" t="s">
        <v>61</v>
      </c>
      <c r="H1250">
        <v>8</v>
      </c>
      <c r="I1250">
        <v>6052.16</v>
      </c>
      <c r="J1250">
        <v>0</v>
      </c>
      <c r="K1250">
        <v>48417.279999999999</v>
      </c>
      <c r="L1250">
        <v>29148.95</v>
      </c>
      <c r="M1250">
        <v>19268.330000000002</v>
      </c>
      <c r="N1250" s="7" t="s">
        <v>26</v>
      </c>
      <c r="O1250" s="9">
        <f>IFERROR(RawSalesTable_[[#This Row],[Profit]]/RawSalesTable_[[#This Row],[Revenue]],0)</f>
        <v>0.39796390875323856</v>
      </c>
    </row>
    <row r="1251" spans="1:15">
      <c r="A1251" s="7" t="s">
        <v>1398</v>
      </c>
      <c r="B1251" s="8">
        <v>45744</v>
      </c>
      <c r="C1251" s="7" t="s">
        <v>15</v>
      </c>
      <c r="D1251" s="7" t="s">
        <v>63</v>
      </c>
      <c r="E1251" s="7" t="s">
        <v>17</v>
      </c>
      <c r="F1251" s="7" t="s">
        <v>75</v>
      </c>
      <c r="G1251" s="7" t="s">
        <v>32</v>
      </c>
      <c r="H1251">
        <v>2</v>
      </c>
      <c r="I1251">
        <v>182333.76</v>
      </c>
      <c r="J1251">
        <v>0.1</v>
      </c>
      <c r="K1251">
        <v>328200.77</v>
      </c>
      <c r="L1251">
        <v>275827.14</v>
      </c>
      <c r="M1251">
        <v>52373.63</v>
      </c>
      <c r="N1251" s="7" t="s">
        <v>59</v>
      </c>
      <c r="O1251" s="9">
        <f>IFERROR(RawSalesTable_[[#This Row],[Profit]]/RawSalesTable_[[#This Row],[Revenue]],0)</f>
        <v>0.159578022927856</v>
      </c>
    </row>
    <row r="1252" spans="1:15">
      <c r="A1252" s="7" t="s">
        <v>1399</v>
      </c>
      <c r="B1252" s="8">
        <v>45856</v>
      </c>
      <c r="C1252" s="7" t="s">
        <v>22</v>
      </c>
      <c r="D1252" s="7" t="s">
        <v>23</v>
      </c>
      <c r="E1252" s="7" t="s">
        <v>17</v>
      </c>
      <c r="F1252" s="7" t="s">
        <v>24</v>
      </c>
      <c r="G1252" s="7" t="s">
        <v>19</v>
      </c>
      <c r="H1252">
        <v>1</v>
      </c>
      <c r="I1252">
        <v>90251.46</v>
      </c>
      <c r="J1252">
        <v>0.1</v>
      </c>
      <c r="K1252">
        <v>81226.31</v>
      </c>
      <c r="L1252">
        <v>66238.070000000007</v>
      </c>
      <c r="M1252">
        <v>14988.24</v>
      </c>
      <c r="N1252" s="7" t="s">
        <v>26</v>
      </c>
      <c r="O1252" s="9">
        <f>IFERROR(RawSalesTable_[[#This Row],[Profit]]/RawSalesTable_[[#This Row],[Revenue]],0)</f>
        <v>0.18452444780515082</v>
      </c>
    </row>
    <row r="1253" spans="1:15">
      <c r="A1253" s="7" t="s">
        <v>1400</v>
      </c>
      <c r="B1253" s="8">
        <v>46009</v>
      </c>
      <c r="C1253" s="7" t="s">
        <v>15</v>
      </c>
      <c r="D1253" s="7" t="s">
        <v>16</v>
      </c>
      <c r="E1253" s="7" t="s">
        <v>17</v>
      </c>
      <c r="F1253" s="7" t="s">
        <v>75</v>
      </c>
      <c r="G1253" s="7" t="s">
        <v>25</v>
      </c>
      <c r="H1253">
        <v>8</v>
      </c>
      <c r="I1253">
        <v>197941.44</v>
      </c>
      <c r="J1253">
        <v>0.15</v>
      </c>
      <c r="K1253">
        <v>1346001.79</v>
      </c>
      <c r="L1253">
        <v>1132619.07</v>
      </c>
      <c r="M1253">
        <v>213382.72</v>
      </c>
      <c r="N1253" s="7" t="s">
        <v>20</v>
      </c>
      <c r="O1253" s="9">
        <f>IFERROR(RawSalesTable_[[#This Row],[Profit]]/RawSalesTable_[[#This Row],[Revenue]],0)</f>
        <v>0.15853078471760426</v>
      </c>
    </row>
    <row r="1254" spans="1:15">
      <c r="A1254" s="7" t="s">
        <v>1401</v>
      </c>
      <c r="B1254" s="8">
        <v>45736</v>
      </c>
      <c r="C1254" s="7" t="s">
        <v>15</v>
      </c>
      <c r="D1254" s="7" t="s">
        <v>16</v>
      </c>
      <c r="E1254" s="7" t="s">
        <v>49</v>
      </c>
      <c r="F1254" s="7" t="s">
        <v>57</v>
      </c>
      <c r="G1254" s="7" t="s">
        <v>70</v>
      </c>
      <c r="H1254">
        <v>6</v>
      </c>
      <c r="I1254">
        <v>12383.44</v>
      </c>
      <c r="J1254">
        <v>0.15</v>
      </c>
      <c r="K1254">
        <v>63155.54</v>
      </c>
      <c r="L1254">
        <v>39072.11</v>
      </c>
      <c r="M1254">
        <v>24083.43</v>
      </c>
      <c r="N1254" s="7" t="s">
        <v>59</v>
      </c>
      <c r="O1254" s="9">
        <f>IFERROR(RawSalesTable_[[#This Row],[Profit]]/RawSalesTable_[[#This Row],[Revenue]],0)</f>
        <v>0.38133519244709174</v>
      </c>
    </row>
    <row r="1255" spans="1:15">
      <c r="A1255" s="7" t="s">
        <v>1402</v>
      </c>
      <c r="B1255" s="8">
        <v>45668</v>
      </c>
      <c r="C1255" s="7" t="s">
        <v>22</v>
      </c>
      <c r="D1255" s="7" t="s">
        <v>23</v>
      </c>
      <c r="E1255" s="7" t="s">
        <v>30</v>
      </c>
      <c r="F1255" s="7" t="s">
        <v>86</v>
      </c>
      <c r="G1255" s="7" t="s">
        <v>25</v>
      </c>
      <c r="H1255">
        <v>7</v>
      </c>
      <c r="I1255">
        <v>35635.46</v>
      </c>
      <c r="J1255">
        <v>0</v>
      </c>
      <c r="K1255">
        <v>249448.22</v>
      </c>
      <c r="L1255">
        <v>156833.06</v>
      </c>
      <c r="M1255">
        <v>92615.16</v>
      </c>
      <c r="N1255" s="7" t="s">
        <v>59</v>
      </c>
      <c r="O1255" s="9">
        <f>IFERROR(RawSalesTable_[[#This Row],[Profit]]/RawSalesTable_[[#This Row],[Revenue]],0)</f>
        <v>0.37128009973372433</v>
      </c>
    </row>
    <row r="1256" spans="1:15">
      <c r="A1256" s="7" t="s">
        <v>1403</v>
      </c>
      <c r="B1256" s="8">
        <v>45838</v>
      </c>
      <c r="C1256" s="7" t="s">
        <v>22</v>
      </c>
      <c r="D1256" s="7" t="s">
        <v>23</v>
      </c>
      <c r="E1256" s="7" t="s">
        <v>49</v>
      </c>
      <c r="F1256" s="7" t="s">
        <v>107</v>
      </c>
      <c r="G1256" s="7" t="s">
        <v>47</v>
      </c>
      <c r="H1256">
        <v>4</v>
      </c>
      <c r="I1256">
        <v>5605.59</v>
      </c>
      <c r="J1256">
        <v>0</v>
      </c>
      <c r="K1256">
        <v>22422.36</v>
      </c>
      <c r="L1256">
        <v>11111.14</v>
      </c>
      <c r="M1256">
        <v>11311.22</v>
      </c>
      <c r="N1256" s="7" t="s">
        <v>20</v>
      </c>
      <c r="O1256" s="9">
        <f>IFERROR(RawSalesTable_[[#This Row],[Profit]]/RawSalesTable_[[#This Row],[Revenue]],0)</f>
        <v>0.50446161777796805</v>
      </c>
    </row>
    <row r="1257" spans="1:15">
      <c r="A1257" s="7" t="s">
        <v>1404</v>
      </c>
      <c r="B1257" s="8">
        <v>45824</v>
      </c>
      <c r="C1257" s="7" t="s">
        <v>28</v>
      </c>
      <c r="D1257" s="7" t="s">
        <v>56</v>
      </c>
      <c r="E1257" s="7" t="s">
        <v>49</v>
      </c>
      <c r="F1257" s="7" t="s">
        <v>107</v>
      </c>
      <c r="G1257" s="7" t="s">
        <v>25</v>
      </c>
      <c r="H1257">
        <v>8</v>
      </c>
      <c r="I1257">
        <v>5576.38</v>
      </c>
      <c r="J1257">
        <v>0.05</v>
      </c>
      <c r="K1257">
        <v>42380.49</v>
      </c>
      <c r="L1257">
        <v>21501.7</v>
      </c>
      <c r="M1257">
        <v>20878.79</v>
      </c>
      <c r="N1257" s="7" t="s">
        <v>26</v>
      </c>
      <c r="O1257" s="9">
        <f>IFERROR(RawSalesTable_[[#This Row],[Profit]]/RawSalesTable_[[#This Row],[Revenue]],0)</f>
        <v>0.49265098161913656</v>
      </c>
    </row>
    <row r="1258" spans="1:15">
      <c r="A1258" s="7" t="s">
        <v>1405</v>
      </c>
      <c r="B1258" s="8">
        <v>45995</v>
      </c>
      <c r="C1258" s="7" t="s">
        <v>15</v>
      </c>
      <c r="D1258" s="7" t="s">
        <v>43</v>
      </c>
      <c r="E1258" s="7" t="s">
        <v>44</v>
      </c>
      <c r="F1258" s="7" t="s">
        <v>45</v>
      </c>
      <c r="G1258" s="7" t="s">
        <v>32</v>
      </c>
      <c r="H1258">
        <v>4</v>
      </c>
      <c r="I1258">
        <v>29469.41</v>
      </c>
      <c r="J1258">
        <v>0.1</v>
      </c>
      <c r="K1258">
        <v>106089.88</v>
      </c>
      <c r="L1258">
        <v>74755.28</v>
      </c>
      <c r="M1258">
        <v>31334.6</v>
      </c>
      <c r="N1258" s="7" t="s">
        <v>20</v>
      </c>
      <c r="O1258" s="9">
        <f>IFERROR(RawSalesTable_[[#This Row],[Profit]]/RawSalesTable_[[#This Row],[Revenue]],0)</f>
        <v>0.29535899182843828</v>
      </c>
    </row>
    <row r="1259" spans="1:15">
      <c r="A1259" s="7" t="s">
        <v>1406</v>
      </c>
      <c r="B1259" s="8">
        <v>45991</v>
      </c>
      <c r="C1259" s="7" t="s">
        <v>15</v>
      </c>
      <c r="D1259" s="7" t="s">
        <v>63</v>
      </c>
      <c r="E1259" s="7" t="s">
        <v>30</v>
      </c>
      <c r="F1259" s="7" t="s">
        <v>38</v>
      </c>
      <c r="G1259" s="7" t="s">
        <v>70</v>
      </c>
      <c r="H1259">
        <v>4</v>
      </c>
      <c r="I1259">
        <v>26537.02</v>
      </c>
      <c r="J1259">
        <v>0.05</v>
      </c>
      <c r="K1259">
        <v>100840.68</v>
      </c>
      <c r="L1259">
        <v>70387.600000000006</v>
      </c>
      <c r="M1259">
        <v>30453.08</v>
      </c>
      <c r="N1259" s="7" t="s">
        <v>59</v>
      </c>
      <c r="O1259" s="9">
        <f>IFERROR(RawSalesTable_[[#This Row],[Profit]]/RawSalesTable_[[#This Row],[Revenue]],0)</f>
        <v>0.30199201354056721</v>
      </c>
    </row>
    <row r="1260" spans="1:15">
      <c r="A1260" s="7" t="s">
        <v>1407</v>
      </c>
      <c r="B1260" s="8">
        <v>45922</v>
      </c>
      <c r="C1260" s="7" t="s">
        <v>15</v>
      </c>
      <c r="D1260" s="7" t="s">
        <v>63</v>
      </c>
      <c r="E1260" s="7" t="s">
        <v>17</v>
      </c>
      <c r="F1260" s="7" t="s">
        <v>24</v>
      </c>
      <c r="G1260" s="7" t="s">
        <v>25</v>
      </c>
      <c r="H1260">
        <v>4</v>
      </c>
      <c r="I1260">
        <v>89610.7</v>
      </c>
      <c r="J1260">
        <v>0</v>
      </c>
      <c r="K1260">
        <v>358442.8</v>
      </c>
      <c r="L1260">
        <v>276399.76</v>
      </c>
      <c r="M1260">
        <v>82043.039999999994</v>
      </c>
      <c r="N1260" s="7" t="s">
        <v>26</v>
      </c>
      <c r="O1260" s="9">
        <f>IFERROR(RawSalesTable_[[#This Row],[Profit]]/RawSalesTable_[[#This Row],[Revenue]],0)</f>
        <v>0.22888739849147477</v>
      </c>
    </row>
    <row r="1261" spans="1:15">
      <c r="A1261" s="7" t="s">
        <v>1408</v>
      </c>
      <c r="B1261" s="8">
        <v>45737</v>
      </c>
      <c r="C1261" s="7" t="s">
        <v>28</v>
      </c>
      <c r="D1261" s="7" t="s">
        <v>52</v>
      </c>
      <c r="E1261" s="7" t="s">
        <v>44</v>
      </c>
      <c r="F1261" s="7" t="s">
        <v>53</v>
      </c>
      <c r="G1261" s="7" t="s">
        <v>25</v>
      </c>
      <c r="H1261">
        <v>3</v>
      </c>
      <c r="I1261">
        <v>8191.72</v>
      </c>
      <c r="J1261">
        <v>0.15</v>
      </c>
      <c r="K1261">
        <v>20888.89</v>
      </c>
      <c r="L1261">
        <v>14959.37</v>
      </c>
      <c r="M1261">
        <v>5929.52</v>
      </c>
      <c r="N1261" s="7" t="s">
        <v>26</v>
      </c>
      <c r="O1261" s="9">
        <f>IFERROR(RawSalesTable_[[#This Row],[Profit]]/RawSalesTable_[[#This Row],[Revenue]],0)</f>
        <v>0.28385998490106468</v>
      </c>
    </row>
    <row r="1262" spans="1:15">
      <c r="A1262" s="7" t="s">
        <v>1409</v>
      </c>
      <c r="B1262" s="8">
        <v>45907</v>
      </c>
      <c r="C1262" s="7" t="s">
        <v>22</v>
      </c>
      <c r="D1262" s="7" t="s">
        <v>35</v>
      </c>
      <c r="E1262" s="7" t="s">
        <v>30</v>
      </c>
      <c r="F1262" s="7" t="s">
        <v>40</v>
      </c>
      <c r="G1262" s="7" t="s">
        <v>32</v>
      </c>
      <c r="H1262">
        <v>4</v>
      </c>
      <c r="I1262">
        <v>25942.68</v>
      </c>
      <c r="J1262">
        <v>0</v>
      </c>
      <c r="K1262">
        <v>103770.72</v>
      </c>
      <c r="L1262">
        <v>64677.83</v>
      </c>
      <c r="M1262">
        <v>39092.89</v>
      </c>
      <c r="N1262" s="7" t="s">
        <v>33</v>
      </c>
      <c r="O1262" s="9">
        <f>IFERROR(RawSalesTable_[[#This Row],[Profit]]/RawSalesTable_[[#This Row],[Revenue]],0)</f>
        <v>0.37672370395040139</v>
      </c>
    </row>
    <row r="1263" spans="1:15">
      <c r="A1263" s="7" t="s">
        <v>1410</v>
      </c>
      <c r="B1263" s="8">
        <v>45704</v>
      </c>
      <c r="C1263" s="7" t="s">
        <v>15</v>
      </c>
      <c r="D1263" s="7" t="s">
        <v>16</v>
      </c>
      <c r="E1263" s="7" t="s">
        <v>17</v>
      </c>
      <c r="F1263" s="7" t="s">
        <v>75</v>
      </c>
      <c r="G1263" s="7" t="s">
        <v>32</v>
      </c>
      <c r="H1263">
        <v>1</v>
      </c>
      <c r="I1263">
        <v>170456.59</v>
      </c>
      <c r="J1263">
        <v>0</v>
      </c>
      <c r="K1263">
        <v>170456.59</v>
      </c>
      <c r="L1263">
        <v>141035.20000000001</v>
      </c>
      <c r="M1263">
        <v>29421.39</v>
      </c>
      <c r="N1263" s="7" t="s">
        <v>59</v>
      </c>
      <c r="O1263" s="9">
        <f>IFERROR(RawSalesTable_[[#This Row],[Profit]]/RawSalesTable_[[#This Row],[Revenue]],0)</f>
        <v>0.17260341767953941</v>
      </c>
    </row>
    <row r="1264" spans="1:15">
      <c r="A1264" s="7" t="s">
        <v>1411</v>
      </c>
      <c r="B1264" s="8">
        <v>45819</v>
      </c>
      <c r="C1264" s="7" t="s">
        <v>22</v>
      </c>
      <c r="D1264" s="7" t="s">
        <v>37</v>
      </c>
      <c r="E1264" s="7" t="s">
        <v>44</v>
      </c>
      <c r="F1264" s="7" t="s">
        <v>45</v>
      </c>
      <c r="G1264" s="7" t="s">
        <v>70</v>
      </c>
      <c r="H1264">
        <v>5</v>
      </c>
      <c r="I1264">
        <v>30053.49</v>
      </c>
      <c r="J1264">
        <v>0.05</v>
      </c>
      <c r="K1264">
        <v>142754.07999999999</v>
      </c>
      <c r="L1264">
        <v>96294.49</v>
      </c>
      <c r="M1264">
        <v>46459.59</v>
      </c>
      <c r="N1264" s="7" t="s">
        <v>20</v>
      </c>
      <c r="O1264" s="9">
        <f>IFERROR(RawSalesTable_[[#This Row],[Profit]]/RawSalesTable_[[#This Row],[Revenue]],0)</f>
        <v>0.32545192403607659</v>
      </c>
    </row>
    <row r="1265" spans="1:15">
      <c r="A1265" s="7" t="s">
        <v>1412</v>
      </c>
      <c r="B1265" s="8">
        <v>45735</v>
      </c>
      <c r="C1265" s="7" t="s">
        <v>28</v>
      </c>
      <c r="D1265" s="7" t="s">
        <v>29</v>
      </c>
      <c r="E1265" s="7" t="s">
        <v>44</v>
      </c>
      <c r="F1265" s="7" t="s">
        <v>69</v>
      </c>
      <c r="G1265" s="7" t="s">
        <v>61</v>
      </c>
      <c r="H1265">
        <v>5</v>
      </c>
      <c r="I1265">
        <v>35577.120000000003</v>
      </c>
      <c r="J1265">
        <v>0.1</v>
      </c>
      <c r="K1265">
        <v>160097.04</v>
      </c>
      <c r="L1265">
        <v>127554.29</v>
      </c>
      <c r="M1265">
        <v>32542.75</v>
      </c>
      <c r="N1265" s="7" t="s">
        <v>20</v>
      </c>
      <c r="O1265" s="9">
        <f>IFERROR(RawSalesTable_[[#This Row],[Profit]]/RawSalesTable_[[#This Row],[Revenue]],0)</f>
        <v>0.20326890490917257</v>
      </c>
    </row>
    <row r="1266" spans="1:15">
      <c r="A1266" s="7" t="s">
        <v>1414</v>
      </c>
      <c r="B1266" s="8">
        <v>45668</v>
      </c>
      <c r="C1266" s="7" t="s">
        <v>28</v>
      </c>
      <c r="D1266" s="7" t="s">
        <v>52</v>
      </c>
      <c r="E1266" s="7" t="s">
        <v>17</v>
      </c>
      <c r="F1266" s="7" t="s">
        <v>24</v>
      </c>
      <c r="G1266" s="7" t="s">
        <v>32</v>
      </c>
      <c r="H1266">
        <v>7</v>
      </c>
      <c r="I1266">
        <v>91599.81</v>
      </c>
      <c r="J1266">
        <v>0.05</v>
      </c>
      <c r="K1266">
        <v>609138.74</v>
      </c>
      <c r="L1266">
        <v>467399.66</v>
      </c>
      <c r="M1266">
        <v>141739.07999999999</v>
      </c>
      <c r="N1266" s="7" t="s">
        <v>20</v>
      </c>
      <c r="O1266" s="9">
        <f>IFERROR(RawSalesTable_[[#This Row],[Profit]]/RawSalesTable_[[#This Row],[Revenue]],0)</f>
        <v>0.23268767965734702</v>
      </c>
    </row>
    <row r="1267" spans="1:15">
      <c r="A1267" s="7" t="s">
        <v>1415</v>
      </c>
      <c r="B1267" s="8">
        <v>45831</v>
      </c>
      <c r="C1267" s="7" t="s">
        <v>15</v>
      </c>
      <c r="D1267" s="7" t="s">
        <v>43</v>
      </c>
      <c r="E1267" s="7" t="s">
        <v>44</v>
      </c>
      <c r="F1267" s="7" t="s">
        <v>53</v>
      </c>
      <c r="G1267" s="7" t="s">
        <v>19</v>
      </c>
      <c r="H1267">
        <v>1</v>
      </c>
      <c r="I1267">
        <v>9139.6</v>
      </c>
      <c r="J1267">
        <v>0.15</v>
      </c>
      <c r="K1267">
        <v>7768.66</v>
      </c>
      <c r="L1267">
        <v>4947.41</v>
      </c>
      <c r="M1267">
        <v>2821.25</v>
      </c>
      <c r="N1267" s="7" t="s">
        <v>59</v>
      </c>
      <c r="O1267" s="9">
        <f>IFERROR(RawSalesTable_[[#This Row],[Profit]]/RawSalesTable_[[#This Row],[Revenue]],0)</f>
        <v>0.36315786763740465</v>
      </c>
    </row>
    <row r="1268" spans="1:15">
      <c r="A1268" s="7" t="s">
        <v>1416</v>
      </c>
      <c r="B1268" s="8">
        <v>46000</v>
      </c>
      <c r="C1268" s="7" t="s">
        <v>22</v>
      </c>
      <c r="D1268" s="7" t="s">
        <v>23</v>
      </c>
      <c r="E1268" s="7" t="s">
        <v>44</v>
      </c>
      <c r="F1268" s="7" t="s">
        <v>69</v>
      </c>
      <c r="G1268" s="7" t="s">
        <v>47</v>
      </c>
      <c r="H1268">
        <v>7</v>
      </c>
      <c r="I1268">
        <v>40533.93</v>
      </c>
      <c r="J1268">
        <v>0</v>
      </c>
      <c r="K1268">
        <v>283737.51</v>
      </c>
      <c r="L1268">
        <v>189189.51</v>
      </c>
      <c r="M1268">
        <v>94548</v>
      </c>
      <c r="N1268" s="7" t="s">
        <v>59</v>
      </c>
      <c r="O1268" s="9">
        <f>IFERROR(RawSalesTable_[[#This Row],[Profit]]/RawSalesTable_[[#This Row],[Revenue]],0)</f>
        <v>0.33322347827751075</v>
      </c>
    </row>
    <row r="1269" spans="1:15">
      <c r="A1269" s="7" t="s">
        <v>1417</v>
      </c>
      <c r="B1269" s="8">
        <v>45744</v>
      </c>
      <c r="C1269" s="7" t="s">
        <v>28</v>
      </c>
      <c r="D1269" s="7" t="s">
        <v>29</v>
      </c>
      <c r="E1269" s="7" t="s">
        <v>17</v>
      </c>
      <c r="F1269" s="7" t="s">
        <v>18</v>
      </c>
      <c r="G1269" s="7" t="s">
        <v>32</v>
      </c>
      <c r="H1269">
        <v>8</v>
      </c>
      <c r="I1269">
        <v>13377.02</v>
      </c>
      <c r="J1269">
        <v>0.1</v>
      </c>
      <c r="K1269">
        <v>96314.54</v>
      </c>
      <c r="L1269">
        <v>65550.259999999995</v>
      </c>
      <c r="M1269">
        <v>30764.28</v>
      </c>
      <c r="N1269" s="7" t="s">
        <v>59</v>
      </c>
      <c r="O1269" s="9">
        <f>IFERROR(RawSalesTable_[[#This Row],[Profit]]/RawSalesTable_[[#This Row],[Revenue]],0)</f>
        <v>0.31941470104098507</v>
      </c>
    </row>
    <row r="1270" spans="1:15">
      <c r="A1270" s="7" t="s">
        <v>1418</v>
      </c>
      <c r="B1270" s="8">
        <v>45780</v>
      </c>
      <c r="C1270" s="7" t="s">
        <v>22</v>
      </c>
      <c r="D1270" s="7" t="s">
        <v>37</v>
      </c>
      <c r="E1270" s="7" t="s">
        <v>30</v>
      </c>
      <c r="F1270" s="7" t="s">
        <v>31</v>
      </c>
      <c r="G1270" s="7" t="s">
        <v>58</v>
      </c>
      <c r="H1270">
        <v>8</v>
      </c>
      <c r="I1270">
        <v>131081.06</v>
      </c>
      <c r="J1270">
        <v>0</v>
      </c>
      <c r="K1270">
        <v>1048648.48</v>
      </c>
      <c r="L1270">
        <v>786701.75</v>
      </c>
      <c r="M1270">
        <v>261946.73</v>
      </c>
      <c r="N1270" s="7" t="s">
        <v>59</v>
      </c>
      <c r="O1270" s="9">
        <f>IFERROR(RawSalesTable_[[#This Row],[Profit]]/RawSalesTable_[[#This Row],[Revenue]],0)</f>
        <v>0.24979460228655462</v>
      </c>
    </row>
    <row r="1271" spans="1:15">
      <c r="A1271" s="7" t="s">
        <v>1419</v>
      </c>
      <c r="B1271" s="8">
        <v>45699</v>
      </c>
      <c r="C1271" s="7" t="s">
        <v>28</v>
      </c>
      <c r="D1271" s="7" t="s">
        <v>56</v>
      </c>
      <c r="E1271" s="7" t="s">
        <v>30</v>
      </c>
      <c r="F1271" s="7" t="s">
        <v>31</v>
      </c>
      <c r="G1271" s="7" t="s">
        <v>32</v>
      </c>
      <c r="H1271">
        <v>5</v>
      </c>
      <c r="I1271">
        <v>140399.95000000001</v>
      </c>
      <c r="J1271">
        <v>0.15</v>
      </c>
      <c r="K1271">
        <v>596699.79</v>
      </c>
      <c r="L1271">
        <v>506043.39</v>
      </c>
      <c r="M1271">
        <v>90656.4</v>
      </c>
      <c r="N1271" s="7" t="s">
        <v>33</v>
      </c>
      <c r="O1271" s="9">
        <f>IFERROR(RawSalesTable_[[#This Row],[Profit]]/RawSalesTable_[[#This Row],[Revenue]],0)</f>
        <v>0.15192966634025459</v>
      </c>
    </row>
    <row r="1272" spans="1:15">
      <c r="A1272" s="7" t="s">
        <v>1420</v>
      </c>
      <c r="B1272" s="8">
        <v>45676</v>
      </c>
      <c r="C1272" s="7" t="s">
        <v>22</v>
      </c>
      <c r="D1272" s="7" t="s">
        <v>37</v>
      </c>
      <c r="E1272" s="7" t="s">
        <v>17</v>
      </c>
      <c r="F1272" s="7" t="s">
        <v>75</v>
      </c>
      <c r="G1272" s="7" t="s">
        <v>58</v>
      </c>
      <c r="H1272">
        <v>5</v>
      </c>
      <c r="I1272">
        <v>181467.87</v>
      </c>
      <c r="J1272">
        <v>0.05</v>
      </c>
      <c r="K1272">
        <v>861972.38</v>
      </c>
      <c r="L1272">
        <v>707586.84</v>
      </c>
      <c r="M1272">
        <v>154385.54</v>
      </c>
      <c r="N1272" s="7" t="s">
        <v>20</v>
      </c>
      <c r="O1272" s="9">
        <f>IFERROR(RawSalesTable_[[#This Row],[Profit]]/RawSalesTable_[[#This Row],[Revenue]],0)</f>
        <v>0.17910729343787096</v>
      </c>
    </row>
    <row r="1273" spans="1:15">
      <c r="A1273" s="7" t="s">
        <v>1421</v>
      </c>
      <c r="B1273" s="8">
        <v>45940</v>
      </c>
      <c r="C1273" s="7" t="s">
        <v>28</v>
      </c>
      <c r="D1273" s="7" t="s">
        <v>56</v>
      </c>
      <c r="E1273" s="7" t="s">
        <v>49</v>
      </c>
      <c r="F1273" s="7" t="s">
        <v>107</v>
      </c>
      <c r="G1273" s="7" t="s">
        <v>47</v>
      </c>
      <c r="H1273">
        <v>6</v>
      </c>
      <c r="I1273">
        <v>4894.1099999999997</v>
      </c>
      <c r="J1273">
        <v>0.05</v>
      </c>
      <c r="K1273">
        <v>27896.43</v>
      </c>
      <c r="L1273">
        <v>16529.48</v>
      </c>
      <c r="M1273">
        <v>11366.95</v>
      </c>
      <c r="N1273" s="7" t="s">
        <v>20</v>
      </c>
      <c r="O1273" s="9">
        <f>IFERROR(RawSalesTable_[[#This Row],[Profit]]/RawSalesTable_[[#This Row],[Revenue]],0)</f>
        <v>0.40746970132020477</v>
      </c>
    </row>
    <row r="1274" spans="1:15">
      <c r="A1274" s="7" t="s">
        <v>1422</v>
      </c>
      <c r="B1274" s="8">
        <v>45716</v>
      </c>
      <c r="C1274" s="7" t="s">
        <v>28</v>
      </c>
      <c r="D1274" s="7" t="s">
        <v>56</v>
      </c>
      <c r="E1274" s="7" t="s">
        <v>17</v>
      </c>
      <c r="F1274" s="7" t="s">
        <v>114</v>
      </c>
      <c r="G1274" s="7" t="s">
        <v>64</v>
      </c>
      <c r="H1274">
        <v>2</v>
      </c>
      <c r="I1274">
        <v>54541.55</v>
      </c>
      <c r="J1274">
        <v>0.05</v>
      </c>
      <c r="K1274">
        <v>103628.95</v>
      </c>
      <c r="L1274">
        <v>75212.160000000003</v>
      </c>
      <c r="M1274">
        <v>28416.79</v>
      </c>
      <c r="N1274" s="7" t="s">
        <v>26</v>
      </c>
      <c r="O1274" s="9">
        <f>IFERROR(RawSalesTable_[[#This Row],[Profit]]/RawSalesTable_[[#This Row],[Revenue]],0)</f>
        <v>0.2742167126078186</v>
      </c>
    </row>
    <row r="1275" spans="1:15">
      <c r="A1275" s="7" t="s">
        <v>1423</v>
      </c>
      <c r="B1275" s="8">
        <v>45702</v>
      </c>
      <c r="C1275" s="7" t="s">
        <v>22</v>
      </c>
      <c r="D1275" s="7" t="s">
        <v>23</v>
      </c>
      <c r="E1275" s="7" t="s">
        <v>17</v>
      </c>
      <c r="F1275" s="7" t="s">
        <v>24</v>
      </c>
      <c r="G1275" s="7" t="s">
        <v>19</v>
      </c>
      <c r="H1275">
        <v>6</v>
      </c>
      <c r="I1275">
        <v>85596.2</v>
      </c>
      <c r="J1275">
        <v>0.1</v>
      </c>
      <c r="K1275">
        <v>462219.48</v>
      </c>
      <c r="L1275">
        <v>418649.61</v>
      </c>
      <c r="M1275">
        <v>43569.87</v>
      </c>
      <c r="N1275" s="7" t="s">
        <v>33</v>
      </c>
      <c r="O1275" s="9">
        <f>IFERROR(RawSalesTable_[[#This Row],[Profit]]/RawSalesTable_[[#This Row],[Revenue]],0)</f>
        <v>9.4262297209974796E-2</v>
      </c>
    </row>
    <row r="1276" spans="1:15">
      <c r="A1276" s="7" t="s">
        <v>1424</v>
      </c>
      <c r="B1276" s="8">
        <v>45827</v>
      </c>
      <c r="C1276" s="7" t="s">
        <v>15</v>
      </c>
      <c r="D1276" s="7" t="s">
        <v>16</v>
      </c>
      <c r="E1276" s="7" t="s">
        <v>30</v>
      </c>
      <c r="F1276" s="7" t="s">
        <v>31</v>
      </c>
      <c r="G1276" s="7" t="s">
        <v>19</v>
      </c>
      <c r="H1276">
        <v>3</v>
      </c>
      <c r="I1276">
        <v>136787.51</v>
      </c>
      <c r="J1276">
        <v>0.05</v>
      </c>
      <c r="K1276">
        <v>389844.4</v>
      </c>
      <c r="L1276">
        <v>307293.57</v>
      </c>
      <c r="M1276">
        <v>82550.83</v>
      </c>
      <c r="N1276" s="7" t="s">
        <v>33</v>
      </c>
      <c r="O1276" s="9">
        <f>IFERROR(RawSalesTable_[[#This Row],[Profit]]/RawSalesTable_[[#This Row],[Revenue]],0)</f>
        <v>0.21175327900054483</v>
      </c>
    </row>
    <row r="1277" spans="1:15">
      <c r="A1277" s="7" t="s">
        <v>1425</v>
      </c>
      <c r="B1277" s="8">
        <v>45659</v>
      </c>
      <c r="C1277" s="7" t="s">
        <v>22</v>
      </c>
      <c r="D1277" s="7" t="s">
        <v>37</v>
      </c>
      <c r="E1277" s="7" t="s">
        <v>44</v>
      </c>
      <c r="F1277" s="7" t="s">
        <v>45</v>
      </c>
      <c r="G1277" s="7" t="s">
        <v>25</v>
      </c>
      <c r="H1277">
        <v>2</v>
      </c>
      <c r="I1277">
        <v>27066.22</v>
      </c>
      <c r="J1277">
        <v>0.15</v>
      </c>
      <c r="K1277">
        <v>46012.57</v>
      </c>
      <c r="L1277">
        <v>39390.699999999997</v>
      </c>
      <c r="M1277">
        <v>6621.87</v>
      </c>
      <c r="N1277" s="7" t="s">
        <v>26</v>
      </c>
      <c r="O1277" s="9">
        <f>IFERROR(RawSalesTable_[[#This Row],[Profit]]/RawSalesTable_[[#This Row],[Revenue]],0)</f>
        <v>0.14391436948642511</v>
      </c>
    </row>
    <row r="1278" spans="1:15">
      <c r="A1278" s="7" t="s">
        <v>1426</v>
      </c>
      <c r="B1278" s="8">
        <v>45759</v>
      </c>
      <c r="C1278" s="7" t="s">
        <v>22</v>
      </c>
      <c r="D1278" s="7" t="s">
        <v>23</v>
      </c>
      <c r="E1278" s="7" t="s">
        <v>17</v>
      </c>
      <c r="F1278" s="7" t="s">
        <v>114</v>
      </c>
      <c r="G1278" s="7" t="s">
        <v>70</v>
      </c>
      <c r="H1278">
        <v>6</v>
      </c>
      <c r="I1278">
        <v>53043.76</v>
      </c>
      <c r="J1278">
        <v>0</v>
      </c>
      <c r="K1278">
        <v>318262.56</v>
      </c>
      <c r="L1278">
        <v>219727.76</v>
      </c>
      <c r="M1278">
        <v>98534.8</v>
      </c>
      <c r="N1278" s="7" t="s">
        <v>26</v>
      </c>
      <c r="O1278" s="9">
        <f>IFERROR(RawSalesTable_[[#This Row],[Profit]]/RawSalesTable_[[#This Row],[Revenue]],0)</f>
        <v>0.30960223533676096</v>
      </c>
    </row>
    <row r="1279" spans="1:15">
      <c r="A1279" s="7" t="s">
        <v>1427</v>
      </c>
      <c r="B1279" s="8">
        <v>45759</v>
      </c>
      <c r="C1279" s="7" t="s">
        <v>28</v>
      </c>
      <c r="D1279" s="7" t="s">
        <v>56</v>
      </c>
      <c r="E1279" s="7" t="s">
        <v>17</v>
      </c>
      <c r="F1279" s="7" t="s">
        <v>114</v>
      </c>
      <c r="G1279" s="7" t="s">
        <v>58</v>
      </c>
      <c r="H1279">
        <v>3</v>
      </c>
      <c r="I1279">
        <v>52063.1</v>
      </c>
      <c r="J1279">
        <v>0</v>
      </c>
      <c r="K1279">
        <v>156189.29999999999</v>
      </c>
      <c r="L1279">
        <v>107562.9</v>
      </c>
      <c r="M1279">
        <v>48626.400000000001</v>
      </c>
      <c r="N1279" s="7" t="s">
        <v>26</v>
      </c>
      <c r="O1279" s="9">
        <f>IFERROR(RawSalesTable_[[#This Row],[Profit]]/RawSalesTable_[[#This Row],[Revenue]],0)</f>
        <v>0.311329905441666</v>
      </c>
    </row>
    <row r="1280" spans="1:15">
      <c r="A1280" s="7" t="s">
        <v>1428</v>
      </c>
      <c r="B1280" s="8">
        <v>45774</v>
      </c>
      <c r="C1280" s="7" t="s">
        <v>15</v>
      </c>
      <c r="D1280" s="7" t="s">
        <v>43</v>
      </c>
      <c r="E1280" s="7" t="s">
        <v>44</v>
      </c>
      <c r="F1280" s="7" t="s">
        <v>80</v>
      </c>
      <c r="G1280" s="7" t="s">
        <v>61</v>
      </c>
      <c r="H1280">
        <v>2</v>
      </c>
      <c r="I1280">
        <v>40854.81</v>
      </c>
      <c r="J1280">
        <v>0.05</v>
      </c>
      <c r="K1280">
        <v>77624.14</v>
      </c>
      <c r="L1280">
        <v>63422.28</v>
      </c>
      <c r="M1280">
        <v>14201.86</v>
      </c>
      <c r="N1280" s="7" t="s">
        <v>20</v>
      </c>
      <c r="O1280" s="9">
        <f>IFERROR(RawSalesTable_[[#This Row],[Profit]]/RawSalesTable_[[#This Row],[Revenue]],0)</f>
        <v>0.18295674515685456</v>
      </c>
    </row>
    <row r="1281" spans="1:15">
      <c r="A1281" s="7" t="s">
        <v>1429</v>
      </c>
      <c r="B1281" s="8">
        <v>45781</v>
      </c>
      <c r="C1281" s="7" t="s">
        <v>15</v>
      </c>
      <c r="D1281" s="7" t="s">
        <v>43</v>
      </c>
      <c r="E1281" s="7" t="s">
        <v>30</v>
      </c>
      <c r="F1281" s="7" t="s">
        <v>40</v>
      </c>
      <c r="G1281" s="7" t="s">
        <v>64</v>
      </c>
      <c r="H1281">
        <v>5</v>
      </c>
      <c r="I1281">
        <v>23395.57</v>
      </c>
      <c r="J1281">
        <v>0.05</v>
      </c>
      <c r="K1281">
        <v>111128.96000000001</v>
      </c>
      <c r="L1281">
        <v>81189.31</v>
      </c>
      <c r="M1281">
        <v>29939.65</v>
      </c>
      <c r="N1281" s="7" t="s">
        <v>59</v>
      </c>
      <c r="O1281" s="9">
        <f>IFERROR(RawSalesTable_[[#This Row],[Profit]]/RawSalesTable_[[#This Row],[Revenue]],0)</f>
        <v>0.26941357140388966</v>
      </c>
    </row>
    <row r="1282" spans="1:15">
      <c r="A1282" s="7" t="s">
        <v>1430</v>
      </c>
      <c r="B1282" s="8">
        <v>45878</v>
      </c>
      <c r="C1282" s="7" t="s">
        <v>28</v>
      </c>
      <c r="D1282" s="7" t="s">
        <v>52</v>
      </c>
      <c r="E1282" s="7" t="s">
        <v>17</v>
      </c>
      <c r="F1282" s="7" t="s">
        <v>75</v>
      </c>
      <c r="G1282" s="7" t="s">
        <v>19</v>
      </c>
      <c r="H1282">
        <v>2</v>
      </c>
      <c r="I1282">
        <v>184820.12</v>
      </c>
      <c r="J1282">
        <v>0.15</v>
      </c>
      <c r="K1282">
        <v>314194.2</v>
      </c>
      <c r="L1282">
        <v>276680.83</v>
      </c>
      <c r="M1282">
        <v>37513.370000000003</v>
      </c>
      <c r="N1282" s="7" t="s">
        <v>20</v>
      </c>
      <c r="O1282" s="9">
        <f>IFERROR(RawSalesTable_[[#This Row],[Profit]]/RawSalesTable_[[#This Row],[Revenue]],0)</f>
        <v>0.11939548852270347</v>
      </c>
    </row>
    <row r="1283" spans="1:15">
      <c r="A1283" s="7" t="s">
        <v>1431</v>
      </c>
      <c r="B1283" s="8">
        <v>45691</v>
      </c>
      <c r="C1283" s="7" t="s">
        <v>22</v>
      </c>
      <c r="D1283" s="7" t="s">
        <v>37</v>
      </c>
      <c r="E1283" s="7" t="s">
        <v>17</v>
      </c>
      <c r="F1283" s="7" t="s">
        <v>18</v>
      </c>
      <c r="G1283" s="7" t="s">
        <v>58</v>
      </c>
      <c r="H1283">
        <v>6</v>
      </c>
      <c r="I1283">
        <v>14959.54</v>
      </c>
      <c r="J1283">
        <v>0.1</v>
      </c>
      <c r="K1283">
        <v>80781.52</v>
      </c>
      <c r="L1283">
        <v>50059.71</v>
      </c>
      <c r="M1283">
        <v>30721.81</v>
      </c>
      <c r="N1283" s="7" t="s">
        <v>59</v>
      </c>
      <c r="O1283" s="9">
        <f>IFERROR(RawSalesTable_[[#This Row],[Profit]]/RawSalesTable_[[#This Row],[Revenue]],0)</f>
        <v>0.3803074019899601</v>
      </c>
    </row>
    <row r="1284" spans="1:15">
      <c r="A1284" s="7" t="s">
        <v>1432</v>
      </c>
      <c r="B1284" s="8">
        <v>45755</v>
      </c>
      <c r="C1284" s="7" t="s">
        <v>28</v>
      </c>
      <c r="D1284" s="7" t="s">
        <v>56</v>
      </c>
      <c r="E1284" s="7" t="s">
        <v>49</v>
      </c>
      <c r="F1284" s="7" t="s">
        <v>57</v>
      </c>
      <c r="G1284" s="7" t="s">
        <v>47</v>
      </c>
      <c r="H1284">
        <v>8</v>
      </c>
      <c r="I1284">
        <v>11132.45</v>
      </c>
      <c r="J1284">
        <v>0.05</v>
      </c>
      <c r="K1284">
        <v>84606.62</v>
      </c>
      <c r="L1284">
        <v>51581.05</v>
      </c>
      <c r="M1284">
        <v>33025.57</v>
      </c>
      <c r="N1284" s="7" t="s">
        <v>26</v>
      </c>
      <c r="O1284" s="9">
        <f>IFERROR(RawSalesTable_[[#This Row],[Profit]]/RawSalesTable_[[#This Row],[Revenue]],0)</f>
        <v>0.39034262330772701</v>
      </c>
    </row>
    <row r="1285" spans="1:15">
      <c r="A1285" s="7" t="s">
        <v>1433</v>
      </c>
      <c r="B1285" s="8">
        <v>45864</v>
      </c>
      <c r="C1285" s="7" t="s">
        <v>22</v>
      </c>
      <c r="D1285" s="7" t="s">
        <v>37</v>
      </c>
      <c r="E1285" s="7" t="s">
        <v>30</v>
      </c>
      <c r="F1285" s="7" t="s">
        <v>40</v>
      </c>
      <c r="G1285" s="7" t="s">
        <v>70</v>
      </c>
      <c r="H1285">
        <v>8</v>
      </c>
      <c r="I1285">
        <v>25989.5</v>
      </c>
      <c r="J1285">
        <v>0.05</v>
      </c>
      <c r="K1285">
        <v>197520.2</v>
      </c>
      <c r="L1285">
        <v>130778.65</v>
      </c>
      <c r="M1285">
        <v>66741.55</v>
      </c>
      <c r="N1285" s="7" t="s">
        <v>20</v>
      </c>
      <c r="O1285" s="9">
        <f>IFERROR(RawSalesTable_[[#This Row],[Profit]]/RawSalesTable_[[#This Row],[Revenue]],0)</f>
        <v>0.33789733910759506</v>
      </c>
    </row>
    <row r="1286" spans="1:15">
      <c r="A1286" s="7" t="s">
        <v>1434</v>
      </c>
      <c r="B1286" s="8">
        <v>45853</v>
      </c>
      <c r="C1286" s="7" t="s">
        <v>28</v>
      </c>
      <c r="D1286" s="7" t="s">
        <v>52</v>
      </c>
      <c r="E1286" s="7" t="s">
        <v>44</v>
      </c>
      <c r="F1286" s="7" t="s">
        <v>53</v>
      </c>
      <c r="G1286" s="7" t="s">
        <v>61</v>
      </c>
      <c r="H1286">
        <v>7</v>
      </c>
      <c r="I1286">
        <v>9111.5</v>
      </c>
      <c r="J1286">
        <v>0</v>
      </c>
      <c r="K1286">
        <v>63780.5</v>
      </c>
      <c r="L1286">
        <v>35163.620000000003</v>
      </c>
      <c r="M1286">
        <v>28616.880000000001</v>
      </c>
      <c r="N1286" s="7" t="s">
        <v>20</v>
      </c>
      <c r="O1286" s="9">
        <f>IFERROR(RawSalesTable_[[#This Row],[Profit]]/RawSalesTable_[[#This Row],[Revenue]],0)</f>
        <v>0.44867757386662072</v>
      </c>
    </row>
    <row r="1287" spans="1:15">
      <c r="A1287" s="7" t="s">
        <v>1435</v>
      </c>
      <c r="B1287" s="8">
        <v>45666</v>
      </c>
      <c r="C1287" s="7" t="s">
        <v>28</v>
      </c>
      <c r="D1287" s="7" t="s">
        <v>52</v>
      </c>
      <c r="E1287" s="7" t="s">
        <v>49</v>
      </c>
      <c r="F1287" s="7" t="s">
        <v>1590</v>
      </c>
      <c r="G1287" s="7" t="s">
        <v>25</v>
      </c>
      <c r="H1287">
        <v>3</v>
      </c>
      <c r="I1287">
        <v>4262.45</v>
      </c>
      <c r="J1287">
        <v>0</v>
      </c>
      <c r="K1287">
        <v>12787.35</v>
      </c>
      <c r="L1287">
        <v>6206.69</v>
      </c>
      <c r="M1287">
        <v>6580.66</v>
      </c>
      <c r="N1287" s="7" t="s">
        <v>20</v>
      </c>
      <c r="O1287" s="9">
        <f>IFERROR(RawSalesTable_[[#This Row],[Profit]]/RawSalesTable_[[#This Row],[Revenue]],0)</f>
        <v>0.51462265442018873</v>
      </c>
    </row>
    <row r="1288" spans="1:15">
      <c r="A1288" s="7" t="s">
        <v>1436</v>
      </c>
      <c r="B1288" s="8">
        <v>45939</v>
      </c>
      <c r="C1288" s="7" t="s">
        <v>22</v>
      </c>
      <c r="D1288" s="7" t="s">
        <v>35</v>
      </c>
      <c r="E1288" s="7" t="s">
        <v>30</v>
      </c>
      <c r="F1288" s="7" t="s">
        <v>86</v>
      </c>
      <c r="G1288" s="7" t="s">
        <v>58</v>
      </c>
      <c r="H1288">
        <v>1</v>
      </c>
      <c r="I1288">
        <v>32985.86</v>
      </c>
      <c r="J1288">
        <v>0</v>
      </c>
      <c r="K1288">
        <v>32985.86</v>
      </c>
      <c r="L1288">
        <v>22303.05</v>
      </c>
      <c r="M1288">
        <v>10682.81</v>
      </c>
      <c r="N1288" s="7" t="s">
        <v>26</v>
      </c>
      <c r="O1288" s="9">
        <f>IFERROR(RawSalesTable_[[#This Row],[Profit]]/RawSalesTable_[[#This Row],[Revenue]],0)</f>
        <v>0.32386028437639641</v>
      </c>
    </row>
    <row r="1289" spans="1:15">
      <c r="A1289" s="7" t="s">
        <v>1437</v>
      </c>
      <c r="B1289" s="8">
        <v>45998</v>
      </c>
      <c r="C1289" s="7" t="s">
        <v>22</v>
      </c>
      <c r="D1289" s="7" t="s">
        <v>35</v>
      </c>
      <c r="E1289" s="7" t="s">
        <v>49</v>
      </c>
      <c r="F1289" s="7" t="s">
        <v>107</v>
      </c>
      <c r="G1289" s="7" t="s">
        <v>64</v>
      </c>
      <c r="H1289">
        <v>7</v>
      </c>
      <c r="I1289">
        <v>5572.18</v>
      </c>
      <c r="J1289">
        <v>0</v>
      </c>
      <c r="K1289">
        <v>39005.26</v>
      </c>
      <c r="L1289">
        <v>18977.75</v>
      </c>
      <c r="M1289">
        <v>20027.509999999998</v>
      </c>
      <c r="N1289" s="7" t="s">
        <v>59</v>
      </c>
      <c r="O1289" s="9">
        <f>IFERROR(RawSalesTable_[[#This Row],[Profit]]/RawSalesTable_[[#This Row],[Revenue]],0)</f>
        <v>0.51345664661637935</v>
      </c>
    </row>
    <row r="1290" spans="1:15">
      <c r="A1290" s="7" t="s">
        <v>1438</v>
      </c>
      <c r="B1290" s="8">
        <v>45768</v>
      </c>
      <c r="C1290" s="7" t="s">
        <v>22</v>
      </c>
      <c r="D1290" s="7" t="s">
        <v>23</v>
      </c>
      <c r="E1290" s="7" t="s">
        <v>30</v>
      </c>
      <c r="F1290" s="7" t="s">
        <v>40</v>
      </c>
      <c r="G1290" s="7" t="s">
        <v>25</v>
      </c>
      <c r="H1290">
        <v>5</v>
      </c>
      <c r="I1290">
        <v>23094.59</v>
      </c>
      <c r="J1290">
        <v>0.1</v>
      </c>
      <c r="K1290">
        <v>103925.65</v>
      </c>
      <c r="L1290">
        <v>81846.66</v>
      </c>
      <c r="M1290">
        <v>22078.99</v>
      </c>
      <c r="N1290" s="7" t="s">
        <v>20</v>
      </c>
      <c r="O1290" s="9">
        <f>IFERROR(RawSalesTable_[[#This Row],[Profit]]/RawSalesTable_[[#This Row],[Revenue]],0)</f>
        <v>0.21244986199268423</v>
      </c>
    </row>
    <row r="1291" spans="1:15">
      <c r="A1291" s="7" t="s">
        <v>1439</v>
      </c>
      <c r="B1291" s="8">
        <v>45964</v>
      </c>
      <c r="C1291" s="7" t="s">
        <v>22</v>
      </c>
      <c r="D1291" s="7" t="s">
        <v>35</v>
      </c>
      <c r="E1291" s="7" t="s">
        <v>44</v>
      </c>
      <c r="F1291" s="7" t="s">
        <v>69</v>
      </c>
      <c r="G1291" s="7" t="s">
        <v>61</v>
      </c>
      <c r="H1291">
        <v>5</v>
      </c>
      <c r="I1291">
        <v>39119.07</v>
      </c>
      <c r="J1291">
        <v>0.05</v>
      </c>
      <c r="K1291">
        <v>185815.58</v>
      </c>
      <c r="L1291">
        <v>131665.79999999999</v>
      </c>
      <c r="M1291">
        <v>54149.78</v>
      </c>
      <c r="N1291" s="7" t="s">
        <v>59</v>
      </c>
      <c r="O1291" s="9">
        <f>IFERROR(RawSalesTable_[[#This Row],[Profit]]/RawSalesTable_[[#This Row],[Revenue]],0)</f>
        <v>0.29141679077717814</v>
      </c>
    </row>
    <row r="1292" spans="1:15">
      <c r="A1292" s="7" t="s">
        <v>1440</v>
      </c>
      <c r="B1292" s="8">
        <v>45886</v>
      </c>
      <c r="C1292" s="7" t="s">
        <v>28</v>
      </c>
      <c r="D1292" s="7" t="s">
        <v>29</v>
      </c>
      <c r="E1292" s="7" t="s">
        <v>30</v>
      </c>
      <c r="F1292" s="7" t="s">
        <v>86</v>
      </c>
      <c r="G1292" s="7" t="s">
        <v>32</v>
      </c>
      <c r="H1292">
        <v>6</v>
      </c>
      <c r="I1292">
        <v>33344.93</v>
      </c>
      <c r="J1292">
        <v>0.05</v>
      </c>
      <c r="K1292">
        <v>190066.1</v>
      </c>
      <c r="L1292">
        <v>131546.53</v>
      </c>
      <c r="M1292">
        <v>58519.57</v>
      </c>
      <c r="N1292" s="7" t="s">
        <v>20</v>
      </c>
      <c r="O1292" s="9">
        <f>IFERROR(RawSalesTable_[[#This Row],[Profit]]/RawSalesTable_[[#This Row],[Revenue]],0)</f>
        <v>0.30789062331473105</v>
      </c>
    </row>
    <row r="1293" spans="1:15">
      <c r="A1293" s="7" t="s">
        <v>1441</v>
      </c>
      <c r="B1293" s="8">
        <v>45942</v>
      </c>
      <c r="C1293" s="7" t="s">
        <v>22</v>
      </c>
      <c r="D1293" s="7" t="s">
        <v>23</v>
      </c>
      <c r="E1293" s="7" t="s">
        <v>30</v>
      </c>
      <c r="F1293" s="7" t="s">
        <v>86</v>
      </c>
      <c r="G1293" s="7" t="s">
        <v>32</v>
      </c>
      <c r="H1293">
        <v>6</v>
      </c>
      <c r="I1293">
        <v>33706.839999999997</v>
      </c>
      <c r="J1293">
        <v>0.05</v>
      </c>
      <c r="K1293">
        <v>192128.99</v>
      </c>
      <c r="L1293">
        <v>138385.32</v>
      </c>
      <c r="M1293">
        <v>53743.67</v>
      </c>
      <c r="N1293" s="7" t="s">
        <v>59</v>
      </c>
      <c r="O1293" s="9">
        <f>IFERROR(RawSalesTable_[[#This Row],[Profit]]/RawSalesTable_[[#This Row],[Revenue]],0)</f>
        <v>0.27972702089361945</v>
      </c>
    </row>
    <row r="1294" spans="1:15">
      <c r="A1294" s="7" t="s">
        <v>1442</v>
      </c>
      <c r="B1294" s="8">
        <v>45785</v>
      </c>
      <c r="C1294" s="7" t="s">
        <v>15</v>
      </c>
      <c r="D1294" s="7" t="s">
        <v>16</v>
      </c>
      <c r="E1294" s="7" t="s">
        <v>44</v>
      </c>
      <c r="F1294" s="7" t="s">
        <v>69</v>
      </c>
      <c r="G1294" s="7" t="s">
        <v>70</v>
      </c>
      <c r="H1294">
        <v>4</v>
      </c>
      <c r="I1294">
        <v>39265.279999999999</v>
      </c>
      <c r="J1294">
        <v>0.1</v>
      </c>
      <c r="K1294">
        <v>141355.01</v>
      </c>
      <c r="L1294">
        <v>102605.49</v>
      </c>
      <c r="M1294">
        <v>38749.519999999997</v>
      </c>
      <c r="N1294" s="7" t="s">
        <v>20</v>
      </c>
      <c r="O1294" s="9">
        <f>IFERROR(RawSalesTable_[[#This Row],[Profit]]/RawSalesTable_[[#This Row],[Revenue]],0)</f>
        <v>0.274129088173104</v>
      </c>
    </row>
    <row r="1295" spans="1:15">
      <c r="A1295" s="7" t="s">
        <v>1443</v>
      </c>
      <c r="B1295" s="8">
        <v>45894</v>
      </c>
      <c r="C1295" s="7" t="s">
        <v>22</v>
      </c>
      <c r="D1295" s="7" t="s">
        <v>35</v>
      </c>
      <c r="E1295" s="7" t="s">
        <v>17</v>
      </c>
      <c r="F1295" s="7" t="s">
        <v>114</v>
      </c>
      <c r="G1295" s="7" t="s">
        <v>58</v>
      </c>
      <c r="H1295">
        <v>3</v>
      </c>
      <c r="I1295">
        <v>53028.41</v>
      </c>
      <c r="J1295">
        <v>0</v>
      </c>
      <c r="K1295">
        <v>159085.23000000001</v>
      </c>
      <c r="L1295">
        <v>110271.59</v>
      </c>
      <c r="M1295">
        <v>48813.64</v>
      </c>
      <c r="N1295" s="7" t="s">
        <v>33</v>
      </c>
      <c r="O1295" s="9">
        <f>IFERROR(RawSalesTable_[[#This Row],[Profit]]/RawSalesTable_[[#This Row],[Revenue]],0)</f>
        <v>0.3068395475808785</v>
      </c>
    </row>
    <row r="1296" spans="1:15">
      <c r="A1296" s="7" t="s">
        <v>1444</v>
      </c>
      <c r="B1296" s="8">
        <v>45772</v>
      </c>
      <c r="C1296" s="7" t="s">
        <v>28</v>
      </c>
      <c r="D1296" s="7" t="s">
        <v>56</v>
      </c>
      <c r="E1296" s="7" t="s">
        <v>44</v>
      </c>
      <c r="F1296" s="7" t="s">
        <v>69</v>
      </c>
      <c r="G1296" s="7" t="s">
        <v>64</v>
      </c>
      <c r="H1296">
        <v>3</v>
      </c>
      <c r="I1296">
        <v>37171.800000000003</v>
      </c>
      <c r="J1296">
        <v>0</v>
      </c>
      <c r="K1296">
        <v>111515.4</v>
      </c>
      <c r="L1296">
        <v>78246.66</v>
      </c>
      <c r="M1296">
        <v>33268.74</v>
      </c>
      <c r="N1296" s="7" t="s">
        <v>59</v>
      </c>
      <c r="O1296" s="9">
        <f>IFERROR(RawSalesTable_[[#This Row],[Profit]]/RawSalesTable_[[#This Row],[Revenue]],0)</f>
        <v>0.29833314501853553</v>
      </c>
    </row>
    <row r="1297" spans="1:15">
      <c r="A1297" s="7" t="s">
        <v>1445</v>
      </c>
      <c r="B1297" s="8">
        <v>45967</v>
      </c>
      <c r="C1297" s="7" t="s">
        <v>28</v>
      </c>
      <c r="D1297" s="7" t="s">
        <v>29</v>
      </c>
      <c r="E1297" s="7" t="s">
        <v>49</v>
      </c>
      <c r="F1297" s="7" t="s">
        <v>1590</v>
      </c>
      <c r="G1297" s="7" t="s">
        <v>47</v>
      </c>
      <c r="H1297">
        <v>5</v>
      </c>
      <c r="I1297">
        <v>4506.88</v>
      </c>
      <c r="J1297">
        <v>0.05</v>
      </c>
      <c r="K1297">
        <v>21407.68</v>
      </c>
      <c r="L1297">
        <v>10909.18</v>
      </c>
      <c r="M1297">
        <v>10498.5</v>
      </c>
      <c r="N1297" s="7" t="s">
        <v>26</v>
      </c>
      <c r="O1297" s="9">
        <f>IFERROR(RawSalesTable_[[#This Row],[Profit]]/RawSalesTable_[[#This Row],[Revenue]],0)</f>
        <v>0.49040811521846367</v>
      </c>
    </row>
    <row r="1298" spans="1:15">
      <c r="A1298" s="7" t="s">
        <v>1446</v>
      </c>
      <c r="B1298" s="8">
        <v>45916</v>
      </c>
      <c r="C1298" s="7" t="s">
        <v>15</v>
      </c>
      <c r="D1298" s="7" t="s">
        <v>43</v>
      </c>
      <c r="E1298" s="7" t="s">
        <v>17</v>
      </c>
      <c r="F1298" s="7" t="s">
        <v>18</v>
      </c>
      <c r="G1298" s="7" t="s">
        <v>58</v>
      </c>
      <c r="H1298">
        <v>1</v>
      </c>
      <c r="I1298">
        <v>15046.35</v>
      </c>
      <c r="J1298">
        <v>0</v>
      </c>
      <c r="K1298">
        <v>15046.35</v>
      </c>
      <c r="L1298">
        <v>8254.49</v>
      </c>
      <c r="M1298">
        <v>6791.86</v>
      </c>
      <c r="N1298" s="7" t="s">
        <v>26</v>
      </c>
      <c r="O1298" s="9">
        <f>IFERROR(RawSalesTable_[[#This Row],[Profit]]/RawSalesTable_[[#This Row],[Revenue]],0)</f>
        <v>0.45139585347941524</v>
      </c>
    </row>
    <row r="1299" spans="1:15">
      <c r="A1299" s="7" t="s">
        <v>1447</v>
      </c>
      <c r="B1299" s="8">
        <v>45991</v>
      </c>
      <c r="C1299" s="7" t="s">
        <v>28</v>
      </c>
      <c r="D1299" s="7" t="s">
        <v>56</v>
      </c>
      <c r="E1299" s="7" t="s">
        <v>17</v>
      </c>
      <c r="F1299" s="7" t="s">
        <v>18</v>
      </c>
      <c r="G1299" s="7" t="s">
        <v>25</v>
      </c>
      <c r="H1299">
        <v>5</v>
      </c>
      <c r="I1299">
        <v>13813.84</v>
      </c>
      <c r="J1299">
        <v>0.05</v>
      </c>
      <c r="K1299">
        <v>65615.740000000005</v>
      </c>
      <c r="L1299">
        <v>39842.559999999998</v>
      </c>
      <c r="M1299">
        <v>25773.18</v>
      </c>
      <c r="N1299" s="7" t="s">
        <v>33</v>
      </c>
      <c r="O1299" s="9">
        <f>IFERROR(RawSalesTable_[[#This Row],[Profit]]/RawSalesTable_[[#This Row],[Revenue]],0)</f>
        <v>0.39278959591098112</v>
      </c>
    </row>
    <row r="1300" spans="1:15">
      <c r="A1300" s="7" t="s">
        <v>1448</v>
      </c>
      <c r="B1300" s="8">
        <v>45818</v>
      </c>
      <c r="C1300" s="7" t="s">
        <v>28</v>
      </c>
      <c r="D1300" s="7" t="s">
        <v>56</v>
      </c>
      <c r="E1300" s="7" t="s">
        <v>44</v>
      </c>
      <c r="F1300" s="7" t="s">
        <v>53</v>
      </c>
      <c r="G1300" s="7" t="s">
        <v>19</v>
      </c>
      <c r="H1300">
        <v>7</v>
      </c>
      <c r="I1300">
        <v>8575.16</v>
      </c>
      <c r="J1300">
        <v>0.1</v>
      </c>
      <c r="K1300">
        <v>54023.51</v>
      </c>
      <c r="L1300">
        <v>34337.379999999997</v>
      </c>
      <c r="M1300">
        <v>19686.13</v>
      </c>
      <c r="N1300" s="7" t="s">
        <v>59</v>
      </c>
      <c r="O1300" s="9">
        <f>IFERROR(RawSalesTable_[[#This Row],[Profit]]/RawSalesTable_[[#This Row],[Revenue]],0)</f>
        <v>0.36439931429853412</v>
      </c>
    </row>
    <row r="1301" spans="1:15">
      <c r="A1301" s="7" t="s">
        <v>1449</v>
      </c>
      <c r="B1301" s="8">
        <v>45666</v>
      </c>
      <c r="C1301" s="7" t="s">
        <v>28</v>
      </c>
      <c r="D1301" s="7" t="s">
        <v>56</v>
      </c>
      <c r="E1301" s="7" t="s">
        <v>44</v>
      </c>
      <c r="F1301" s="7" t="s">
        <v>53</v>
      </c>
      <c r="G1301" s="7" t="s">
        <v>19</v>
      </c>
      <c r="H1301">
        <v>5</v>
      </c>
      <c r="I1301">
        <v>8041.55</v>
      </c>
      <c r="J1301">
        <v>0</v>
      </c>
      <c r="K1301">
        <v>40207.75</v>
      </c>
      <c r="L1301">
        <v>24318.61</v>
      </c>
      <c r="M1301">
        <v>15889.14</v>
      </c>
      <c r="N1301" s="7" t="s">
        <v>33</v>
      </c>
      <c r="O1301" s="9">
        <f>IFERROR(RawSalesTable_[[#This Row],[Profit]]/RawSalesTable_[[#This Row],[Revenue]],0)</f>
        <v>0.39517605436762809</v>
      </c>
    </row>
    <row r="1302" spans="1:15">
      <c r="A1302" s="7" t="s">
        <v>1450</v>
      </c>
      <c r="B1302" s="8">
        <v>45671</v>
      </c>
      <c r="C1302" s="7" t="s">
        <v>28</v>
      </c>
      <c r="D1302" s="7" t="s">
        <v>29</v>
      </c>
      <c r="E1302" s="7" t="s">
        <v>49</v>
      </c>
      <c r="F1302" s="7" t="s">
        <v>57</v>
      </c>
      <c r="G1302" s="7" t="s">
        <v>25</v>
      </c>
      <c r="H1302">
        <v>3</v>
      </c>
      <c r="I1302">
        <v>11160.09</v>
      </c>
      <c r="J1302">
        <v>0.15</v>
      </c>
      <c r="K1302">
        <v>28458.23</v>
      </c>
      <c r="L1302">
        <v>19426.91</v>
      </c>
      <c r="M1302">
        <v>9031.32</v>
      </c>
      <c r="N1302" s="7" t="s">
        <v>59</v>
      </c>
      <c r="O1302" s="9">
        <f>IFERROR(RawSalesTable_[[#This Row],[Profit]]/RawSalesTable_[[#This Row],[Revenue]],0)</f>
        <v>0.31735353885325968</v>
      </c>
    </row>
    <row r="1303" spans="1:15">
      <c r="A1303" s="7" t="s">
        <v>1451</v>
      </c>
      <c r="B1303" s="8">
        <v>45919</v>
      </c>
      <c r="C1303" s="7" t="s">
        <v>28</v>
      </c>
      <c r="D1303" s="7" t="s">
        <v>52</v>
      </c>
      <c r="E1303" s="7" t="s">
        <v>30</v>
      </c>
      <c r="F1303" s="7" t="s">
        <v>31</v>
      </c>
      <c r="G1303" s="7" t="s">
        <v>64</v>
      </c>
      <c r="H1303">
        <v>5</v>
      </c>
      <c r="I1303">
        <v>131198.71</v>
      </c>
      <c r="J1303">
        <v>0.1</v>
      </c>
      <c r="K1303">
        <v>590394.18999999994</v>
      </c>
      <c r="L1303">
        <v>491242.14</v>
      </c>
      <c r="M1303">
        <v>99152.05</v>
      </c>
      <c r="N1303" s="7" t="s">
        <v>26</v>
      </c>
      <c r="O1303" s="9">
        <f>IFERROR(RawSalesTable_[[#This Row],[Profit]]/RawSalesTable_[[#This Row],[Revenue]],0)</f>
        <v>0.16794211677455703</v>
      </c>
    </row>
    <row r="1304" spans="1:15">
      <c r="A1304" s="7" t="s">
        <v>1452</v>
      </c>
      <c r="B1304" s="8">
        <v>45778</v>
      </c>
      <c r="C1304" s="7" t="s">
        <v>28</v>
      </c>
      <c r="D1304" s="7" t="s">
        <v>52</v>
      </c>
      <c r="E1304" s="7" t="s">
        <v>17</v>
      </c>
      <c r="F1304" s="7" t="s">
        <v>24</v>
      </c>
      <c r="G1304" s="7" t="s">
        <v>19</v>
      </c>
      <c r="H1304">
        <v>3</v>
      </c>
      <c r="I1304">
        <v>86145.17</v>
      </c>
      <c r="J1304">
        <v>0</v>
      </c>
      <c r="K1304">
        <v>258435.51</v>
      </c>
      <c r="L1304">
        <v>211304.95</v>
      </c>
      <c r="M1304">
        <v>47130.559999999998</v>
      </c>
      <c r="N1304" s="7" t="s">
        <v>59</v>
      </c>
      <c r="O1304" s="9">
        <f>IFERROR(RawSalesTable_[[#This Row],[Profit]]/RawSalesTable_[[#This Row],[Revenue]],0)</f>
        <v>0.18236874646212509</v>
      </c>
    </row>
    <row r="1305" spans="1:15">
      <c r="A1305" s="7" t="s">
        <v>1453</v>
      </c>
      <c r="B1305" s="8">
        <v>45689</v>
      </c>
      <c r="C1305" s="7" t="s">
        <v>28</v>
      </c>
      <c r="D1305" s="7" t="s">
        <v>56</v>
      </c>
      <c r="E1305" s="7" t="s">
        <v>17</v>
      </c>
      <c r="F1305" s="7" t="s">
        <v>114</v>
      </c>
      <c r="G1305" s="7" t="s">
        <v>25</v>
      </c>
      <c r="H1305">
        <v>6</v>
      </c>
      <c r="I1305">
        <v>54087.08</v>
      </c>
      <c r="J1305">
        <v>0.05</v>
      </c>
      <c r="K1305">
        <v>308296.36</v>
      </c>
      <c r="L1305">
        <v>218570.58</v>
      </c>
      <c r="M1305">
        <v>89725.78</v>
      </c>
      <c r="N1305" s="7" t="s">
        <v>20</v>
      </c>
      <c r="O1305" s="9">
        <f>IFERROR(RawSalesTable_[[#This Row],[Profit]]/RawSalesTable_[[#This Row],[Revenue]],0)</f>
        <v>0.29103742905041113</v>
      </c>
    </row>
    <row r="1306" spans="1:15">
      <c r="A1306" s="7" t="s">
        <v>1454</v>
      </c>
      <c r="B1306" s="8">
        <v>45686</v>
      </c>
      <c r="C1306" s="7" t="s">
        <v>15</v>
      </c>
      <c r="D1306" s="7" t="s">
        <v>16</v>
      </c>
      <c r="E1306" s="7" t="s">
        <v>17</v>
      </c>
      <c r="F1306" s="7" t="s">
        <v>24</v>
      </c>
      <c r="G1306" s="7" t="s">
        <v>64</v>
      </c>
      <c r="H1306">
        <v>8</v>
      </c>
      <c r="I1306">
        <v>86981.37</v>
      </c>
      <c r="J1306">
        <v>0.05</v>
      </c>
      <c r="K1306">
        <v>661058.41</v>
      </c>
      <c r="L1306">
        <v>536339.25</v>
      </c>
      <c r="M1306">
        <v>124719.16</v>
      </c>
      <c r="N1306" s="7" t="s">
        <v>33</v>
      </c>
      <c r="O1306" s="9">
        <f>IFERROR(RawSalesTable_[[#This Row],[Profit]]/RawSalesTable_[[#This Row],[Revenue]],0)</f>
        <v>0.1886658699342468</v>
      </c>
    </row>
    <row r="1307" spans="1:15">
      <c r="A1307" s="7" t="s">
        <v>1455</v>
      </c>
      <c r="B1307" s="8">
        <v>45728</v>
      </c>
      <c r="C1307" s="7" t="s">
        <v>15</v>
      </c>
      <c r="D1307" s="7" t="s">
        <v>43</v>
      </c>
      <c r="E1307" s="7" t="s">
        <v>44</v>
      </c>
      <c r="F1307" s="7" t="s">
        <v>53</v>
      </c>
      <c r="G1307" s="7" t="s">
        <v>32</v>
      </c>
      <c r="H1307">
        <v>1</v>
      </c>
      <c r="I1307">
        <v>7877.36</v>
      </c>
      <c r="J1307">
        <v>0</v>
      </c>
      <c r="K1307">
        <v>7877.36</v>
      </c>
      <c r="L1307">
        <v>5078.84</v>
      </c>
      <c r="M1307">
        <v>2798.52</v>
      </c>
      <c r="N1307" s="7" t="s">
        <v>59</v>
      </c>
      <c r="O1307" s="9">
        <f>IFERROR(RawSalesTable_[[#This Row],[Profit]]/RawSalesTable_[[#This Row],[Revenue]],0)</f>
        <v>0.35526115348289278</v>
      </c>
    </row>
    <row r="1308" spans="1:15">
      <c r="A1308" s="7" t="s">
        <v>1456</v>
      </c>
      <c r="B1308" s="8">
        <v>45870</v>
      </c>
      <c r="C1308" s="7" t="s">
        <v>28</v>
      </c>
      <c r="D1308" s="7" t="s">
        <v>29</v>
      </c>
      <c r="E1308" s="7" t="s">
        <v>49</v>
      </c>
      <c r="F1308" s="7" t="s">
        <v>91</v>
      </c>
      <c r="G1308" s="7" t="s">
        <v>19</v>
      </c>
      <c r="H1308">
        <v>5</v>
      </c>
      <c r="I1308">
        <v>6491.92</v>
      </c>
      <c r="J1308">
        <v>0.15</v>
      </c>
      <c r="K1308">
        <v>27590.66</v>
      </c>
      <c r="L1308">
        <v>18360.580000000002</v>
      </c>
      <c r="M1308">
        <v>9230.08</v>
      </c>
      <c r="N1308" s="7" t="s">
        <v>33</v>
      </c>
      <c r="O1308" s="9">
        <f>IFERROR(RawSalesTable_[[#This Row],[Profit]]/RawSalesTable_[[#This Row],[Revenue]],0)</f>
        <v>0.33453639746203967</v>
      </c>
    </row>
    <row r="1309" spans="1:15">
      <c r="A1309" s="7" t="s">
        <v>1457</v>
      </c>
      <c r="B1309" s="8">
        <v>45699</v>
      </c>
      <c r="C1309" s="7" t="s">
        <v>22</v>
      </c>
      <c r="D1309" s="7" t="s">
        <v>37</v>
      </c>
      <c r="E1309" s="7" t="s">
        <v>17</v>
      </c>
      <c r="F1309" s="7" t="s">
        <v>24</v>
      </c>
      <c r="G1309" s="7" t="s">
        <v>32</v>
      </c>
      <c r="H1309">
        <v>4</v>
      </c>
      <c r="I1309">
        <v>93217.919999999998</v>
      </c>
      <c r="J1309">
        <v>0</v>
      </c>
      <c r="K1309">
        <v>372871.67999999999</v>
      </c>
      <c r="L1309">
        <v>270492.21999999997</v>
      </c>
      <c r="M1309">
        <v>102379.46</v>
      </c>
      <c r="N1309" s="7" t="s">
        <v>26</v>
      </c>
      <c r="O1309" s="9">
        <f>IFERROR(RawSalesTable_[[#This Row],[Profit]]/RawSalesTable_[[#This Row],[Revenue]],0)</f>
        <v>0.27457022212038201</v>
      </c>
    </row>
    <row r="1310" spans="1:15">
      <c r="A1310" s="7" t="s">
        <v>1458</v>
      </c>
      <c r="B1310" s="8">
        <v>45739</v>
      </c>
      <c r="C1310" s="7" t="s">
        <v>28</v>
      </c>
      <c r="D1310" s="7" t="s">
        <v>52</v>
      </c>
      <c r="E1310" s="7" t="s">
        <v>44</v>
      </c>
      <c r="F1310" s="7" t="s">
        <v>80</v>
      </c>
      <c r="G1310" s="7" t="s">
        <v>47</v>
      </c>
      <c r="H1310">
        <v>5</v>
      </c>
      <c r="I1310">
        <v>41387.65</v>
      </c>
      <c r="J1310">
        <v>0.05</v>
      </c>
      <c r="K1310">
        <v>196591.34</v>
      </c>
      <c r="L1310">
        <v>155893.04</v>
      </c>
      <c r="M1310">
        <v>40698.300000000003</v>
      </c>
      <c r="N1310" s="7" t="s">
        <v>59</v>
      </c>
      <c r="O1310" s="9">
        <f>IFERROR(RawSalesTable_[[#This Row],[Profit]]/RawSalesTable_[[#This Row],[Revenue]],0)</f>
        <v>0.20701980056700364</v>
      </c>
    </row>
    <row r="1311" spans="1:15">
      <c r="A1311" s="7" t="s">
        <v>1459</v>
      </c>
      <c r="B1311" s="8">
        <v>45886</v>
      </c>
      <c r="C1311" s="7" t="s">
        <v>28</v>
      </c>
      <c r="D1311" s="7" t="s">
        <v>52</v>
      </c>
      <c r="E1311" s="7" t="s">
        <v>30</v>
      </c>
      <c r="F1311" s="7" t="s">
        <v>38</v>
      </c>
      <c r="G1311" s="7" t="s">
        <v>25</v>
      </c>
      <c r="H1311">
        <v>7</v>
      </c>
      <c r="I1311">
        <v>25354.799999999999</v>
      </c>
      <c r="J1311">
        <v>0.05</v>
      </c>
      <c r="K1311">
        <v>168609.42</v>
      </c>
      <c r="L1311">
        <v>126203.55</v>
      </c>
      <c r="M1311">
        <v>42405.87</v>
      </c>
      <c r="N1311" s="7" t="s">
        <v>26</v>
      </c>
      <c r="O1311" s="9">
        <f>IFERROR(RawSalesTable_[[#This Row],[Profit]]/RawSalesTable_[[#This Row],[Revenue]],0)</f>
        <v>0.25150356367989402</v>
      </c>
    </row>
    <row r="1312" spans="1:15">
      <c r="A1312" s="7" t="s">
        <v>1460</v>
      </c>
      <c r="B1312" s="8">
        <v>45949</v>
      </c>
      <c r="C1312" s="7" t="s">
        <v>22</v>
      </c>
      <c r="D1312" s="7" t="s">
        <v>23</v>
      </c>
      <c r="E1312" s="7" t="s">
        <v>17</v>
      </c>
      <c r="F1312" s="7" t="s">
        <v>114</v>
      </c>
      <c r="G1312" s="7" t="s">
        <v>58</v>
      </c>
      <c r="H1312">
        <v>2</v>
      </c>
      <c r="I1312">
        <v>54020.21</v>
      </c>
      <c r="J1312">
        <v>0</v>
      </c>
      <c r="K1312">
        <v>108040.42</v>
      </c>
      <c r="L1312">
        <v>71832.73</v>
      </c>
      <c r="M1312">
        <v>36207.69</v>
      </c>
      <c r="N1312" s="7" t="s">
        <v>26</v>
      </c>
      <c r="O1312" s="9">
        <f>IFERROR(RawSalesTable_[[#This Row],[Profit]]/RawSalesTable_[[#This Row],[Revenue]],0)</f>
        <v>0.33513096302291312</v>
      </c>
    </row>
    <row r="1313" spans="1:15">
      <c r="A1313" s="7" t="s">
        <v>1461</v>
      </c>
      <c r="B1313" s="8">
        <v>45787</v>
      </c>
      <c r="C1313" s="7" t="s">
        <v>15</v>
      </c>
      <c r="D1313" s="7" t="s">
        <v>63</v>
      </c>
      <c r="E1313" s="7" t="s">
        <v>30</v>
      </c>
      <c r="F1313" s="7" t="s">
        <v>40</v>
      </c>
      <c r="G1313" s="7" t="s">
        <v>47</v>
      </c>
      <c r="H1313">
        <v>1</v>
      </c>
      <c r="I1313">
        <v>25079.49</v>
      </c>
      <c r="J1313">
        <v>0</v>
      </c>
      <c r="K1313">
        <v>25079.49</v>
      </c>
      <c r="L1313">
        <v>15952.93</v>
      </c>
      <c r="M1313">
        <v>9126.56</v>
      </c>
      <c r="N1313" s="7" t="s">
        <v>33</v>
      </c>
      <c r="O1313" s="9">
        <f>IFERROR(RawSalesTable_[[#This Row],[Profit]]/RawSalesTable_[[#This Row],[Revenue]],0)</f>
        <v>0.36390532662346797</v>
      </c>
    </row>
    <row r="1314" spans="1:15">
      <c r="A1314" s="7" t="s">
        <v>1462</v>
      </c>
      <c r="B1314" s="8">
        <v>45825</v>
      </c>
      <c r="C1314" s="7" t="s">
        <v>28</v>
      </c>
      <c r="D1314" s="7" t="s">
        <v>52</v>
      </c>
      <c r="E1314" s="7" t="s">
        <v>44</v>
      </c>
      <c r="F1314" s="7" t="s">
        <v>45</v>
      </c>
      <c r="G1314" s="7" t="s">
        <v>70</v>
      </c>
      <c r="H1314">
        <v>6</v>
      </c>
      <c r="I1314">
        <v>27160.97</v>
      </c>
      <c r="J1314">
        <v>0.15</v>
      </c>
      <c r="K1314">
        <v>138520.95000000001</v>
      </c>
      <c r="L1314">
        <v>113680.8</v>
      </c>
      <c r="M1314">
        <v>24840.15</v>
      </c>
      <c r="N1314" s="7" t="s">
        <v>20</v>
      </c>
      <c r="O1314" s="9">
        <f>IFERROR(RawSalesTable_[[#This Row],[Profit]]/RawSalesTable_[[#This Row],[Revenue]],0)</f>
        <v>0.17932413833430971</v>
      </c>
    </row>
    <row r="1315" spans="1:15">
      <c r="A1315" s="7" t="s">
        <v>1463</v>
      </c>
      <c r="B1315" s="8">
        <v>45785</v>
      </c>
      <c r="C1315" s="7" t="s">
        <v>15</v>
      </c>
      <c r="D1315" s="7" t="s">
        <v>16</v>
      </c>
      <c r="E1315" s="7" t="s">
        <v>49</v>
      </c>
      <c r="F1315" s="7" t="s">
        <v>107</v>
      </c>
      <c r="G1315" s="7" t="s">
        <v>19</v>
      </c>
      <c r="H1315">
        <v>5</v>
      </c>
      <c r="I1315">
        <v>5445.44</v>
      </c>
      <c r="J1315">
        <v>0.15</v>
      </c>
      <c r="K1315">
        <v>23143.119999999999</v>
      </c>
      <c r="L1315">
        <v>13905.2</v>
      </c>
      <c r="M1315">
        <v>9237.92</v>
      </c>
      <c r="N1315" s="7" t="s">
        <v>33</v>
      </c>
      <c r="O1315" s="9">
        <f>IFERROR(RawSalesTable_[[#This Row],[Profit]]/RawSalesTable_[[#This Row],[Revenue]],0)</f>
        <v>0.39916484899183863</v>
      </c>
    </row>
    <row r="1316" spans="1:15">
      <c r="A1316" s="7" t="s">
        <v>1465</v>
      </c>
      <c r="B1316" s="8">
        <v>45871</v>
      </c>
      <c r="C1316" s="7" t="s">
        <v>22</v>
      </c>
      <c r="D1316" s="7" t="s">
        <v>35</v>
      </c>
      <c r="E1316" s="7" t="s">
        <v>44</v>
      </c>
      <c r="F1316" s="7" t="s">
        <v>45</v>
      </c>
      <c r="G1316" s="7" t="s">
        <v>64</v>
      </c>
      <c r="H1316">
        <v>7</v>
      </c>
      <c r="I1316">
        <v>29602.82</v>
      </c>
      <c r="J1316">
        <v>0.05</v>
      </c>
      <c r="K1316">
        <v>196858.75</v>
      </c>
      <c r="L1316">
        <v>129718.49</v>
      </c>
      <c r="M1316">
        <v>67140.259999999995</v>
      </c>
      <c r="N1316" s="7" t="s">
        <v>59</v>
      </c>
      <c r="O1316" s="9">
        <f>IFERROR(RawSalesTable_[[#This Row],[Profit]]/RawSalesTable_[[#This Row],[Revenue]],0)</f>
        <v>0.34105804288607944</v>
      </c>
    </row>
    <row r="1317" spans="1:15">
      <c r="A1317" s="7" t="s">
        <v>1466</v>
      </c>
      <c r="B1317" s="8">
        <v>45983</v>
      </c>
      <c r="C1317" s="7" t="s">
        <v>22</v>
      </c>
      <c r="D1317" s="7" t="s">
        <v>23</v>
      </c>
      <c r="E1317" s="7" t="s">
        <v>30</v>
      </c>
      <c r="F1317" s="7" t="s">
        <v>86</v>
      </c>
      <c r="G1317" s="7" t="s">
        <v>64</v>
      </c>
      <c r="H1317">
        <v>5</v>
      </c>
      <c r="I1317">
        <v>32772.58</v>
      </c>
      <c r="J1317">
        <v>0</v>
      </c>
      <c r="K1317">
        <v>163862.9</v>
      </c>
      <c r="L1317">
        <v>110072.56</v>
      </c>
      <c r="M1317">
        <v>53790.34</v>
      </c>
      <c r="N1317" s="7" t="s">
        <v>20</v>
      </c>
      <c r="O1317" s="9">
        <f>IFERROR(RawSalesTable_[[#This Row],[Profit]]/RawSalesTable_[[#This Row],[Revenue]],0)</f>
        <v>0.32826429899629506</v>
      </c>
    </row>
    <row r="1318" spans="1:15">
      <c r="A1318" s="7" t="s">
        <v>1467</v>
      </c>
      <c r="B1318" s="8">
        <v>45797</v>
      </c>
      <c r="C1318" s="7" t="s">
        <v>22</v>
      </c>
      <c r="D1318" s="7" t="s">
        <v>23</v>
      </c>
      <c r="E1318" s="7" t="s">
        <v>17</v>
      </c>
      <c r="F1318" s="7" t="s">
        <v>75</v>
      </c>
      <c r="G1318" s="7" t="s">
        <v>58</v>
      </c>
      <c r="H1318">
        <v>4</v>
      </c>
      <c r="I1318">
        <v>183675.24</v>
      </c>
      <c r="J1318">
        <v>0.1</v>
      </c>
      <c r="K1318">
        <v>661230.86</v>
      </c>
      <c r="L1318">
        <v>578589.96</v>
      </c>
      <c r="M1318">
        <v>82640.899999999994</v>
      </c>
      <c r="N1318" s="7" t="s">
        <v>33</v>
      </c>
      <c r="O1318" s="9">
        <f>IFERROR(RawSalesTable_[[#This Row],[Profit]]/RawSalesTable_[[#This Row],[Revenue]],0)</f>
        <v>0.12498040396965138</v>
      </c>
    </row>
    <row r="1319" spans="1:15">
      <c r="A1319" s="7" t="s">
        <v>1468</v>
      </c>
      <c r="B1319" s="8">
        <v>45673</v>
      </c>
      <c r="C1319" s="7" t="s">
        <v>15</v>
      </c>
      <c r="D1319" s="7" t="s">
        <v>43</v>
      </c>
      <c r="E1319" s="7" t="s">
        <v>49</v>
      </c>
      <c r="F1319" s="7" t="s">
        <v>91</v>
      </c>
      <c r="G1319" s="7" t="s">
        <v>64</v>
      </c>
      <c r="H1319">
        <v>3</v>
      </c>
      <c r="I1319">
        <v>6204.09</v>
      </c>
      <c r="J1319">
        <v>0.05</v>
      </c>
      <c r="K1319">
        <v>17681.66</v>
      </c>
      <c r="L1319">
        <v>10988.58</v>
      </c>
      <c r="M1319">
        <v>6693.08</v>
      </c>
      <c r="N1319" s="7" t="s">
        <v>20</v>
      </c>
      <c r="O1319" s="9">
        <f>IFERROR(RawSalesTable_[[#This Row],[Profit]]/RawSalesTable_[[#This Row],[Revenue]],0)</f>
        <v>0.37853233237150813</v>
      </c>
    </row>
    <row r="1320" spans="1:15">
      <c r="A1320" s="7" t="s">
        <v>1469</v>
      </c>
      <c r="B1320" s="8">
        <v>45801</v>
      </c>
      <c r="C1320" s="7" t="s">
        <v>28</v>
      </c>
      <c r="D1320" s="7" t="s">
        <v>56</v>
      </c>
      <c r="E1320" s="7" t="s">
        <v>49</v>
      </c>
      <c r="F1320" s="7" t="s">
        <v>1590</v>
      </c>
      <c r="G1320" s="7" t="s">
        <v>58</v>
      </c>
      <c r="H1320">
        <v>1</v>
      </c>
      <c r="I1320">
        <v>4251.58</v>
      </c>
      <c r="J1320">
        <v>0</v>
      </c>
      <c r="K1320">
        <v>4251.58</v>
      </c>
      <c r="L1320">
        <v>2133.52</v>
      </c>
      <c r="M1320">
        <v>2118.06</v>
      </c>
      <c r="N1320" s="7" t="s">
        <v>20</v>
      </c>
      <c r="O1320" s="9">
        <f>IFERROR(RawSalesTable_[[#This Row],[Profit]]/RawSalesTable_[[#This Row],[Revenue]],0)</f>
        <v>0.49818185239369833</v>
      </c>
    </row>
    <row r="1321" spans="1:15">
      <c r="A1321" s="7" t="s">
        <v>1470</v>
      </c>
      <c r="B1321" s="8">
        <v>45990</v>
      </c>
      <c r="C1321" s="7" t="s">
        <v>22</v>
      </c>
      <c r="D1321" s="7" t="s">
        <v>35</v>
      </c>
      <c r="E1321" s="7" t="s">
        <v>17</v>
      </c>
      <c r="F1321" s="7" t="s">
        <v>18</v>
      </c>
      <c r="G1321" s="7" t="s">
        <v>64</v>
      </c>
      <c r="H1321">
        <v>4</v>
      </c>
      <c r="I1321">
        <v>13884.78</v>
      </c>
      <c r="J1321">
        <v>0.05</v>
      </c>
      <c r="K1321">
        <v>52762.16</v>
      </c>
      <c r="L1321">
        <v>33676.57</v>
      </c>
      <c r="M1321">
        <v>19085.59</v>
      </c>
      <c r="N1321" s="7" t="s">
        <v>20</v>
      </c>
      <c r="O1321" s="9">
        <f>IFERROR(RawSalesTable_[[#This Row],[Profit]]/RawSalesTable_[[#This Row],[Revenue]],0)</f>
        <v>0.36172874651075693</v>
      </c>
    </row>
    <row r="1322" spans="1:15">
      <c r="A1322" s="7" t="s">
        <v>1471</v>
      </c>
      <c r="B1322" s="8">
        <v>45891</v>
      </c>
      <c r="C1322" s="7" t="s">
        <v>15</v>
      </c>
      <c r="D1322" s="7" t="s">
        <v>43</v>
      </c>
      <c r="E1322" s="7" t="s">
        <v>49</v>
      </c>
      <c r="F1322" s="7" t="s">
        <v>1590</v>
      </c>
      <c r="G1322" s="7" t="s">
        <v>70</v>
      </c>
      <c r="H1322">
        <v>1</v>
      </c>
      <c r="I1322">
        <v>4056.54</v>
      </c>
      <c r="J1322">
        <v>0</v>
      </c>
      <c r="K1322">
        <v>4056.54</v>
      </c>
      <c r="L1322">
        <v>2124.91</v>
      </c>
      <c r="M1322">
        <v>1931.63</v>
      </c>
      <c r="N1322" s="7" t="s">
        <v>26</v>
      </c>
      <c r="O1322" s="9">
        <f>IFERROR(RawSalesTable_[[#This Row],[Profit]]/RawSalesTable_[[#This Row],[Revenue]],0)</f>
        <v>0.47617674175528901</v>
      </c>
    </row>
    <row r="1323" spans="1:15">
      <c r="A1323" s="7" t="s">
        <v>1472</v>
      </c>
      <c r="B1323" s="8">
        <v>45955</v>
      </c>
      <c r="C1323" s="7" t="s">
        <v>28</v>
      </c>
      <c r="D1323" s="7" t="s">
        <v>29</v>
      </c>
      <c r="E1323" s="7" t="s">
        <v>30</v>
      </c>
      <c r="F1323" s="7" t="s">
        <v>86</v>
      </c>
      <c r="G1323" s="7" t="s">
        <v>25</v>
      </c>
      <c r="H1323">
        <v>6</v>
      </c>
      <c r="I1323">
        <v>34241.83</v>
      </c>
      <c r="J1323">
        <v>0.05</v>
      </c>
      <c r="K1323">
        <v>195178.43</v>
      </c>
      <c r="L1323">
        <v>134796.17000000001</v>
      </c>
      <c r="M1323">
        <v>60382.26</v>
      </c>
      <c r="N1323" s="7" t="s">
        <v>59</v>
      </c>
      <c r="O1323" s="9">
        <f>IFERROR(RawSalesTable_[[#This Row],[Profit]]/RawSalesTable_[[#This Row],[Revenue]],0)</f>
        <v>0.30936953432815301</v>
      </c>
    </row>
    <row r="1324" spans="1:15">
      <c r="A1324" s="7" t="s">
        <v>1473</v>
      </c>
      <c r="B1324" s="8">
        <v>45879</v>
      </c>
      <c r="C1324" s="7" t="s">
        <v>28</v>
      </c>
      <c r="D1324" s="7" t="s">
        <v>56</v>
      </c>
      <c r="E1324" s="7" t="s">
        <v>30</v>
      </c>
      <c r="F1324" s="7" t="s">
        <v>86</v>
      </c>
      <c r="G1324" s="7" t="s">
        <v>19</v>
      </c>
      <c r="H1324">
        <v>8</v>
      </c>
      <c r="I1324">
        <v>33927.75</v>
      </c>
      <c r="J1324">
        <v>0.05</v>
      </c>
      <c r="K1324">
        <v>257850.9</v>
      </c>
      <c r="L1324">
        <v>179140.14</v>
      </c>
      <c r="M1324">
        <v>78710.759999999995</v>
      </c>
      <c r="N1324" s="7" t="s">
        <v>59</v>
      </c>
      <c r="O1324" s="9">
        <f>IFERROR(RawSalesTable_[[#This Row],[Profit]]/RawSalesTable_[[#This Row],[Revenue]],0)</f>
        <v>0.3052568751941529</v>
      </c>
    </row>
    <row r="1325" spans="1:15">
      <c r="A1325" s="7" t="s">
        <v>1474</v>
      </c>
      <c r="B1325" s="8">
        <v>45679</v>
      </c>
      <c r="C1325" s="7" t="s">
        <v>22</v>
      </c>
      <c r="D1325" s="7" t="s">
        <v>35</v>
      </c>
      <c r="E1325" s="7" t="s">
        <v>30</v>
      </c>
      <c r="F1325" s="7" t="s">
        <v>40</v>
      </c>
      <c r="G1325" s="7" t="s">
        <v>32</v>
      </c>
      <c r="H1325">
        <v>8</v>
      </c>
      <c r="I1325">
        <v>25494.52</v>
      </c>
      <c r="J1325">
        <v>0.15</v>
      </c>
      <c r="K1325">
        <v>173362.74</v>
      </c>
      <c r="L1325">
        <v>124061.52</v>
      </c>
      <c r="M1325">
        <v>49301.22</v>
      </c>
      <c r="N1325" s="7" t="s">
        <v>26</v>
      </c>
      <c r="O1325" s="9">
        <f>IFERROR(RawSalesTable_[[#This Row],[Profit]]/RawSalesTable_[[#This Row],[Revenue]],0)</f>
        <v>0.28438186890677897</v>
      </c>
    </row>
    <row r="1326" spans="1:15">
      <c r="A1326" s="7" t="s">
        <v>1476</v>
      </c>
      <c r="B1326" s="8">
        <v>45829</v>
      </c>
      <c r="C1326" s="7" t="s">
        <v>15</v>
      </c>
      <c r="D1326" s="7" t="s">
        <v>16</v>
      </c>
      <c r="E1326" s="7" t="s">
        <v>17</v>
      </c>
      <c r="F1326" s="7" t="s">
        <v>18</v>
      </c>
      <c r="G1326" s="7" t="s">
        <v>70</v>
      </c>
      <c r="H1326">
        <v>3</v>
      </c>
      <c r="I1326">
        <v>15056.13</v>
      </c>
      <c r="J1326">
        <v>0.15</v>
      </c>
      <c r="K1326">
        <v>38393.129999999997</v>
      </c>
      <c r="L1326">
        <v>25084.19</v>
      </c>
      <c r="M1326">
        <v>13308.94</v>
      </c>
      <c r="N1326" s="7" t="s">
        <v>33</v>
      </c>
      <c r="O1326" s="9">
        <f>IFERROR(RawSalesTable_[[#This Row],[Profit]]/RawSalesTable_[[#This Row],[Revenue]],0)</f>
        <v>0.34664899683875738</v>
      </c>
    </row>
    <row r="1327" spans="1:15">
      <c r="A1327" s="7" t="s">
        <v>1477</v>
      </c>
      <c r="B1327" s="8">
        <v>46010</v>
      </c>
      <c r="C1327" s="7" t="s">
        <v>28</v>
      </c>
      <c r="D1327" s="7" t="s">
        <v>29</v>
      </c>
      <c r="E1327" s="7" t="s">
        <v>30</v>
      </c>
      <c r="F1327" s="7" t="s">
        <v>40</v>
      </c>
      <c r="G1327" s="7" t="s">
        <v>19</v>
      </c>
      <c r="H1327">
        <v>7</v>
      </c>
      <c r="I1327">
        <v>23398.76</v>
      </c>
      <c r="J1327">
        <v>0.05</v>
      </c>
      <c r="K1327">
        <v>155601.75</v>
      </c>
      <c r="L1327">
        <v>113087.16</v>
      </c>
      <c r="M1327">
        <v>42514.59</v>
      </c>
      <c r="N1327" s="7" t="s">
        <v>26</v>
      </c>
      <c r="O1327" s="9">
        <f>IFERROR(RawSalesTable_[[#This Row],[Profit]]/RawSalesTable_[[#This Row],[Revenue]],0)</f>
        <v>0.27322693992837482</v>
      </c>
    </row>
    <row r="1328" spans="1:15">
      <c r="A1328" s="7" t="s">
        <v>1478</v>
      </c>
      <c r="B1328" s="8">
        <v>45911</v>
      </c>
      <c r="C1328" s="7" t="s">
        <v>15</v>
      </c>
      <c r="D1328" s="7" t="s">
        <v>43</v>
      </c>
      <c r="E1328" s="7" t="s">
        <v>49</v>
      </c>
      <c r="F1328" s="7" t="s">
        <v>1590</v>
      </c>
      <c r="G1328" s="7" t="s">
        <v>61</v>
      </c>
      <c r="H1328">
        <v>4</v>
      </c>
      <c r="I1328">
        <v>4345.29</v>
      </c>
      <c r="J1328">
        <v>0.1</v>
      </c>
      <c r="K1328">
        <v>15643.04</v>
      </c>
      <c r="L1328">
        <v>8618.36</v>
      </c>
      <c r="M1328">
        <v>7024.68</v>
      </c>
      <c r="N1328" s="7" t="s">
        <v>33</v>
      </c>
      <c r="O1328" s="9">
        <f>IFERROR(RawSalesTable_[[#This Row],[Profit]]/RawSalesTable_[[#This Row],[Revenue]],0)</f>
        <v>0.44906105207172009</v>
      </c>
    </row>
    <row r="1329" spans="1:15">
      <c r="A1329" s="7" t="s">
        <v>1479</v>
      </c>
      <c r="B1329" s="8">
        <v>45755</v>
      </c>
      <c r="C1329" s="7" t="s">
        <v>15</v>
      </c>
      <c r="D1329" s="7" t="s">
        <v>63</v>
      </c>
      <c r="E1329" s="7" t="s">
        <v>44</v>
      </c>
      <c r="F1329" s="7" t="s">
        <v>53</v>
      </c>
      <c r="G1329" s="7" t="s">
        <v>64</v>
      </c>
      <c r="H1329">
        <v>5</v>
      </c>
      <c r="I1329">
        <v>8942.32</v>
      </c>
      <c r="J1329">
        <v>0.1</v>
      </c>
      <c r="K1329">
        <v>40240.44</v>
      </c>
      <c r="L1329">
        <v>24859.599999999999</v>
      </c>
      <c r="M1329">
        <v>15380.84</v>
      </c>
      <c r="N1329" s="7" t="s">
        <v>33</v>
      </c>
      <c r="O1329" s="9">
        <f>IFERROR(RawSalesTable_[[#This Row],[Profit]]/RawSalesTable_[[#This Row],[Revenue]],0)</f>
        <v>0.38222345481311831</v>
      </c>
    </row>
    <row r="1330" spans="1:15">
      <c r="A1330" s="7" t="s">
        <v>1480</v>
      </c>
      <c r="B1330" s="8">
        <v>45787</v>
      </c>
      <c r="C1330" s="7" t="s">
        <v>22</v>
      </c>
      <c r="D1330" s="7" t="s">
        <v>35</v>
      </c>
      <c r="E1330" s="7" t="s">
        <v>17</v>
      </c>
      <c r="F1330" s="7" t="s">
        <v>24</v>
      </c>
      <c r="G1330" s="7" t="s">
        <v>70</v>
      </c>
      <c r="H1330">
        <v>3</v>
      </c>
      <c r="I1330">
        <v>96823.11</v>
      </c>
      <c r="J1330">
        <v>0.15</v>
      </c>
      <c r="K1330">
        <v>246898.93</v>
      </c>
      <c r="L1330">
        <v>198898.68</v>
      </c>
      <c r="M1330">
        <v>48000.25</v>
      </c>
      <c r="N1330" s="7" t="s">
        <v>33</v>
      </c>
      <c r="O1330" s="9">
        <f>IFERROR(RawSalesTable_[[#This Row],[Profit]]/RawSalesTable_[[#This Row],[Revenue]],0)</f>
        <v>0.19441254767689758</v>
      </c>
    </row>
    <row r="1331" spans="1:15">
      <c r="A1331" s="7" t="s">
        <v>1481</v>
      </c>
      <c r="B1331" s="8">
        <v>45877</v>
      </c>
      <c r="C1331" s="7" t="s">
        <v>28</v>
      </c>
      <c r="D1331" s="7" t="s">
        <v>56</v>
      </c>
      <c r="E1331" s="7" t="s">
        <v>49</v>
      </c>
      <c r="F1331" s="7" t="s">
        <v>91</v>
      </c>
      <c r="G1331" s="7" t="s">
        <v>70</v>
      </c>
      <c r="H1331">
        <v>5</v>
      </c>
      <c r="I1331">
        <v>6336.9</v>
      </c>
      <c r="J1331">
        <v>0.05</v>
      </c>
      <c r="K1331">
        <v>30100.27</v>
      </c>
      <c r="L1331">
        <v>17722.64</v>
      </c>
      <c r="M1331">
        <v>12377.63</v>
      </c>
      <c r="N1331" s="7" t="s">
        <v>33</v>
      </c>
      <c r="O1331" s="9">
        <f>IFERROR(RawSalesTable_[[#This Row],[Profit]]/RawSalesTable_[[#This Row],[Revenue]],0)</f>
        <v>0.41121325489771349</v>
      </c>
    </row>
    <row r="1332" spans="1:15">
      <c r="A1332" s="7" t="s">
        <v>1482</v>
      </c>
      <c r="B1332" s="8">
        <v>45854</v>
      </c>
      <c r="C1332" s="7" t="s">
        <v>15</v>
      </c>
      <c r="D1332" s="7" t="s">
        <v>63</v>
      </c>
      <c r="E1332" s="7" t="s">
        <v>17</v>
      </c>
      <c r="F1332" s="7" t="s">
        <v>114</v>
      </c>
      <c r="G1332" s="7" t="s">
        <v>19</v>
      </c>
      <c r="H1332">
        <v>6</v>
      </c>
      <c r="I1332">
        <v>50764.45</v>
      </c>
      <c r="J1332">
        <v>0.05</v>
      </c>
      <c r="K1332">
        <v>289357.36</v>
      </c>
      <c r="L1332">
        <v>223170.68</v>
      </c>
      <c r="M1332">
        <v>66186.679999999993</v>
      </c>
      <c r="N1332" s="7" t="s">
        <v>20</v>
      </c>
      <c r="O1332" s="9">
        <f>IFERROR(RawSalesTable_[[#This Row],[Profit]]/RawSalesTable_[[#This Row],[Revenue]],0)</f>
        <v>0.22873681180945249</v>
      </c>
    </row>
    <row r="1333" spans="1:15">
      <c r="A1333" s="7" t="s">
        <v>1483</v>
      </c>
      <c r="B1333" s="8">
        <v>45702</v>
      </c>
      <c r="C1333" s="7" t="s">
        <v>15</v>
      </c>
      <c r="D1333" s="7" t="s">
        <v>43</v>
      </c>
      <c r="E1333" s="7" t="s">
        <v>30</v>
      </c>
      <c r="F1333" s="7" t="s">
        <v>40</v>
      </c>
      <c r="G1333" s="7" t="s">
        <v>70</v>
      </c>
      <c r="H1333">
        <v>1</v>
      </c>
      <c r="I1333">
        <v>24029.47</v>
      </c>
      <c r="J1333">
        <v>0.05</v>
      </c>
      <c r="K1333">
        <v>22828</v>
      </c>
      <c r="L1333">
        <v>16165.51</v>
      </c>
      <c r="M1333">
        <v>6662.49</v>
      </c>
      <c r="N1333" s="7" t="s">
        <v>59</v>
      </c>
      <c r="O1333" s="9">
        <f>IFERROR(RawSalesTable_[[#This Row],[Profit]]/RawSalesTable_[[#This Row],[Revenue]],0)</f>
        <v>0.2918560539688102</v>
      </c>
    </row>
    <row r="1334" spans="1:15">
      <c r="A1334" s="7" t="s">
        <v>1484</v>
      </c>
      <c r="B1334" s="8">
        <v>45967</v>
      </c>
      <c r="C1334" s="7" t="s">
        <v>15</v>
      </c>
      <c r="D1334" s="7" t="s">
        <v>16</v>
      </c>
      <c r="E1334" s="7" t="s">
        <v>17</v>
      </c>
      <c r="F1334" s="7" t="s">
        <v>24</v>
      </c>
      <c r="G1334" s="7" t="s">
        <v>70</v>
      </c>
      <c r="H1334">
        <v>2</v>
      </c>
      <c r="I1334">
        <v>91332.98</v>
      </c>
      <c r="J1334">
        <v>0.15</v>
      </c>
      <c r="K1334">
        <v>155266.07</v>
      </c>
      <c r="L1334">
        <v>135131.88</v>
      </c>
      <c r="M1334">
        <v>20134.189999999999</v>
      </c>
      <c r="N1334" s="7" t="s">
        <v>33</v>
      </c>
      <c r="O1334" s="9">
        <f>IFERROR(RawSalesTable_[[#This Row],[Profit]]/RawSalesTable_[[#This Row],[Revenue]],0)</f>
        <v>0.12967540171526204</v>
      </c>
    </row>
    <row r="1335" spans="1:15">
      <c r="A1335" s="7" t="s">
        <v>1485</v>
      </c>
      <c r="B1335" s="8">
        <v>46003</v>
      </c>
      <c r="C1335" s="7" t="s">
        <v>28</v>
      </c>
      <c r="D1335" s="7" t="s">
        <v>56</v>
      </c>
      <c r="E1335" s="7" t="s">
        <v>49</v>
      </c>
      <c r="F1335" s="7" t="s">
        <v>1590</v>
      </c>
      <c r="G1335" s="7" t="s">
        <v>64</v>
      </c>
      <c r="H1335">
        <v>7</v>
      </c>
      <c r="I1335">
        <v>3927.81</v>
      </c>
      <c r="J1335">
        <v>0.15</v>
      </c>
      <c r="K1335">
        <v>23370.47</v>
      </c>
      <c r="L1335">
        <v>14391.11</v>
      </c>
      <c r="M1335">
        <v>8979.36</v>
      </c>
      <c r="N1335" s="7" t="s">
        <v>20</v>
      </c>
      <c r="O1335" s="9">
        <f>IFERROR(RawSalesTable_[[#This Row],[Profit]]/RawSalesTable_[[#This Row],[Revenue]],0)</f>
        <v>0.38421820357057435</v>
      </c>
    </row>
    <row r="1336" spans="1:15">
      <c r="A1336" s="7" t="s">
        <v>1486</v>
      </c>
      <c r="B1336" s="8">
        <v>45932</v>
      </c>
      <c r="C1336" s="7" t="s">
        <v>22</v>
      </c>
      <c r="D1336" s="7" t="s">
        <v>37</v>
      </c>
      <c r="E1336" s="7" t="s">
        <v>44</v>
      </c>
      <c r="F1336" s="7" t="s">
        <v>53</v>
      </c>
      <c r="G1336" s="7" t="s">
        <v>64</v>
      </c>
      <c r="H1336">
        <v>5</v>
      </c>
      <c r="I1336">
        <v>8768.1</v>
      </c>
      <c r="J1336">
        <v>0.05</v>
      </c>
      <c r="K1336">
        <v>41648.47</v>
      </c>
      <c r="L1336">
        <v>25139.24</v>
      </c>
      <c r="M1336">
        <v>16509.23</v>
      </c>
      <c r="N1336" s="7" t="s">
        <v>59</v>
      </c>
      <c r="O1336" s="9">
        <f>IFERROR(RawSalesTable_[[#This Row],[Profit]]/RawSalesTable_[[#This Row],[Revenue]],0)</f>
        <v>0.39639463346432652</v>
      </c>
    </row>
    <row r="1337" spans="1:15">
      <c r="A1337" s="7" t="s">
        <v>1487</v>
      </c>
      <c r="B1337" s="8">
        <v>45965</v>
      </c>
      <c r="C1337" s="7" t="s">
        <v>15</v>
      </c>
      <c r="D1337" s="7" t="s">
        <v>16</v>
      </c>
      <c r="E1337" s="7" t="s">
        <v>49</v>
      </c>
      <c r="F1337" s="7" t="s">
        <v>1590</v>
      </c>
      <c r="G1337" s="7" t="s">
        <v>32</v>
      </c>
      <c r="H1337">
        <v>8</v>
      </c>
      <c r="I1337">
        <v>4061.16</v>
      </c>
      <c r="J1337">
        <v>0</v>
      </c>
      <c r="K1337">
        <v>32489.279999999999</v>
      </c>
      <c r="L1337">
        <v>16342.82</v>
      </c>
      <c r="M1337">
        <v>16146.46</v>
      </c>
      <c r="N1337" s="7" t="s">
        <v>20</v>
      </c>
      <c r="O1337" s="9">
        <f>IFERROR(RawSalesTable_[[#This Row],[Profit]]/RawSalesTable_[[#This Row],[Revenue]],0)</f>
        <v>0.49697808015443862</v>
      </c>
    </row>
    <row r="1338" spans="1:15">
      <c r="A1338" s="7" t="s">
        <v>1488</v>
      </c>
      <c r="B1338" s="8">
        <v>45992</v>
      </c>
      <c r="C1338" s="7" t="s">
        <v>22</v>
      </c>
      <c r="D1338" s="7" t="s">
        <v>37</v>
      </c>
      <c r="E1338" s="7" t="s">
        <v>44</v>
      </c>
      <c r="F1338" s="7" t="s">
        <v>80</v>
      </c>
      <c r="G1338" s="7" t="s">
        <v>61</v>
      </c>
      <c r="H1338">
        <v>4</v>
      </c>
      <c r="I1338">
        <v>42877.17</v>
      </c>
      <c r="J1338">
        <v>0</v>
      </c>
      <c r="K1338">
        <v>171508.68</v>
      </c>
      <c r="L1338">
        <v>120329.41</v>
      </c>
      <c r="M1338">
        <v>51179.27</v>
      </c>
      <c r="N1338" s="7" t="s">
        <v>20</v>
      </c>
      <c r="O1338" s="9">
        <f>IFERROR(RawSalesTable_[[#This Row],[Profit]]/RawSalesTable_[[#This Row],[Revenue]],0)</f>
        <v>0.2984062964043569</v>
      </c>
    </row>
    <row r="1339" spans="1:15">
      <c r="A1339" s="7" t="s">
        <v>1489</v>
      </c>
      <c r="B1339" s="8">
        <v>45775</v>
      </c>
      <c r="C1339" s="7" t="s">
        <v>22</v>
      </c>
      <c r="D1339" s="7" t="s">
        <v>35</v>
      </c>
      <c r="E1339" s="7" t="s">
        <v>44</v>
      </c>
      <c r="F1339" s="7" t="s">
        <v>45</v>
      </c>
      <c r="G1339" s="7" t="s">
        <v>70</v>
      </c>
      <c r="H1339">
        <v>6</v>
      </c>
      <c r="I1339">
        <v>30166.98</v>
      </c>
      <c r="J1339">
        <v>0.1</v>
      </c>
      <c r="K1339">
        <v>162901.69</v>
      </c>
      <c r="L1339">
        <v>117327.4</v>
      </c>
      <c r="M1339">
        <v>45574.29</v>
      </c>
      <c r="N1339" s="7" t="s">
        <v>33</v>
      </c>
      <c r="O1339" s="9">
        <f>IFERROR(RawSalesTable_[[#This Row],[Profit]]/RawSalesTable_[[#This Row],[Revenue]],0)</f>
        <v>0.27976560586940502</v>
      </c>
    </row>
    <row r="1340" spans="1:15">
      <c r="A1340" s="7" t="s">
        <v>1490</v>
      </c>
      <c r="B1340" s="8">
        <v>45878</v>
      </c>
      <c r="C1340" s="7" t="s">
        <v>22</v>
      </c>
      <c r="D1340" s="7" t="s">
        <v>23</v>
      </c>
      <c r="E1340" s="7" t="s">
        <v>44</v>
      </c>
      <c r="F1340" s="7" t="s">
        <v>45</v>
      </c>
      <c r="G1340" s="7" t="s">
        <v>64</v>
      </c>
      <c r="H1340">
        <v>1</v>
      </c>
      <c r="I1340">
        <v>28217.72</v>
      </c>
      <c r="J1340">
        <v>0.05</v>
      </c>
      <c r="K1340">
        <v>26806.83</v>
      </c>
      <c r="L1340">
        <v>19486.47</v>
      </c>
      <c r="M1340">
        <v>7320.36</v>
      </c>
      <c r="N1340" s="7" t="s">
        <v>59</v>
      </c>
      <c r="O1340" s="9">
        <f>IFERROR(RawSalesTable_[[#This Row],[Profit]]/RawSalesTable_[[#This Row],[Revenue]],0)</f>
        <v>0.27307816701937526</v>
      </c>
    </row>
    <row r="1341" spans="1:15">
      <c r="A1341" s="7" t="s">
        <v>1491</v>
      </c>
      <c r="B1341" s="8">
        <v>45874</v>
      </c>
      <c r="C1341" s="7" t="s">
        <v>15</v>
      </c>
      <c r="D1341" s="7" t="s">
        <v>43</v>
      </c>
      <c r="E1341" s="7" t="s">
        <v>17</v>
      </c>
      <c r="F1341" s="7" t="s">
        <v>114</v>
      </c>
      <c r="G1341" s="7" t="s">
        <v>19</v>
      </c>
      <c r="H1341">
        <v>8</v>
      </c>
      <c r="I1341">
        <v>48119.03</v>
      </c>
      <c r="J1341">
        <v>0.05</v>
      </c>
      <c r="K1341">
        <v>365704.63</v>
      </c>
      <c r="L1341">
        <v>294630.84000000003</v>
      </c>
      <c r="M1341">
        <v>71073.789999999994</v>
      </c>
      <c r="N1341" s="7" t="s">
        <v>33</v>
      </c>
      <c r="O1341" s="9">
        <f>IFERROR(RawSalesTable_[[#This Row],[Profit]]/RawSalesTable_[[#This Row],[Revenue]],0)</f>
        <v>0.19434752576143211</v>
      </c>
    </row>
    <row r="1342" spans="1:15">
      <c r="A1342" s="7" t="s">
        <v>1492</v>
      </c>
      <c r="B1342" s="8">
        <v>45728</v>
      </c>
      <c r="C1342" s="7" t="s">
        <v>22</v>
      </c>
      <c r="D1342" s="7" t="s">
        <v>35</v>
      </c>
      <c r="E1342" s="7" t="s">
        <v>30</v>
      </c>
      <c r="F1342" s="7" t="s">
        <v>40</v>
      </c>
      <c r="G1342" s="7" t="s">
        <v>19</v>
      </c>
      <c r="H1342">
        <v>7</v>
      </c>
      <c r="I1342">
        <v>24527.89</v>
      </c>
      <c r="J1342">
        <v>0</v>
      </c>
      <c r="K1342">
        <v>171695.23</v>
      </c>
      <c r="L1342">
        <v>114301.02</v>
      </c>
      <c r="M1342">
        <v>57394.21</v>
      </c>
      <c r="N1342" s="7" t="s">
        <v>33</v>
      </c>
      <c r="O1342" s="9">
        <f>IFERROR(RawSalesTable_[[#This Row],[Profit]]/RawSalesTable_[[#This Row],[Revenue]],0)</f>
        <v>0.33427958365529431</v>
      </c>
    </row>
    <row r="1343" spans="1:15">
      <c r="A1343" s="7" t="s">
        <v>1493</v>
      </c>
      <c r="B1343" s="8">
        <v>45792</v>
      </c>
      <c r="C1343" s="7" t="s">
        <v>22</v>
      </c>
      <c r="D1343" s="7" t="s">
        <v>23</v>
      </c>
      <c r="E1343" s="7" t="s">
        <v>44</v>
      </c>
      <c r="F1343" s="7" t="s">
        <v>45</v>
      </c>
      <c r="G1343" s="7" t="s">
        <v>70</v>
      </c>
      <c r="H1343">
        <v>8</v>
      </c>
      <c r="I1343">
        <v>29228.97</v>
      </c>
      <c r="J1343">
        <v>0.1</v>
      </c>
      <c r="K1343">
        <v>210448.58</v>
      </c>
      <c r="L1343">
        <v>151412.09</v>
      </c>
      <c r="M1343">
        <v>59036.49</v>
      </c>
      <c r="N1343" s="7" t="s">
        <v>33</v>
      </c>
      <c r="O1343" s="9">
        <f>IFERROR(RawSalesTable_[[#This Row],[Profit]]/RawSalesTable_[[#This Row],[Revenue]],0)</f>
        <v>0.28052691065912633</v>
      </c>
    </row>
    <row r="1344" spans="1:15">
      <c r="A1344" s="7" t="s">
        <v>1494</v>
      </c>
      <c r="B1344" s="8">
        <v>46017</v>
      </c>
      <c r="C1344" s="7" t="s">
        <v>15</v>
      </c>
      <c r="D1344" s="7" t="s">
        <v>16</v>
      </c>
      <c r="E1344" s="7" t="s">
        <v>49</v>
      </c>
      <c r="F1344" s="7" t="s">
        <v>91</v>
      </c>
      <c r="G1344" s="7" t="s">
        <v>25</v>
      </c>
      <c r="H1344">
        <v>1</v>
      </c>
      <c r="I1344">
        <v>6221.54</v>
      </c>
      <c r="J1344">
        <v>0</v>
      </c>
      <c r="K1344">
        <v>6221.54</v>
      </c>
      <c r="L1344">
        <v>3567.69</v>
      </c>
      <c r="M1344">
        <v>2653.85</v>
      </c>
      <c r="N1344" s="7" t="s">
        <v>33</v>
      </c>
      <c r="O1344" s="9">
        <f>IFERROR(RawSalesTable_[[#This Row],[Profit]]/RawSalesTable_[[#This Row],[Revenue]],0)</f>
        <v>0.4265583762219643</v>
      </c>
    </row>
    <row r="1345" spans="1:15">
      <c r="A1345" s="7" t="s">
        <v>1495</v>
      </c>
      <c r="B1345" s="8">
        <v>45728</v>
      </c>
      <c r="C1345" s="7" t="s">
        <v>28</v>
      </c>
      <c r="D1345" s="7" t="s">
        <v>52</v>
      </c>
      <c r="E1345" s="7" t="s">
        <v>17</v>
      </c>
      <c r="F1345" s="7" t="s">
        <v>75</v>
      </c>
      <c r="G1345" s="7" t="s">
        <v>32</v>
      </c>
      <c r="H1345">
        <v>5</v>
      </c>
      <c r="I1345">
        <v>187532.96</v>
      </c>
      <c r="J1345">
        <v>0</v>
      </c>
      <c r="K1345">
        <v>937664.8</v>
      </c>
      <c r="L1345">
        <v>703776.2</v>
      </c>
      <c r="M1345">
        <v>233888.6</v>
      </c>
      <c r="N1345" s="7" t="s">
        <v>26</v>
      </c>
      <c r="O1345" s="9">
        <f>IFERROR(RawSalesTable_[[#This Row],[Profit]]/RawSalesTable_[[#This Row],[Revenue]],0)</f>
        <v>0.24943732557732784</v>
      </c>
    </row>
    <row r="1346" spans="1:15">
      <c r="A1346" s="7" t="s">
        <v>1496</v>
      </c>
      <c r="B1346" s="8">
        <v>45941</v>
      </c>
      <c r="C1346" s="7" t="s">
        <v>28</v>
      </c>
      <c r="D1346" s="7" t="s">
        <v>52</v>
      </c>
      <c r="E1346" s="7" t="s">
        <v>44</v>
      </c>
      <c r="F1346" s="7" t="s">
        <v>53</v>
      </c>
      <c r="G1346" s="7" t="s">
        <v>19</v>
      </c>
      <c r="H1346">
        <v>8</v>
      </c>
      <c r="I1346">
        <v>8471.08</v>
      </c>
      <c r="J1346">
        <v>0</v>
      </c>
      <c r="K1346">
        <v>67768.639999999999</v>
      </c>
      <c r="L1346">
        <v>38497.11</v>
      </c>
      <c r="M1346">
        <v>29271.53</v>
      </c>
      <c r="N1346" s="7" t="s">
        <v>26</v>
      </c>
      <c r="O1346" s="9">
        <f>IFERROR(RawSalesTable_[[#This Row],[Profit]]/RawSalesTable_[[#This Row],[Revenue]],0)</f>
        <v>0.43193326588817482</v>
      </c>
    </row>
    <row r="1347" spans="1:15">
      <c r="A1347" s="7" t="s">
        <v>1497</v>
      </c>
      <c r="B1347" s="8">
        <v>45784</v>
      </c>
      <c r="C1347" s="7" t="s">
        <v>15</v>
      </c>
      <c r="D1347" s="7" t="s">
        <v>16</v>
      </c>
      <c r="E1347" s="7" t="s">
        <v>44</v>
      </c>
      <c r="F1347" s="7" t="s">
        <v>80</v>
      </c>
      <c r="G1347" s="7" t="s">
        <v>25</v>
      </c>
      <c r="H1347">
        <v>8</v>
      </c>
      <c r="I1347">
        <v>43092.09</v>
      </c>
      <c r="J1347">
        <v>0</v>
      </c>
      <c r="K1347">
        <v>344736.72</v>
      </c>
      <c r="L1347">
        <v>250388.49</v>
      </c>
      <c r="M1347">
        <v>94348.23</v>
      </c>
      <c r="N1347" s="7" t="s">
        <v>59</v>
      </c>
      <c r="O1347" s="9">
        <f>IFERROR(RawSalesTable_[[#This Row],[Profit]]/RawSalesTable_[[#This Row],[Revenue]],0)</f>
        <v>0.27368198548735978</v>
      </c>
    </row>
    <row r="1348" spans="1:15">
      <c r="A1348" s="7" t="s">
        <v>1498</v>
      </c>
      <c r="B1348" s="8">
        <v>45672</v>
      </c>
      <c r="C1348" s="7" t="s">
        <v>22</v>
      </c>
      <c r="D1348" s="7" t="s">
        <v>35</v>
      </c>
      <c r="E1348" s="7" t="s">
        <v>49</v>
      </c>
      <c r="F1348" s="7" t="s">
        <v>91</v>
      </c>
      <c r="G1348" s="7" t="s">
        <v>47</v>
      </c>
      <c r="H1348">
        <v>7</v>
      </c>
      <c r="I1348">
        <v>6024.63</v>
      </c>
      <c r="J1348">
        <v>0.05</v>
      </c>
      <c r="K1348">
        <v>40063.79</v>
      </c>
      <c r="L1348">
        <v>25821.03</v>
      </c>
      <c r="M1348">
        <v>14242.76</v>
      </c>
      <c r="N1348" s="7" t="s">
        <v>59</v>
      </c>
      <c r="O1348" s="9">
        <f>IFERROR(RawSalesTable_[[#This Row],[Profit]]/RawSalesTable_[[#This Row],[Revenue]],0)</f>
        <v>0.35550206308489535</v>
      </c>
    </row>
    <row r="1349" spans="1:15">
      <c r="A1349" s="7" t="s">
        <v>1499</v>
      </c>
      <c r="B1349" s="8">
        <v>45988</v>
      </c>
      <c r="C1349" s="7" t="s">
        <v>28</v>
      </c>
      <c r="D1349" s="7" t="s">
        <v>56</v>
      </c>
      <c r="E1349" s="7" t="s">
        <v>44</v>
      </c>
      <c r="F1349" s="7" t="s">
        <v>45</v>
      </c>
      <c r="G1349" s="7" t="s">
        <v>61</v>
      </c>
      <c r="H1349">
        <v>8</v>
      </c>
      <c r="I1349">
        <v>29023.919999999998</v>
      </c>
      <c r="J1349">
        <v>0.1</v>
      </c>
      <c r="K1349">
        <v>208972.22</v>
      </c>
      <c r="L1349">
        <v>156896.24</v>
      </c>
      <c r="M1349">
        <v>52075.98</v>
      </c>
      <c r="N1349" s="7" t="s">
        <v>26</v>
      </c>
      <c r="O1349" s="9">
        <f>IFERROR(RawSalesTable_[[#This Row],[Profit]]/RawSalesTable_[[#This Row],[Revenue]],0)</f>
        <v>0.24920049181656778</v>
      </c>
    </row>
    <row r="1350" spans="1:15">
      <c r="A1350" s="7" t="s">
        <v>1500</v>
      </c>
      <c r="B1350" s="8">
        <v>45945</v>
      </c>
      <c r="C1350" s="7" t="s">
        <v>15</v>
      </c>
      <c r="D1350" s="7" t="s">
        <v>43</v>
      </c>
      <c r="E1350" s="7" t="s">
        <v>30</v>
      </c>
      <c r="F1350" s="7" t="s">
        <v>40</v>
      </c>
      <c r="G1350" s="7" t="s">
        <v>19</v>
      </c>
      <c r="H1350">
        <v>2</v>
      </c>
      <c r="I1350">
        <v>24236.35</v>
      </c>
      <c r="J1350">
        <v>0</v>
      </c>
      <c r="K1350">
        <v>48472.7</v>
      </c>
      <c r="L1350">
        <v>31575.1</v>
      </c>
      <c r="M1350">
        <v>16897.599999999999</v>
      </c>
      <c r="N1350" s="7" t="s">
        <v>26</v>
      </c>
      <c r="O1350" s="9">
        <f>IFERROR(RawSalesTable_[[#This Row],[Profit]]/RawSalesTable_[[#This Row],[Revenue]],0)</f>
        <v>0.3486003461742383</v>
      </c>
    </row>
    <row r="1351" spans="1:15">
      <c r="A1351" s="7" t="s">
        <v>1501</v>
      </c>
      <c r="B1351" s="8">
        <v>45832</v>
      </c>
      <c r="C1351" s="7" t="s">
        <v>15</v>
      </c>
      <c r="D1351" s="7" t="s">
        <v>16</v>
      </c>
      <c r="E1351" s="7" t="s">
        <v>30</v>
      </c>
      <c r="F1351" s="7" t="s">
        <v>38</v>
      </c>
      <c r="G1351" s="7" t="s">
        <v>58</v>
      </c>
      <c r="H1351">
        <v>7</v>
      </c>
      <c r="I1351">
        <v>26053.200000000001</v>
      </c>
      <c r="J1351">
        <v>0.15</v>
      </c>
      <c r="K1351">
        <v>155016.54</v>
      </c>
      <c r="L1351">
        <v>129336.08</v>
      </c>
      <c r="M1351">
        <v>25680.46</v>
      </c>
      <c r="N1351" s="7" t="s">
        <v>59</v>
      </c>
      <c r="O1351" s="9">
        <f>IFERROR(RawSalesTable_[[#This Row],[Profit]]/RawSalesTable_[[#This Row],[Revenue]],0)</f>
        <v>0.16566270928250623</v>
      </c>
    </row>
    <row r="1352" spans="1:15">
      <c r="A1352" s="7" t="s">
        <v>1502</v>
      </c>
      <c r="B1352" s="8">
        <v>45833</v>
      </c>
      <c r="C1352" s="7" t="s">
        <v>28</v>
      </c>
      <c r="D1352" s="7" t="s">
        <v>56</v>
      </c>
      <c r="E1352" s="7" t="s">
        <v>49</v>
      </c>
      <c r="F1352" s="7" t="s">
        <v>107</v>
      </c>
      <c r="G1352" s="7" t="s">
        <v>19</v>
      </c>
      <c r="H1352">
        <v>3</v>
      </c>
      <c r="I1352">
        <v>5174.4799999999996</v>
      </c>
      <c r="J1352">
        <v>0</v>
      </c>
      <c r="K1352">
        <v>15523.44</v>
      </c>
      <c r="L1352">
        <v>8249.0400000000009</v>
      </c>
      <c r="M1352">
        <v>7274.4</v>
      </c>
      <c r="N1352" s="7" t="s">
        <v>59</v>
      </c>
      <c r="O1352" s="9">
        <f>IFERROR(RawSalesTable_[[#This Row],[Profit]]/RawSalesTable_[[#This Row],[Revenue]],0)</f>
        <v>0.46860747360121208</v>
      </c>
    </row>
    <row r="1353" spans="1:15">
      <c r="A1353" s="7" t="s">
        <v>1503</v>
      </c>
      <c r="B1353" s="8">
        <v>45947</v>
      </c>
      <c r="C1353" s="7" t="s">
        <v>15</v>
      </c>
      <c r="D1353" s="7" t="s">
        <v>63</v>
      </c>
      <c r="E1353" s="7" t="s">
        <v>30</v>
      </c>
      <c r="F1353" s="7" t="s">
        <v>38</v>
      </c>
      <c r="G1353" s="7" t="s">
        <v>47</v>
      </c>
      <c r="H1353">
        <v>4</v>
      </c>
      <c r="I1353">
        <v>26192.38</v>
      </c>
      <c r="J1353">
        <v>0.05</v>
      </c>
      <c r="K1353">
        <v>99531.04</v>
      </c>
      <c r="L1353">
        <v>74412.38</v>
      </c>
      <c r="M1353">
        <v>25118.66</v>
      </c>
      <c r="N1353" s="7" t="s">
        <v>59</v>
      </c>
      <c r="O1353" s="9">
        <f>IFERROR(RawSalesTable_[[#This Row],[Profit]]/RawSalesTable_[[#This Row],[Revenue]],0)</f>
        <v>0.25237011489079186</v>
      </c>
    </row>
    <row r="1354" spans="1:15">
      <c r="A1354" s="7" t="s">
        <v>1504</v>
      </c>
      <c r="B1354" s="8">
        <v>45754</v>
      </c>
      <c r="C1354" s="7" t="s">
        <v>28</v>
      </c>
      <c r="D1354" s="7" t="s">
        <v>52</v>
      </c>
      <c r="E1354" s="7" t="s">
        <v>30</v>
      </c>
      <c r="F1354" s="7" t="s">
        <v>40</v>
      </c>
      <c r="G1354" s="7" t="s">
        <v>61</v>
      </c>
      <c r="H1354">
        <v>5</v>
      </c>
      <c r="I1354">
        <v>23574.53</v>
      </c>
      <c r="J1354">
        <v>0.05</v>
      </c>
      <c r="K1354">
        <v>111979.02</v>
      </c>
      <c r="L1354">
        <v>80333.36</v>
      </c>
      <c r="M1354">
        <v>31645.66</v>
      </c>
      <c r="N1354" s="7" t="s">
        <v>59</v>
      </c>
      <c r="O1354" s="9">
        <f>IFERROR(RawSalesTable_[[#This Row],[Profit]]/RawSalesTable_[[#This Row],[Revenue]],0)</f>
        <v>0.28260347340064235</v>
      </c>
    </row>
    <row r="1355" spans="1:15">
      <c r="A1355" s="7" t="s">
        <v>1505</v>
      </c>
      <c r="B1355" s="8">
        <v>45718</v>
      </c>
      <c r="C1355" s="7" t="s">
        <v>22</v>
      </c>
      <c r="D1355" s="7" t="s">
        <v>37</v>
      </c>
      <c r="E1355" s="7" t="s">
        <v>30</v>
      </c>
      <c r="F1355" s="7" t="s">
        <v>38</v>
      </c>
      <c r="G1355" s="7" t="s">
        <v>58</v>
      </c>
      <c r="H1355">
        <v>4</v>
      </c>
      <c r="I1355">
        <v>28287.49</v>
      </c>
      <c r="J1355">
        <v>0.1</v>
      </c>
      <c r="K1355">
        <v>101834.96</v>
      </c>
      <c r="L1355">
        <v>72461.37</v>
      </c>
      <c r="M1355">
        <v>29373.59</v>
      </c>
      <c r="N1355" s="7" t="s">
        <v>26</v>
      </c>
      <c r="O1355" s="9">
        <f>IFERROR(RawSalesTable_[[#This Row],[Profit]]/RawSalesTable_[[#This Row],[Revenue]],0)</f>
        <v>0.28844308477167369</v>
      </c>
    </row>
    <row r="1356" spans="1:15">
      <c r="A1356" s="7" t="s">
        <v>1506</v>
      </c>
      <c r="B1356" s="8">
        <v>45796</v>
      </c>
      <c r="C1356" s="7" t="s">
        <v>22</v>
      </c>
      <c r="D1356" s="7" t="s">
        <v>37</v>
      </c>
      <c r="E1356" s="7" t="s">
        <v>30</v>
      </c>
      <c r="F1356" s="7" t="s">
        <v>86</v>
      </c>
      <c r="G1356" s="7" t="s">
        <v>70</v>
      </c>
      <c r="H1356">
        <v>8</v>
      </c>
      <c r="I1356">
        <v>32339.99</v>
      </c>
      <c r="J1356">
        <v>0.05</v>
      </c>
      <c r="K1356">
        <v>245783.92</v>
      </c>
      <c r="L1356">
        <v>180702.73</v>
      </c>
      <c r="M1356">
        <v>65081.19</v>
      </c>
      <c r="N1356" s="7" t="s">
        <v>59</v>
      </c>
      <c r="O1356" s="9">
        <f>IFERROR(RawSalesTable_[[#This Row],[Profit]]/RawSalesTable_[[#This Row],[Revenue]],0)</f>
        <v>0.26479026780922038</v>
      </c>
    </row>
    <row r="1357" spans="1:15">
      <c r="A1357" s="7" t="s">
        <v>1507</v>
      </c>
      <c r="B1357" s="8">
        <v>45659</v>
      </c>
      <c r="C1357" s="7" t="s">
        <v>22</v>
      </c>
      <c r="D1357" s="7" t="s">
        <v>35</v>
      </c>
      <c r="E1357" s="7" t="s">
        <v>17</v>
      </c>
      <c r="F1357" s="7" t="s">
        <v>18</v>
      </c>
      <c r="G1357" s="7" t="s">
        <v>19</v>
      </c>
      <c r="H1357">
        <v>2</v>
      </c>
      <c r="I1357">
        <v>15582.31</v>
      </c>
      <c r="J1357">
        <v>0.1</v>
      </c>
      <c r="K1357">
        <v>28048.16</v>
      </c>
      <c r="L1357">
        <v>17037.48</v>
      </c>
      <c r="M1357">
        <v>11010.68</v>
      </c>
      <c r="N1357" s="7" t="s">
        <v>26</v>
      </c>
      <c r="O1357" s="9">
        <f>IFERROR(RawSalesTable_[[#This Row],[Profit]]/RawSalesTable_[[#This Row],[Revenue]],0)</f>
        <v>0.39256336244516576</v>
      </c>
    </row>
    <row r="1358" spans="1:15">
      <c r="A1358" s="7" t="s">
        <v>1508</v>
      </c>
      <c r="B1358" s="8">
        <v>45979</v>
      </c>
      <c r="C1358" s="7" t="s">
        <v>28</v>
      </c>
      <c r="D1358" s="7" t="s">
        <v>56</v>
      </c>
      <c r="E1358" s="7" t="s">
        <v>49</v>
      </c>
      <c r="F1358" s="7" t="s">
        <v>57</v>
      </c>
      <c r="G1358" s="7" t="s">
        <v>70</v>
      </c>
      <c r="H1358">
        <v>7</v>
      </c>
      <c r="I1358">
        <v>10946.51</v>
      </c>
      <c r="J1358">
        <v>0</v>
      </c>
      <c r="K1358">
        <v>76625.570000000007</v>
      </c>
      <c r="L1358">
        <v>47261.32</v>
      </c>
      <c r="M1358">
        <v>29364.25</v>
      </c>
      <c r="N1358" s="7" t="s">
        <v>33</v>
      </c>
      <c r="O1358" s="9">
        <f>IFERROR(RawSalesTable_[[#This Row],[Profit]]/RawSalesTable_[[#This Row],[Revenue]],0)</f>
        <v>0.38321737769781022</v>
      </c>
    </row>
    <row r="1359" spans="1:15">
      <c r="A1359" s="7" t="s">
        <v>1509</v>
      </c>
      <c r="B1359" s="8">
        <v>45685</v>
      </c>
      <c r="C1359" s="7" t="s">
        <v>28</v>
      </c>
      <c r="D1359" s="7" t="s">
        <v>56</v>
      </c>
      <c r="E1359" s="7" t="s">
        <v>49</v>
      </c>
      <c r="F1359" s="7" t="s">
        <v>57</v>
      </c>
      <c r="G1359" s="7" t="s">
        <v>64</v>
      </c>
      <c r="H1359">
        <v>2</v>
      </c>
      <c r="I1359">
        <v>10837.1</v>
      </c>
      <c r="J1359">
        <v>0</v>
      </c>
      <c r="K1359">
        <v>21674.2</v>
      </c>
      <c r="L1359">
        <v>12938.81</v>
      </c>
      <c r="M1359">
        <v>8735.39</v>
      </c>
      <c r="N1359" s="7" t="s">
        <v>33</v>
      </c>
      <c r="O1359" s="9">
        <f>IFERROR(RawSalesTable_[[#This Row],[Profit]]/RawSalesTable_[[#This Row],[Revenue]],0)</f>
        <v>0.40303171512674052</v>
      </c>
    </row>
    <row r="1360" spans="1:15">
      <c r="A1360" s="7" t="s">
        <v>1510</v>
      </c>
      <c r="B1360" s="8">
        <v>45678</v>
      </c>
      <c r="C1360" s="7" t="s">
        <v>28</v>
      </c>
      <c r="D1360" s="7" t="s">
        <v>52</v>
      </c>
      <c r="E1360" s="7" t="s">
        <v>30</v>
      </c>
      <c r="F1360" s="7" t="s">
        <v>86</v>
      </c>
      <c r="G1360" s="7" t="s">
        <v>64</v>
      </c>
      <c r="H1360">
        <v>2</v>
      </c>
      <c r="I1360">
        <v>35247.949999999997</v>
      </c>
      <c r="J1360">
        <v>0.15</v>
      </c>
      <c r="K1360">
        <v>59921.51</v>
      </c>
      <c r="L1360">
        <v>44983.28</v>
      </c>
      <c r="M1360">
        <v>14938.23</v>
      </c>
      <c r="N1360" s="7" t="s">
        <v>33</v>
      </c>
      <c r="O1360" s="9">
        <f>IFERROR(RawSalesTable_[[#This Row],[Profit]]/RawSalesTable_[[#This Row],[Revenue]],0)</f>
        <v>0.24929662153039867</v>
      </c>
    </row>
    <row r="1361" spans="1:15">
      <c r="A1361" s="7" t="s">
        <v>1511</v>
      </c>
      <c r="B1361" s="8">
        <v>45950</v>
      </c>
      <c r="C1361" s="7" t="s">
        <v>22</v>
      </c>
      <c r="D1361" s="7" t="s">
        <v>35</v>
      </c>
      <c r="E1361" s="7" t="s">
        <v>30</v>
      </c>
      <c r="F1361" s="7" t="s">
        <v>38</v>
      </c>
      <c r="G1361" s="7" t="s">
        <v>58</v>
      </c>
      <c r="H1361">
        <v>7</v>
      </c>
      <c r="I1361">
        <v>25879.74</v>
      </c>
      <c r="J1361">
        <v>0</v>
      </c>
      <c r="K1361">
        <v>181158.18</v>
      </c>
      <c r="L1361">
        <v>127673.51</v>
      </c>
      <c r="M1361">
        <v>53484.67</v>
      </c>
      <c r="N1361" s="7" t="s">
        <v>59</v>
      </c>
      <c r="O1361" s="9">
        <f>IFERROR(RawSalesTable_[[#This Row],[Profit]]/RawSalesTable_[[#This Row],[Revenue]],0)</f>
        <v>0.2952373997133334</v>
      </c>
    </row>
    <row r="1362" spans="1:15">
      <c r="A1362" s="7" t="s">
        <v>1512</v>
      </c>
      <c r="B1362" s="8">
        <v>45973</v>
      </c>
      <c r="C1362" s="7" t="s">
        <v>22</v>
      </c>
      <c r="D1362" s="7" t="s">
        <v>23</v>
      </c>
      <c r="E1362" s="7" t="s">
        <v>17</v>
      </c>
      <c r="F1362" s="7" t="s">
        <v>18</v>
      </c>
      <c r="G1362" s="7" t="s">
        <v>64</v>
      </c>
      <c r="H1362">
        <v>4</v>
      </c>
      <c r="I1362">
        <v>13738.67</v>
      </c>
      <c r="J1362">
        <v>0.05</v>
      </c>
      <c r="K1362">
        <v>52206.95</v>
      </c>
      <c r="L1362">
        <v>32282.41</v>
      </c>
      <c r="M1362">
        <v>19924.54</v>
      </c>
      <c r="N1362" s="7" t="s">
        <v>26</v>
      </c>
      <c r="O1362" s="9">
        <f>IFERROR(RawSalesTable_[[#This Row],[Profit]]/RawSalesTable_[[#This Row],[Revenue]],0)</f>
        <v>0.38164535564709301</v>
      </c>
    </row>
    <row r="1363" spans="1:15">
      <c r="A1363" s="7" t="s">
        <v>1513</v>
      </c>
      <c r="B1363" s="8">
        <v>45893</v>
      </c>
      <c r="C1363" s="7" t="s">
        <v>22</v>
      </c>
      <c r="D1363" s="7" t="s">
        <v>37</v>
      </c>
      <c r="E1363" s="7" t="s">
        <v>30</v>
      </c>
      <c r="F1363" s="7" t="s">
        <v>40</v>
      </c>
      <c r="G1363" s="7" t="s">
        <v>61</v>
      </c>
      <c r="H1363">
        <v>2</v>
      </c>
      <c r="I1363">
        <v>22915.08</v>
      </c>
      <c r="J1363">
        <v>0.05</v>
      </c>
      <c r="K1363">
        <v>43538.65</v>
      </c>
      <c r="L1363">
        <v>31140.79</v>
      </c>
      <c r="M1363">
        <v>12397.86</v>
      </c>
      <c r="N1363" s="7" t="s">
        <v>26</v>
      </c>
      <c r="O1363" s="9">
        <f>IFERROR(RawSalesTable_[[#This Row],[Profit]]/RawSalesTable_[[#This Row],[Revenue]],0)</f>
        <v>0.28475526916888788</v>
      </c>
    </row>
    <row r="1364" spans="1:15">
      <c r="A1364" s="7" t="s">
        <v>1514</v>
      </c>
      <c r="B1364" s="8">
        <v>45965</v>
      </c>
      <c r="C1364" s="7" t="s">
        <v>22</v>
      </c>
      <c r="D1364" s="7" t="s">
        <v>35</v>
      </c>
      <c r="E1364" s="7" t="s">
        <v>17</v>
      </c>
      <c r="F1364" s="7" t="s">
        <v>75</v>
      </c>
      <c r="G1364" s="7" t="s">
        <v>25</v>
      </c>
      <c r="H1364">
        <v>4</v>
      </c>
      <c r="I1364">
        <v>190066.38</v>
      </c>
      <c r="J1364">
        <v>0.05</v>
      </c>
      <c r="K1364">
        <v>722252.24</v>
      </c>
      <c r="L1364">
        <v>574006.39</v>
      </c>
      <c r="M1364">
        <v>148245.85</v>
      </c>
      <c r="N1364" s="7" t="s">
        <v>20</v>
      </c>
      <c r="O1364" s="9">
        <f>IFERROR(RawSalesTable_[[#This Row],[Profit]]/RawSalesTable_[[#This Row],[Revenue]],0)</f>
        <v>0.20525495358795981</v>
      </c>
    </row>
    <row r="1365" spans="1:15">
      <c r="A1365" s="7" t="s">
        <v>1515</v>
      </c>
      <c r="B1365" s="8">
        <v>45854</v>
      </c>
      <c r="C1365" s="7" t="s">
        <v>22</v>
      </c>
      <c r="D1365" s="7" t="s">
        <v>23</v>
      </c>
      <c r="E1365" s="7" t="s">
        <v>17</v>
      </c>
      <c r="F1365" s="7" t="s">
        <v>75</v>
      </c>
      <c r="G1365" s="7" t="s">
        <v>25</v>
      </c>
      <c r="H1365">
        <v>7</v>
      </c>
      <c r="I1365">
        <v>191287.78</v>
      </c>
      <c r="J1365">
        <v>0.05</v>
      </c>
      <c r="K1365">
        <v>1272063.74</v>
      </c>
      <c r="L1365">
        <v>974643.83</v>
      </c>
      <c r="M1365">
        <v>297419.90999999997</v>
      </c>
      <c r="N1365" s="7" t="s">
        <v>33</v>
      </c>
      <c r="O1365" s="9">
        <f>IFERROR(RawSalesTable_[[#This Row],[Profit]]/RawSalesTable_[[#This Row],[Revenue]],0)</f>
        <v>0.2338089677801837</v>
      </c>
    </row>
    <row r="1366" spans="1:15">
      <c r="A1366" s="7" t="s">
        <v>1516</v>
      </c>
      <c r="B1366" s="8">
        <v>45668</v>
      </c>
      <c r="C1366" s="7" t="s">
        <v>15</v>
      </c>
      <c r="D1366" s="7" t="s">
        <v>63</v>
      </c>
      <c r="E1366" s="7" t="s">
        <v>44</v>
      </c>
      <c r="F1366" s="7" t="s">
        <v>53</v>
      </c>
      <c r="G1366" s="7" t="s">
        <v>70</v>
      </c>
      <c r="H1366">
        <v>7</v>
      </c>
      <c r="I1366">
        <v>8893.84</v>
      </c>
      <c r="J1366">
        <v>0.1</v>
      </c>
      <c r="K1366">
        <v>56031.19</v>
      </c>
      <c r="L1366">
        <v>34092.839999999997</v>
      </c>
      <c r="M1366">
        <v>21938.35</v>
      </c>
      <c r="N1366" s="7" t="s">
        <v>20</v>
      </c>
      <c r="O1366" s="9">
        <f>IFERROR(RawSalesTable_[[#This Row],[Profit]]/RawSalesTable_[[#This Row],[Revenue]],0)</f>
        <v>0.39153817721879541</v>
      </c>
    </row>
    <row r="1367" spans="1:15">
      <c r="A1367" s="7" t="s">
        <v>1517</v>
      </c>
      <c r="B1367" s="8">
        <v>46007</v>
      </c>
      <c r="C1367" s="7" t="s">
        <v>28</v>
      </c>
      <c r="D1367" s="7" t="s">
        <v>29</v>
      </c>
      <c r="E1367" s="7" t="s">
        <v>44</v>
      </c>
      <c r="F1367" s="7" t="s">
        <v>69</v>
      </c>
      <c r="G1367" s="7" t="s">
        <v>25</v>
      </c>
      <c r="H1367">
        <v>3</v>
      </c>
      <c r="I1367">
        <v>39237.01</v>
      </c>
      <c r="J1367">
        <v>0.1</v>
      </c>
      <c r="K1367">
        <v>105939.93</v>
      </c>
      <c r="L1367">
        <v>80229.69</v>
      </c>
      <c r="M1367">
        <v>25710.240000000002</v>
      </c>
      <c r="N1367" s="7" t="s">
        <v>26</v>
      </c>
      <c r="O1367" s="9">
        <f>IFERROR(RawSalesTable_[[#This Row],[Profit]]/RawSalesTable_[[#This Row],[Revenue]],0)</f>
        <v>0.24268696420698035</v>
      </c>
    </row>
    <row r="1368" spans="1:15">
      <c r="A1368" s="7" t="s">
        <v>1518</v>
      </c>
      <c r="B1368" s="8">
        <v>45776</v>
      </c>
      <c r="C1368" s="7" t="s">
        <v>28</v>
      </c>
      <c r="D1368" s="7" t="s">
        <v>52</v>
      </c>
      <c r="E1368" s="7" t="s">
        <v>44</v>
      </c>
      <c r="F1368" s="7" t="s">
        <v>69</v>
      </c>
      <c r="G1368" s="7" t="s">
        <v>25</v>
      </c>
      <c r="H1368">
        <v>6</v>
      </c>
      <c r="I1368">
        <v>37423.019999999997</v>
      </c>
      <c r="J1368">
        <v>0</v>
      </c>
      <c r="K1368">
        <v>224538.12</v>
      </c>
      <c r="L1368">
        <v>159127.07999999999</v>
      </c>
      <c r="M1368">
        <v>65411.040000000001</v>
      </c>
      <c r="N1368" s="7" t="s">
        <v>20</v>
      </c>
      <c r="O1368" s="9">
        <f>IFERROR(RawSalesTable_[[#This Row],[Profit]]/RawSalesTable_[[#This Row],[Revenue]],0)</f>
        <v>0.29131374218328721</v>
      </c>
    </row>
    <row r="1369" spans="1:15">
      <c r="A1369" s="7" t="s">
        <v>1519</v>
      </c>
      <c r="B1369" s="8">
        <v>45834</v>
      </c>
      <c r="C1369" s="7" t="s">
        <v>22</v>
      </c>
      <c r="D1369" s="7" t="s">
        <v>37</v>
      </c>
      <c r="E1369" s="7" t="s">
        <v>44</v>
      </c>
      <c r="F1369" s="7" t="s">
        <v>80</v>
      </c>
      <c r="G1369" s="7" t="s">
        <v>32</v>
      </c>
      <c r="H1369">
        <v>8</v>
      </c>
      <c r="I1369">
        <v>44465.919999999998</v>
      </c>
      <c r="J1369">
        <v>0</v>
      </c>
      <c r="K1369">
        <v>355727.35999999999</v>
      </c>
      <c r="L1369">
        <v>247310.78</v>
      </c>
      <c r="M1369">
        <v>108416.58</v>
      </c>
      <c r="N1369" s="7" t="s">
        <v>20</v>
      </c>
      <c r="O1369" s="9">
        <f>IFERROR(RawSalesTable_[[#This Row],[Profit]]/RawSalesTable_[[#This Row],[Revenue]],0)</f>
        <v>0.3047743642771813</v>
      </c>
    </row>
    <row r="1370" spans="1:15">
      <c r="A1370" s="7" t="s">
        <v>1520</v>
      </c>
      <c r="B1370" s="8">
        <v>45795</v>
      </c>
      <c r="C1370" s="7" t="s">
        <v>22</v>
      </c>
      <c r="D1370" s="7" t="s">
        <v>35</v>
      </c>
      <c r="E1370" s="7" t="s">
        <v>49</v>
      </c>
      <c r="F1370" s="7" t="s">
        <v>107</v>
      </c>
      <c r="G1370" s="7" t="s">
        <v>32</v>
      </c>
      <c r="H1370">
        <v>7</v>
      </c>
      <c r="I1370">
        <v>4858.43</v>
      </c>
      <c r="J1370">
        <v>0.05</v>
      </c>
      <c r="K1370">
        <v>32308.560000000001</v>
      </c>
      <c r="L1370">
        <v>18793.71</v>
      </c>
      <c r="M1370">
        <v>13514.85</v>
      </c>
      <c r="N1370" s="7" t="s">
        <v>59</v>
      </c>
      <c r="O1370" s="9">
        <f>IFERROR(RawSalesTable_[[#This Row],[Profit]]/RawSalesTable_[[#This Row],[Revenue]],0)</f>
        <v>0.41830555122233859</v>
      </c>
    </row>
    <row r="1371" spans="1:15">
      <c r="A1371" s="7" t="s">
        <v>1521</v>
      </c>
      <c r="B1371" s="8">
        <v>45775</v>
      </c>
      <c r="C1371" s="7" t="s">
        <v>28</v>
      </c>
      <c r="D1371" s="7" t="s">
        <v>52</v>
      </c>
      <c r="E1371" s="7" t="s">
        <v>44</v>
      </c>
      <c r="F1371" s="7" t="s">
        <v>45</v>
      </c>
      <c r="G1371" s="7" t="s">
        <v>19</v>
      </c>
      <c r="H1371">
        <v>4</v>
      </c>
      <c r="I1371">
        <v>30077.32</v>
      </c>
      <c r="J1371">
        <v>0.05</v>
      </c>
      <c r="K1371">
        <v>114293.82</v>
      </c>
      <c r="L1371">
        <v>75659.520000000004</v>
      </c>
      <c r="M1371">
        <v>38634.300000000003</v>
      </c>
      <c r="N1371" s="7" t="s">
        <v>26</v>
      </c>
      <c r="O1371" s="9">
        <f>IFERROR(RawSalesTable_[[#This Row],[Profit]]/RawSalesTable_[[#This Row],[Revenue]],0)</f>
        <v>0.33802615049527612</v>
      </c>
    </row>
    <row r="1372" spans="1:15">
      <c r="A1372" s="7" t="s">
        <v>1522</v>
      </c>
      <c r="B1372" s="8">
        <v>45808</v>
      </c>
      <c r="C1372" s="7" t="s">
        <v>22</v>
      </c>
      <c r="D1372" s="7" t="s">
        <v>37</v>
      </c>
      <c r="E1372" s="7" t="s">
        <v>17</v>
      </c>
      <c r="F1372" s="7" t="s">
        <v>18</v>
      </c>
      <c r="G1372" s="7" t="s">
        <v>61</v>
      </c>
      <c r="H1372">
        <v>2</v>
      </c>
      <c r="I1372">
        <v>14558.59</v>
      </c>
      <c r="J1372">
        <v>0.05</v>
      </c>
      <c r="K1372">
        <v>27661.32</v>
      </c>
      <c r="L1372">
        <v>16428.16</v>
      </c>
      <c r="M1372">
        <v>11233.16</v>
      </c>
      <c r="N1372" s="7" t="s">
        <v>20</v>
      </c>
      <c r="O1372" s="9">
        <f>IFERROR(RawSalesTable_[[#This Row],[Profit]]/RawSalesTable_[[#This Row],[Revenue]],0)</f>
        <v>0.40609631066051799</v>
      </c>
    </row>
    <row r="1373" spans="1:15">
      <c r="A1373" s="7" t="s">
        <v>1523</v>
      </c>
      <c r="B1373" s="8">
        <v>45705</v>
      </c>
      <c r="C1373" s="7" t="s">
        <v>28</v>
      </c>
      <c r="D1373" s="7" t="s">
        <v>52</v>
      </c>
      <c r="E1373" s="7" t="s">
        <v>44</v>
      </c>
      <c r="F1373" s="7" t="s">
        <v>53</v>
      </c>
      <c r="G1373" s="7" t="s">
        <v>64</v>
      </c>
      <c r="H1373">
        <v>5</v>
      </c>
      <c r="I1373">
        <v>8046.62</v>
      </c>
      <c r="J1373">
        <v>0</v>
      </c>
      <c r="K1373">
        <v>40233.1</v>
      </c>
      <c r="L1373">
        <v>24162.560000000001</v>
      </c>
      <c r="M1373">
        <v>16070.54</v>
      </c>
      <c r="N1373" s="7" t="s">
        <v>26</v>
      </c>
      <c r="O1373" s="9">
        <f>IFERROR(RawSalesTable_[[#This Row],[Profit]]/RawSalesTable_[[#This Row],[Revenue]],0)</f>
        <v>0.39943578794574619</v>
      </c>
    </row>
    <row r="1374" spans="1:15">
      <c r="A1374" s="7" t="s">
        <v>1524</v>
      </c>
      <c r="B1374" s="8">
        <v>45697</v>
      </c>
      <c r="C1374" s="7" t="s">
        <v>28</v>
      </c>
      <c r="D1374" s="7" t="s">
        <v>29</v>
      </c>
      <c r="E1374" s="7" t="s">
        <v>49</v>
      </c>
      <c r="F1374" s="7" t="s">
        <v>107</v>
      </c>
      <c r="G1374" s="7" t="s">
        <v>19</v>
      </c>
      <c r="H1374">
        <v>3</v>
      </c>
      <c r="I1374">
        <v>4980.5600000000004</v>
      </c>
      <c r="J1374">
        <v>0</v>
      </c>
      <c r="K1374">
        <v>14941.68</v>
      </c>
      <c r="L1374">
        <v>8198.69</v>
      </c>
      <c r="M1374">
        <v>6742.99</v>
      </c>
      <c r="N1374" s="7" t="s">
        <v>33</v>
      </c>
      <c r="O1374" s="9">
        <f>IFERROR(RawSalesTable_[[#This Row],[Profit]]/RawSalesTable_[[#This Row],[Revenue]],0)</f>
        <v>0.45128727157856408</v>
      </c>
    </row>
    <row r="1375" spans="1:15">
      <c r="A1375" s="7" t="s">
        <v>1525</v>
      </c>
      <c r="B1375" s="8">
        <v>45753</v>
      </c>
      <c r="C1375" s="7" t="s">
        <v>28</v>
      </c>
      <c r="D1375" s="7" t="s">
        <v>52</v>
      </c>
      <c r="E1375" s="7" t="s">
        <v>17</v>
      </c>
      <c r="F1375" s="7" t="s">
        <v>114</v>
      </c>
      <c r="G1375" s="7" t="s">
        <v>47</v>
      </c>
      <c r="H1375">
        <v>6</v>
      </c>
      <c r="I1375">
        <v>53857.09</v>
      </c>
      <c r="J1375">
        <v>0</v>
      </c>
      <c r="K1375">
        <v>323142.53999999998</v>
      </c>
      <c r="L1375">
        <v>220610.97</v>
      </c>
      <c r="M1375">
        <v>102531.57</v>
      </c>
      <c r="N1375" s="7" t="s">
        <v>33</v>
      </c>
      <c r="O1375" s="9">
        <f>IFERROR(RawSalesTable_[[#This Row],[Profit]]/RawSalesTable_[[#This Row],[Revenue]],0)</f>
        <v>0.3172951787777617</v>
      </c>
    </row>
    <row r="1376" spans="1:15">
      <c r="A1376" s="7" t="s">
        <v>1526</v>
      </c>
      <c r="B1376" s="8">
        <v>45737</v>
      </c>
      <c r="C1376" s="7" t="s">
        <v>28</v>
      </c>
      <c r="D1376" s="7" t="s">
        <v>52</v>
      </c>
      <c r="E1376" s="7" t="s">
        <v>30</v>
      </c>
      <c r="F1376" s="7" t="s">
        <v>31</v>
      </c>
      <c r="G1376" s="7" t="s">
        <v>61</v>
      </c>
      <c r="H1376">
        <v>1</v>
      </c>
      <c r="I1376">
        <v>132706.20000000001</v>
      </c>
      <c r="J1376">
        <v>0</v>
      </c>
      <c r="K1376">
        <v>132706.20000000001</v>
      </c>
      <c r="L1376">
        <v>98311.8</v>
      </c>
      <c r="M1376">
        <v>34394.400000000001</v>
      </c>
      <c r="N1376" s="7" t="s">
        <v>26</v>
      </c>
      <c r="O1376" s="9">
        <f>IFERROR(RawSalesTable_[[#This Row],[Profit]]/RawSalesTable_[[#This Row],[Revenue]],0)</f>
        <v>0.25917703920389551</v>
      </c>
    </row>
    <row r="1377" spans="1:15">
      <c r="A1377" s="7" t="s">
        <v>1527</v>
      </c>
      <c r="B1377" s="8">
        <v>45785</v>
      </c>
      <c r="C1377" s="7" t="s">
        <v>15</v>
      </c>
      <c r="D1377" s="7" t="s">
        <v>63</v>
      </c>
      <c r="E1377" s="7" t="s">
        <v>30</v>
      </c>
      <c r="F1377" s="7" t="s">
        <v>40</v>
      </c>
      <c r="G1377" s="7" t="s">
        <v>61</v>
      </c>
      <c r="H1377">
        <v>4</v>
      </c>
      <c r="I1377">
        <v>24323.38</v>
      </c>
      <c r="J1377">
        <v>0.15</v>
      </c>
      <c r="K1377">
        <v>82699.490000000005</v>
      </c>
      <c r="L1377">
        <v>61790.09</v>
      </c>
      <c r="M1377">
        <v>20909.400000000001</v>
      </c>
      <c r="N1377" s="7" t="s">
        <v>33</v>
      </c>
      <c r="O1377" s="9">
        <f>IFERROR(RawSalesTable_[[#This Row],[Profit]]/RawSalesTable_[[#This Row],[Revenue]],0)</f>
        <v>0.25283590019720797</v>
      </c>
    </row>
    <row r="1378" spans="1:15">
      <c r="A1378" s="7" t="s">
        <v>1528</v>
      </c>
      <c r="B1378" s="8">
        <v>45860</v>
      </c>
      <c r="C1378" s="7" t="s">
        <v>22</v>
      </c>
      <c r="D1378" s="7" t="s">
        <v>35</v>
      </c>
      <c r="E1378" s="7" t="s">
        <v>44</v>
      </c>
      <c r="F1378" s="7" t="s">
        <v>80</v>
      </c>
      <c r="G1378" s="7" t="s">
        <v>25</v>
      </c>
      <c r="H1378">
        <v>5</v>
      </c>
      <c r="I1378">
        <v>42730.12</v>
      </c>
      <c r="J1378">
        <v>0.05</v>
      </c>
      <c r="K1378">
        <v>202968.07</v>
      </c>
      <c r="L1378">
        <v>157701.15</v>
      </c>
      <c r="M1378">
        <v>45266.92</v>
      </c>
      <c r="N1378" s="7" t="s">
        <v>20</v>
      </c>
      <c r="O1378" s="9">
        <f>IFERROR(RawSalesTable_[[#This Row],[Profit]]/RawSalesTable_[[#This Row],[Revenue]],0)</f>
        <v>0.22302483341345264</v>
      </c>
    </row>
    <row r="1379" spans="1:15">
      <c r="A1379" s="7" t="s">
        <v>1529</v>
      </c>
      <c r="B1379" s="8">
        <v>45913</v>
      </c>
      <c r="C1379" s="7" t="s">
        <v>15</v>
      </c>
      <c r="D1379" s="7" t="s">
        <v>43</v>
      </c>
      <c r="E1379" s="7" t="s">
        <v>30</v>
      </c>
      <c r="F1379" s="7" t="s">
        <v>40</v>
      </c>
      <c r="G1379" s="7" t="s">
        <v>61</v>
      </c>
      <c r="H1379">
        <v>5</v>
      </c>
      <c r="I1379">
        <v>24592</v>
      </c>
      <c r="J1379">
        <v>0.05</v>
      </c>
      <c r="K1379">
        <v>116812</v>
      </c>
      <c r="L1379">
        <v>77552.929999999993</v>
      </c>
      <c r="M1379">
        <v>39259.07</v>
      </c>
      <c r="N1379" s="7" t="s">
        <v>33</v>
      </c>
      <c r="O1379" s="9">
        <f>IFERROR(RawSalesTable_[[#This Row],[Profit]]/RawSalesTable_[[#This Row],[Revenue]],0)</f>
        <v>0.33608764510495498</v>
      </c>
    </row>
    <row r="1380" spans="1:15">
      <c r="A1380" s="7" t="s">
        <v>1530</v>
      </c>
      <c r="B1380" s="8">
        <v>45811</v>
      </c>
      <c r="C1380" s="7" t="s">
        <v>22</v>
      </c>
      <c r="D1380" s="7" t="s">
        <v>23</v>
      </c>
      <c r="E1380" s="7" t="s">
        <v>30</v>
      </c>
      <c r="F1380" s="7" t="s">
        <v>38</v>
      </c>
      <c r="G1380" s="7" t="s">
        <v>32</v>
      </c>
      <c r="H1380">
        <v>2</v>
      </c>
      <c r="I1380">
        <v>27450.99</v>
      </c>
      <c r="J1380">
        <v>0.05</v>
      </c>
      <c r="K1380">
        <v>52156.88</v>
      </c>
      <c r="L1380">
        <v>35884.080000000002</v>
      </c>
      <c r="M1380">
        <v>16272.8</v>
      </c>
      <c r="N1380" s="7" t="s">
        <v>33</v>
      </c>
      <c r="O1380" s="9">
        <f>IFERROR(RawSalesTable_[[#This Row],[Profit]]/RawSalesTable_[[#This Row],[Revenue]],0)</f>
        <v>0.31199719001596721</v>
      </c>
    </row>
    <row r="1381" spans="1:15">
      <c r="A1381" s="7" t="s">
        <v>1531</v>
      </c>
      <c r="B1381" s="8">
        <v>45888</v>
      </c>
      <c r="C1381" s="7" t="s">
        <v>28</v>
      </c>
      <c r="D1381" s="7" t="s">
        <v>56</v>
      </c>
      <c r="E1381" s="7" t="s">
        <v>44</v>
      </c>
      <c r="F1381" s="7" t="s">
        <v>80</v>
      </c>
      <c r="G1381" s="7" t="s">
        <v>61</v>
      </c>
      <c r="H1381">
        <v>4</v>
      </c>
      <c r="I1381">
        <v>42556.5</v>
      </c>
      <c r="J1381">
        <v>0.15</v>
      </c>
      <c r="K1381">
        <v>144692.1</v>
      </c>
      <c r="L1381">
        <v>126793.02</v>
      </c>
      <c r="M1381">
        <v>17899.080000000002</v>
      </c>
      <c r="N1381" s="7" t="s">
        <v>59</v>
      </c>
      <c r="O1381" s="9">
        <f>IFERROR(RawSalesTable_[[#This Row],[Profit]]/RawSalesTable_[[#This Row],[Revenue]],0)</f>
        <v>0.12370461137823005</v>
      </c>
    </row>
    <row r="1382" spans="1:15">
      <c r="A1382" s="7" t="s">
        <v>1532</v>
      </c>
      <c r="B1382" s="8">
        <v>45896</v>
      </c>
      <c r="C1382" s="7" t="s">
        <v>28</v>
      </c>
      <c r="D1382" s="7" t="s">
        <v>52</v>
      </c>
      <c r="E1382" s="7" t="s">
        <v>44</v>
      </c>
      <c r="F1382" s="7" t="s">
        <v>80</v>
      </c>
      <c r="G1382" s="7" t="s">
        <v>70</v>
      </c>
      <c r="H1382">
        <v>4</v>
      </c>
      <c r="I1382">
        <v>45777.21</v>
      </c>
      <c r="J1382">
        <v>0.05</v>
      </c>
      <c r="K1382">
        <v>173953.4</v>
      </c>
      <c r="L1382">
        <v>124505.21</v>
      </c>
      <c r="M1382">
        <v>49448.19</v>
      </c>
      <c r="N1382" s="7" t="s">
        <v>59</v>
      </c>
      <c r="O1382" s="9">
        <f>IFERROR(RawSalesTable_[[#This Row],[Profit]]/RawSalesTable_[[#This Row],[Revenue]],0)</f>
        <v>0.28426112970485201</v>
      </c>
    </row>
    <row r="1383" spans="1:15">
      <c r="A1383" s="7" t="s">
        <v>1533</v>
      </c>
      <c r="B1383" s="8">
        <v>45709</v>
      </c>
      <c r="C1383" s="7" t="s">
        <v>22</v>
      </c>
      <c r="D1383" s="7" t="s">
        <v>35</v>
      </c>
      <c r="E1383" s="7" t="s">
        <v>44</v>
      </c>
      <c r="F1383" s="7" t="s">
        <v>53</v>
      </c>
      <c r="G1383" s="7" t="s">
        <v>58</v>
      </c>
      <c r="H1383">
        <v>1</v>
      </c>
      <c r="I1383">
        <v>8153.7</v>
      </c>
      <c r="J1383">
        <v>0</v>
      </c>
      <c r="K1383">
        <v>8153.7</v>
      </c>
      <c r="L1383">
        <v>5060.68</v>
      </c>
      <c r="M1383">
        <v>3093.02</v>
      </c>
      <c r="N1383" s="7" t="s">
        <v>59</v>
      </c>
      <c r="O1383" s="9">
        <f>IFERROR(RawSalesTable_[[#This Row],[Profit]]/RawSalesTable_[[#This Row],[Revenue]],0)</f>
        <v>0.37933944098998001</v>
      </c>
    </row>
    <row r="1384" spans="1:15">
      <c r="A1384" s="7" t="s">
        <v>1534</v>
      </c>
      <c r="B1384" s="8">
        <v>45920</v>
      </c>
      <c r="C1384" s="7" t="s">
        <v>22</v>
      </c>
      <c r="D1384" s="7" t="s">
        <v>35</v>
      </c>
      <c r="E1384" s="7" t="s">
        <v>49</v>
      </c>
      <c r="F1384" s="7" t="s">
        <v>107</v>
      </c>
      <c r="G1384" s="7" t="s">
        <v>70</v>
      </c>
      <c r="H1384">
        <v>7</v>
      </c>
      <c r="I1384">
        <v>4849</v>
      </c>
      <c r="J1384">
        <v>0.05</v>
      </c>
      <c r="K1384">
        <v>32245.85</v>
      </c>
      <c r="L1384">
        <v>18802.37</v>
      </c>
      <c r="M1384">
        <v>13443.48</v>
      </c>
      <c r="N1384" s="7" t="s">
        <v>33</v>
      </c>
      <c r="O1384" s="9">
        <f>IFERROR(RawSalesTable_[[#This Row],[Profit]]/RawSalesTable_[[#This Row],[Revenue]],0)</f>
        <v>0.41690574135896558</v>
      </c>
    </row>
    <row r="1385" spans="1:15">
      <c r="A1385" s="7" t="s">
        <v>1535</v>
      </c>
      <c r="B1385" s="8">
        <v>45709</v>
      </c>
      <c r="C1385" s="7" t="s">
        <v>28</v>
      </c>
      <c r="D1385" s="7" t="s">
        <v>52</v>
      </c>
      <c r="E1385" s="7" t="s">
        <v>30</v>
      </c>
      <c r="F1385" s="7" t="s">
        <v>38</v>
      </c>
      <c r="G1385" s="7" t="s">
        <v>61</v>
      </c>
      <c r="H1385">
        <v>4</v>
      </c>
      <c r="I1385">
        <v>26180.68</v>
      </c>
      <c r="J1385">
        <v>0.1</v>
      </c>
      <c r="K1385">
        <v>94250.45</v>
      </c>
      <c r="L1385">
        <v>70676.36</v>
      </c>
      <c r="M1385">
        <v>23574.09</v>
      </c>
      <c r="N1385" s="7" t="s">
        <v>59</v>
      </c>
      <c r="O1385" s="9">
        <f>IFERROR(RawSalesTable_[[#This Row],[Profit]]/RawSalesTable_[[#This Row],[Revenue]],0)</f>
        <v>0.25012177660690216</v>
      </c>
    </row>
    <row r="1386" spans="1:15">
      <c r="A1386" s="7" t="s">
        <v>1536</v>
      </c>
      <c r="B1386" s="8">
        <v>45893</v>
      </c>
      <c r="C1386" s="7" t="s">
        <v>22</v>
      </c>
      <c r="D1386" s="7" t="s">
        <v>23</v>
      </c>
      <c r="E1386" s="7" t="s">
        <v>44</v>
      </c>
      <c r="F1386" s="7" t="s">
        <v>69</v>
      </c>
      <c r="G1386" s="7" t="s">
        <v>32</v>
      </c>
      <c r="H1386">
        <v>1</v>
      </c>
      <c r="I1386">
        <v>37686.019999999997</v>
      </c>
      <c r="J1386">
        <v>0.05</v>
      </c>
      <c r="K1386">
        <v>35801.72</v>
      </c>
      <c r="L1386">
        <v>26673.29</v>
      </c>
      <c r="M1386">
        <v>9128.43</v>
      </c>
      <c r="N1386" s="7" t="s">
        <v>59</v>
      </c>
      <c r="O1386" s="9">
        <f>IFERROR(RawSalesTable_[[#This Row],[Profit]]/RawSalesTable_[[#This Row],[Revenue]],0)</f>
        <v>0.25497182816914943</v>
      </c>
    </row>
    <row r="1387" spans="1:15">
      <c r="A1387" s="7" t="s">
        <v>1537</v>
      </c>
      <c r="B1387" s="8">
        <v>45676</v>
      </c>
      <c r="C1387" s="7" t="s">
        <v>28</v>
      </c>
      <c r="D1387" s="7" t="s">
        <v>56</v>
      </c>
      <c r="E1387" s="7" t="s">
        <v>17</v>
      </c>
      <c r="F1387" s="7" t="s">
        <v>75</v>
      </c>
      <c r="G1387" s="7" t="s">
        <v>19</v>
      </c>
      <c r="H1387">
        <v>8</v>
      </c>
      <c r="I1387">
        <v>192651.38</v>
      </c>
      <c r="J1387">
        <v>0.05</v>
      </c>
      <c r="K1387">
        <v>1464150.49</v>
      </c>
      <c r="L1387">
        <v>1162644.6200000001</v>
      </c>
      <c r="M1387">
        <v>301505.87</v>
      </c>
      <c r="N1387" s="7" t="s">
        <v>26</v>
      </c>
      <c r="O1387" s="9">
        <f>IFERROR(RawSalesTable_[[#This Row],[Profit]]/RawSalesTable_[[#This Row],[Revenue]],0)</f>
        <v>0.20592546466996026</v>
      </c>
    </row>
    <row r="1388" spans="1:15">
      <c r="A1388" s="7" t="s">
        <v>1538</v>
      </c>
      <c r="B1388" s="8">
        <v>45854</v>
      </c>
      <c r="C1388" s="7" t="s">
        <v>28</v>
      </c>
      <c r="D1388" s="7" t="s">
        <v>56</v>
      </c>
      <c r="E1388" s="7" t="s">
        <v>49</v>
      </c>
      <c r="F1388" s="7" t="s">
        <v>57</v>
      </c>
      <c r="G1388" s="7" t="s">
        <v>58</v>
      </c>
      <c r="H1388">
        <v>3</v>
      </c>
      <c r="I1388">
        <v>10841.67</v>
      </c>
      <c r="J1388">
        <v>0</v>
      </c>
      <c r="K1388">
        <v>32525.01</v>
      </c>
      <c r="L1388">
        <v>19042.2</v>
      </c>
      <c r="M1388">
        <v>13482.81</v>
      </c>
      <c r="N1388" s="7" t="s">
        <v>20</v>
      </c>
      <c r="O1388" s="9">
        <f>IFERROR(RawSalesTable_[[#This Row],[Profit]]/RawSalesTable_[[#This Row],[Revenue]],0)</f>
        <v>0.41453669038072549</v>
      </c>
    </row>
    <row r="1389" spans="1:15">
      <c r="A1389" s="7" t="s">
        <v>1539</v>
      </c>
      <c r="B1389" s="8">
        <v>45757</v>
      </c>
      <c r="C1389" s="7" t="s">
        <v>22</v>
      </c>
      <c r="D1389" s="7" t="s">
        <v>23</v>
      </c>
      <c r="E1389" s="7" t="s">
        <v>17</v>
      </c>
      <c r="F1389" s="7" t="s">
        <v>18</v>
      </c>
      <c r="G1389" s="7" t="s">
        <v>25</v>
      </c>
      <c r="H1389">
        <v>1</v>
      </c>
      <c r="I1389">
        <v>15552.26</v>
      </c>
      <c r="J1389">
        <v>0</v>
      </c>
      <c r="K1389">
        <v>15552.26</v>
      </c>
      <c r="L1389">
        <v>8194.15</v>
      </c>
      <c r="M1389">
        <v>7358.11</v>
      </c>
      <c r="N1389" s="7" t="s">
        <v>26</v>
      </c>
      <c r="O1389" s="9">
        <f>IFERROR(RawSalesTable_[[#This Row],[Profit]]/RawSalesTable_[[#This Row],[Revenue]],0)</f>
        <v>0.47312159133142062</v>
      </c>
    </row>
    <row r="1390" spans="1:15">
      <c r="A1390" s="7" t="s">
        <v>1540</v>
      </c>
      <c r="B1390" s="8">
        <v>45793</v>
      </c>
      <c r="C1390" s="7" t="s">
        <v>28</v>
      </c>
      <c r="D1390" s="7" t="s">
        <v>29</v>
      </c>
      <c r="E1390" s="7" t="s">
        <v>30</v>
      </c>
      <c r="F1390" s="7" t="s">
        <v>86</v>
      </c>
      <c r="G1390" s="7" t="s">
        <v>70</v>
      </c>
      <c r="H1390">
        <v>1</v>
      </c>
      <c r="I1390">
        <v>35592.620000000003</v>
      </c>
      <c r="J1390">
        <v>0</v>
      </c>
      <c r="K1390">
        <v>35592.620000000003</v>
      </c>
      <c r="L1390">
        <v>23177.67</v>
      </c>
      <c r="M1390">
        <v>12414.95</v>
      </c>
      <c r="N1390" s="7" t="s">
        <v>33</v>
      </c>
      <c r="O1390" s="9">
        <f>IFERROR(RawSalesTable_[[#This Row],[Profit]]/RawSalesTable_[[#This Row],[Revenue]],0)</f>
        <v>0.34880685939950473</v>
      </c>
    </row>
    <row r="1391" spans="1:15">
      <c r="A1391" s="7" t="s">
        <v>1541</v>
      </c>
      <c r="B1391" s="8">
        <v>45833</v>
      </c>
      <c r="C1391" s="7" t="s">
        <v>22</v>
      </c>
      <c r="D1391" s="7" t="s">
        <v>35</v>
      </c>
      <c r="E1391" s="7" t="s">
        <v>44</v>
      </c>
      <c r="F1391" s="7" t="s">
        <v>53</v>
      </c>
      <c r="G1391" s="7" t="s">
        <v>32</v>
      </c>
      <c r="H1391">
        <v>2</v>
      </c>
      <c r="I1391">
        <v>7928.76</v>
      </c>
      <c r="J1391">
        <v>0.05</v>
      </c>
      <c r="K1391">
        <v>15064.64</v>
      </c>
      <c r="L1391">
        <v>10062.82</v>
      </c>
      <c r="M1391">
        <v>5001.82</v>
      </c>
      <c r="N1391" s="7" t="s">
        <v>20</v>
      </c>
      <c r="O1391" s="9">
        <f>IFERROR(RawSalesTable_[[#This Row],[Profit]]/RawSalesTable_[[#This Row],[Revenue]],0)</f>
        <v>0.3320238651570831</v>
      </c>
    </row>
    <row r="1392" spans="1:15">
      <c r="A1392" s="7" t="s">
        <v>1542</v>
      </c>
      <c r="B1392" s="8">
        <v>46007</v>
      </c>
      <c r="C1392" s="7" t="s">
        <v>28</v>
      </c>
      <c r="D1392" s="7" t="s">
        <v>29</v>
      </c>
      <c r="E1392" s="7" t="s">
        <v>30</v>
      </c>
      <c r="F1392" s="7" t="s">
        <v>38</v>
      </c>
      <c r="G1392" s="7" t="s">
        <v>58</v>
      </c>
      <c r="H1392">
        <v>3</v>
      </c>
      <c r="I1392">
        <v>27724.69</v>
      </c>
      <c r="J1392">
        <v>0.15</v>
      </c>
      <c r="K1392">
        <v>70697.960000000006</v>
      </c>
      <c r="L1392">
        <v>54609.37</v>
      </c>
      <c r="M1392">
        <v>16088.59</v>
      </c>
      <c r="N1392" s="7" t="s">
        <v>26</v>
      </c>
      <c r="O1392" s="9">
        <f>IFERROR(RawSalesTable_[[#This Row],[Profit]]/RawSalesTable_[[#This Row],[Revenue]],0)</f>
        <v>0.22756795245577099</v>
      </c>
    </row>
    <row r="1393" spans="1:15">
      <c r="A1393" s="7" t="s">
        <v>1543</v>
      </c>
      <c r="B1393" s="8">
        <v>45865</v>
      </c>
      <c r="C1393" s="7" t="s">
        <v>22</v>
      </c>
      <c r="D1393" s="7" t="s">
        <v>23</v>
      </c>
      <c r="E1393" s="7" t="s">
        <v>49</v>
      </c>
      <c r="F1393" s="7" t="s">
        <v>107</v>
      </c>
      <c r="G1393" s="7" t="s">
        <v>64</v>
      </c>
      <c r="H1393">
        <v>5</v>
      </c>
      <c r="I1393">
        <v>5057.0200000000004</v>
      </c>
      <c r="J1393">
        <v>0.1</v>
      </c>
      <c r="K1393">
        <v>22756.59</v>
      </c>
      <c r="L1393">
        <v>13379.04</v>
      </c>
      <c r="M1393">
        <v>9377.5499999999993</v>
      </c>
      <c r="N1393" s="7" t="s">
        <v>59</v>
      </c>
      <c r="O1393" s="9">
        <f>IFERROR(RawSalesTable_[[#This Row],[Profit]]/RawSalesTable_[[#This Row],[Revenue]],0)</f>
        <v>0.41208063246734239</v>
      </c>
    </row>
    <row r="1394" spans="1:15">
      <c r="A1394" s="7" t="s">
        <v>1544</v>
      </c>
      <c r="B1394" s="8">
        <v>45736</v>
      </c>
      <c r="C1394" s="7" t="s">
        <v>28</v>
      </c>
      <c r="D1394" s="7" t="s">
        <v>52</v>
      </c>
      <c r="E1394" s="7" t="s">
        <v>44</v>
      </c>
      <c r="F1394" s="7" t="s">
        <v>45</v>
      </c>
      <c r="G1394" s="7" t="s">
        <v>19</v>
      </c>
      <c r="H1394">
        <v>4</v>
      </c>
      <c r="I1394">
        <v>30236.2</v>
      </c>
      <c r="J1394">
        <v>0</v>
      </c>
      <c r="K1394">
        <v>120944.8</v>
      </c>
      <c r="L1394">
        <v>76190.33</v>
      </c>
      <c r="M1394">
        <v>44754.47</v>
      </c>
      <c r="N1394" s="7" t="s">
        <v>59</v>
      </c>
      <c r="O1394" s="9">
        <f>IFERROR(RawSalesTable_[[#This Row],[Profit]]/RawSalesTable_[[#This Row],[Revenue]],0)</f>
        <v>0.37004046474093966</v>
      </c>
    </row>
    <row r="1395" spans="1:15">
      <c r="A1395" s="7" t="s">
        <v>1545</v>
      </c>
      <c r="B1395" s="8">
        <v>45904</v>
      </c>
      <c r="C1395" s="7" t="s">
        <v>28</v>
      </c>
      <c r="D1395" s="7" t="s">
        <v>29</v>
      </c>
      <c r="E1395" s="7" t="s">
        <v>49</v>
      </c>
      <c r="F1395" s="7" t="s">
        <v>107</v>
      </c>
      <c r="G1395" s="7" t="s">
        <v>19</v>
      </c>
      <c r="H1395">
        <v>6</v>
      </c>
      <c r="I1395">
        <v>5032.84</v>
      </c>
      <c r="J1395">
        <v>0</v>
      </c>
      <c r="K1395">
        <v>30197.040000000001</v>
      </c>
      <c r="L1395">
        <v>15898.21</v>
      </c>
      <c r="M1395">
        <v>14298.83</v>
      </c>
      <c r="N1395" s="7" t="s">
        <v>59</v>
      </c>
      <c r="O1395" s="9">
        <f>IFERROR(RawSalesTable_[[#This Row],[Profit]]/RawSalesTable_[[#This Row],[Revenue]],0)</f>
        <v>0.47351760304983531</v>
      </c>
    </row>
    <row r="1396" spans="1:15">
      <c r="A1396" s="7" t="s">
        <v>1546</v>
      </c>
      <c r="B1396" s="8">
        <v>45847</v>
      </c>
      <c r="C1396" s="7" t="s">
        <v>22</v>
      </c>
      <c r="D1396" s="7" t="s">
        <v>35</v>
      </c>
      <c r="E1396" s="7" t="s">
        <v>49</v>
      </c>
      <c r="F1396" s="7" t="s">
        <v>107</v>
      </c>
      <c r="G1396" s="7" t="s">
        <v>19</v>
      </c>
      <c r="H1396">
        <v>3</v>
      </c>
      <c r="I1396">
        <v>5128.63</v>
      </c>
      <c r="J1396">
        <v>0</v>
      </c>
      <c r="K1396">
        <v>15385.89</v>
      </c>
      <c r="L1396">
        <v>8046.26</v>
      </c>
      <c r="M1396">
        <v>7339.63</v>
      </c>
      <c r="N1396" s="7" t="s">
        <v>59</v>
      </c>
      <c r="O1396" s="9">
        <f>IFERROR(RawSalesTable_[[#This Row],[Profit]]/RawSalesTable_[[#This Row],[Revenue]],0)</f>
        <v>0.477036427531979</v>
      </c>
    </row>
    <row r="1397" spans="1:15">
      <c r="A1397" s="7" t="s">
        <v>1547</v>
      </c>
      <c r="B1397" s="8">
        <v>45970</v>
      </c>
      <c r="C1397" s="7" t="s">
        <v>22</v>
      </c>
      <c r="D1397" s="7" t="s">
        <v>35</v>
      </c>
      <c r="E1397" s="7" t="s">
        <v>49</v>
      </c>
      <c r="F1397" s="7" t="s">
        <v>107</v>
      </c>
      <c r="G1397" s="7" t="s">
        <v>61</v>
      </c>
      <c r="H1397">
        <v>4</v>
      </c>
      <c r="I1397">
        <v>5121.22</v>
      </c>
      <c r="J1397">
        <v>0</v>
      </c>
      <c r="K1397">
        <v>20484.88</v>
      </c>
      <c r="L1397">
        <v>10692.57</v>
      </c>
      <c r="M1397">
        <v>9792.31</v>
      </c>
      <c r="N1397" s="7" t="s">
        <v>59</v>
      </c>
      <c r="O1397" s="9">
        <f>IFERROR(RawSalesTable_[[#This Row],[Profit]]/RawSalesTable_[[#This Row],[Revenue]],0)</f>
        <v>0.47802623203064892</v>
      </c>
    </row>
    <row r="1398" spans="1:15">
      <c r="A1398" s="7" t="s">
        <v>1548</v>
      </c>
      <c r="B1398" s="8">
        <v>45662</v>
      </c>
      <c r="C1398" s="7" t="s">
        <v>22</v>
      </c>
      <c r="D1398" s="7" t="s">
        <v>37</v>
      </c>
      <c r="E1398" s="7" t="s">
        <v>30</v>
      </c>
      <c r="F1398" s="7" t="s">
        <v>40</v>
      </c>
      <c r="G1398" s="7" t="s">
        <v>61</v>
      </c>
      <c r="H1398">
        <v>2</v>
      </c>
      <c r="I1398">
        <v>22934.59</v>
      </c>
      <c r="J1398">
        <v>0</v>
      </c>
      <c r="K1398">
        <v>45869.18</v>
      </c>
      <c r="L1398">
        <v>32413.18</v>
      </c>
      <c r="M1398">
        <v>13456</v>
      </c>
      <c r="N1398" s="7" t="s">
        <v>20</v>
      </c>
      <c r="O1398" s="9">
        <f>IFERROR(RawSalesTable_[[#This Row],[Profit]]/RawSalesTable_[[#This Row],[Revenue]],0)</f>
        <v>0.29335601813679685</v>
      </c>
    </row>
    <row r="1399" spans="1:15">
      <c r="A1399" s="7" t="s">
        <v>1549</v>
      </c>
      <c r="B1399" s="8">
        <v>45845</v>
      </c>
      <c r="C1399" s="7" t="s">
        <v>28</v>
      </c>
      <c r="D1399" s="7" t="s">
        <v>52</v>
      </c>
      <c r="E1399" s="7" t="s">
        <v>44</v>
      </c>
      <c r="F1399" s="7" t="s">
        <v>80</v>
      </c>
      <c r="G1399" s="7" t="s">
        <v>32</v>
      </c>
      <c r="H1399">
        <v>1</v>
      </c>
      <c r="I1399">
        <v>42801.91</v>
      </c>
      <c r="J1399">
        <v>0</v>
      </c>
      <c r="K1399">
        <v>42801.91</v>
      </c>
      <c r="L1399">
        <v>30359.66</v>
      </c>
      <c r="M1399">
        <v>12442.25</v>
      </c>
      <c r="N1399" s="7" t="s">
        <v>33</v>
      </c>
      <c r="O1399" s="9">
        <f>IFERROR(RawSalesTable_[[#This Row],[Profit]]/RawSalesTable_[[#This Row],[Revenue]],0)</f>
        <v>0.29069380315037341</v>
      </c>
    </row>
    <row r="1400" spans="1:15">
      <c r="A1400" s="7" t="s">
        <v>1550</v>
      </c>
      <c r="B1400" s="8">
        <v>45678</v>
      </c>
      <c r="C1400" s="7" t="s">
        <v>22</v>
      </c>
      <c r="D1400" s="7" t="s">
        <v>23</v>
      </c>
      <c r="E1400" s="7" t="s">
        <v>30</v>
      </c>
      <c r="F1400" s="7" t="s">
        <v>38</v>
      </c>
      <c r="G1400" s="7" t="s">
        <v>64</v>
      </c>
      <c r="H1400">
        <v>2</v>
      </c>
      <c r="I1400">
        <v>25008.23</v>
      </c>
      <c r="J1400">
        <v>0.1</v>
      </c>
      <c r="K1400">
        <v>45014.81</v>
      </c>
      <c r="L1400">
        <v>35127.51</v>
      </c>
      <c r="M1400">
        <v>9887.2999999999993</v>
      </c>
      <c r="N1400" s="7" t="s">
        <v>26</v>
      </c>
      <c r="O1400" s="9">
        <f>IFERROR(RawSalesTable_[[#This Row],[Profit]]/RawSalesTable_[[#This Row],[Revenue]],0)</f>
        <v>0.21964549000651118</v>
      </c>
    </row>
    <row r="1401" spans="1:15">
      <c r="A1401" s="7" t="s">
        <v>1551</v>
      </c>
      <c r="B1401" s="8">
        <v>45694</v>
      </c>
      <c r="C1401" s="7" t="s">
        <v>22</v>
      </c>
      <c r="D1401" s="7" t="s">
        <v>35</v>
      </c>
      <c r="E1401" s="7" t="s">
        <v>49</v>
      </c>
      <c r="F1401" s="7" t="s">
        <v>91</v>
      </c>
      <c r="G1401" s="7" t="s">
        <v>58</v>
      </c>
      <c r="H1401">
        <v>5</v>
      </c>
      <c r="I1401">
        <v>6597.1</v>
      </c>
      <c r="J1401">
        <v>0.1</v>
      </c>
      <c r="K1401">
        <v>29686.95</v>
      </c>
      <c r="L1401">
        <v>18514.43</v>
      </c>
      <c r="M1401">
        <v>11172.52</v>
      </c>
      <c r="N1401" s="7" t="s">
        <v>26</v>
      </c>
      <c r="O1401" s="9">
        <f>IFERROR(RawSalesTable_[[#This Row],[Profit]]/RawSalesTable_[[#This Row],[Revenue]],0)</f>
        <v>0.37634448806630522</v>
      </c>
    </row>
    <row r="1402" spans="1:15">
      <c r="A1402" s="7" t="s">
        <v>1552</v>
      </c>
      <c r="B1402" s="8">
        <v>45674</v>
      </c>
      <c r="C1402" s="7" t="s">
        <v>22</v>
      </c>
      <c r="D1402" s="7" t="s">
        <v>35</v>
      </c>
      <c r="E1402" s="7" t="s">
        <v>30</v>
      </c>
      <c r="F1402" s="7" t="s">
        <v>86</v>
      </c>
      <c r="G1402" s="7" t="s">
        <v>25</v>
      </c>
      <c r="H1402">
        <v>2</v>
      </c>
      <c r="I1402">
        <v>32981.07</v>
      </c>
      <c r="J1402">
        <v>0</v>
      </c>
      <c r="K1402">
        <v>65962.14</v>
      </c>
      <c r="L1402">
        <v>45820.45</v>
      </c>
      <c r="M1402">
        <v>20141.689999999999</v>
      </c>
      <c r="N1402" s="7" t="s">
        <v>59</v>
      </c>
      <c r="O1402" s="9">
        <f>IFERROR(RawSalesTable_[[#This Row],[Profit]]/RawSalesTable_[[#This Row],[Revenue]],0)</f>
        <v>0.3053522823850166</v>
      </c>
    </row>
    <row r="1403" spans="1:15">
      <c r="A1403" s="7" t="s">
        <v>1553</v>
      </c>
      <c r="B1403" s="8">
        <v>46019</v>
      </c>
      <c r="C1403" s="7" t="s">
        <v>15</v>
      </c>
      <c r="D1403" s="7" t="s">
        <v>16</v>
      </c>
      <c r="E1403" s="7" t="s">
        <v>49</v>
      </c>
      <c r="F1403" s="7" t="s">
        <v>107</v>
      </c>
      <c r="G1403" s="7" t="s">
        <v>25</v>
      </c>
      <c r="H1403">
        <v>6</v>
      </c>
      <c r="I1403">
        <v>5575.82</v>
      </c>
      <c r="J1403">
        <v>0.05</v>
      </c>
      <c r="K1403">
        <v>31782.17</v>
      </c>
      <c r="L1403">
        <v>16047</v>
      </c>
      <c r="M1403">
        <v>15735.17</v>
      </c>
      <c r="N1403" s="7" t="s">
        <v>20</v>
      </c>
      <c r="O1403" s="9">
        <f>IFERROR(RawSalesTable_[[#This Row],[Profit]]/RawSalesTable_[[#This Row],[Revenue]],0)</f>
        <v>0.49509426197141354</v>
      </c>
    </row>
    <row r="1404" spans="1:15">
      <c r="A1404" s="7" t="s">
        <v>1554</v>
      </c>
      <c r="B1404" s="8">
        <v>45698</v>
      </c>
      <c r="C1404" s="7" t="s">
        <v>22</v>
      </c>
      <c r="D1404" s="7" t="s">
        <v>35</v>
      </c>
      <c r="E1404" s="7" t="s">
        <v>30</v>
      </c>
      <c r="F1404" s="7" t="s">
        <v>86</v>
      </c>
      <c r="G1404" s="7" t="s">
        <v>64</v>
      </c>
      <c r="H1404">
        <v>4</v>
      </c>
      <c r="I1404">
        <v>32795.589999999997</v>
      </c>
      <c r="J1404">
        <v>0.15</v>
      </c>
      <c r="K1404">
        <v>111505.01</v>
      </c>
      <c r="L1404">
        <v>88277.88</v>
      </c>
      <c r="M1404">
        <v>23227.13</v>
      </c>
      <c r="N1404" s="7" t="s">
        <v>33</v>
      </c>
      <c r="O1404" s="9">
        <f>IFERROR(RawSalesTable_[[#This Row],[Profit]]/RawSalesTable_[[#This Row],[Revenue]],0)</f>
        <v>0.20830570751933031</v>
      </c>
    </row>
    <row r="1405" spans="1:15">
      <c r="A1405" s="7" t="s">
        <v>1555</v>
      </c>
      <c r="B1405" s="8">
        <v>46010</v>
      </c>
      <c r="C1405" s="7" t="s">
        <v>22</v>
      </c>
      <c r="D1405" s="7" t="s">
        <v>23</v>
      </c>
      <c r="E1405" s="7" t="s">
        <v>49</v>
      </c>
      <c r="F1405" s="7" t="s">
        <v>1590</v>
      </c>
      <c r="G1405" s="7" t="s">
        <v>32</v>
      </c>
      <c r="H1405">
        <v>3</v>
      </c>
      <c r="I1405">
        <v>4349.7</v>
      </c>
      <c r="J1405">
        <v>0.05</v>
      </c>
      <c r="K1405">
        <v>12396.64</v>
      </c>
      <c r="L1405">
        <v>6450.73</v>
      </c>
      <c r="M1405">
        <v>5945.91</v>
      </c>
      <c r="N1405" s="7" t="s">
        <v>26</v>
      </c>
      <c r="O1405" s="9">
        <f>IFERROR(RawSalesTable_[[#This Row],[Profit]]/RawSalesTable_[[#This Row],[Revenue]],0)</f>
        <v>0.47963883762051651</v>
      </c>
    </row>
    <row r="1406" spans="1:15">
      <c r="A1406" s="7" t="s">
        <v>1556</v>
      </c>
      <c r="B1406" s="8">
        <v>45940</v>
      </c>
      <c r="C1406" s="7" t="s">
        <v>15</v>
      </c>
      <c r="D1406" s="7" t="s">
        <v>63</v>
      </c>
      <c r="E1406" s="7" t="s">
        <v>49</v>
      </c>
      <c r="F1406" s="7" t="s">
        <v>107</v>
      </c>
      <c r="G1406" s="7" t="s">
        <v>58</v>
      </c>
      <c r="H1406">
        <v>2</v>
      </c>
      <c r="I1406">
        <v>5557.65</v>
      </c>
      <c r="J1406">
        <v>0.15</v>
      </c>
      <c r="K1406">
        <v>9448</v>
      </c>
      <c r="L1406">
        <v>5594.29</v>
      </c>
      <c r="M1406">
        <v>3853.71</v>
      </c>
      <c r="N1406" s="7" t="s">
        <v>26</v>
      </c>
      <c r="O1406" s="9">
        <f>IFERROR(RawSalesTable_[[#This Row],[Profit]]/RawSalesTable_[[#This Row],[Revenue]],0)</f>
        <v>0.40788632514817952</v>
      </c>
    </row>
    <row r="1407" spans="1:15">
      <c r="A1407" s="7" t="s">
        <v>1557</v>
      </c>
      <c r="B1407" s="8">
        <v>45674</v>
      </c>
      <c r="C1407" s="7" t="s">
        <v>28</v>
      </c>
      <c r="D1407" s="7" t="s">
        <v>29</v>
      </c>
      <c r="E1407" s="7" t="s">
        <v>17</v>
      </c>
      <c r="F1407" s="7" t="s">
        <v>18</v>
      </c>
      <c r="G1407" s="7" t="s">
        <v>58</v>
      </c>
      <c r="H1407">
        <v>3</v>
      </c>
      <c r="I1407">
        <v>14246.64</v>
      </c>
      <c r="J1407">
        <v>0.05</v>
      </c>
      <c r="K1407">
        <v>40602.92</v>
      </c>
      <c r="L1407">
        <v>23975.75</v>
      </c>
      <c r="M1407">
        <v>16627.169999999998</v>
      </c>
      <c r="N1407" s="7" t="s">
        <v>20</v>
      </c>
      <c r="O1407" s="9">
        <f>IFERROR(RawSalesTable_[[#This Row],[Profit]]/RawSalesTable_[[#This Row],[Revenue]],0)</f>
        <v>0.40950675468660874</v>
      </c>
    </row>
    <row r="1408" spans="1:15">
      <c r="A1408" s="7" t="s">
        <v>1558</v>
      </c>
      <c r="B1408" s="8">
        <v>46020</v>
      </c>
      <c r="C1408" s="7" t="s">
        <v>22</v>
      </c>
      <c r="D1408" s="7" t="s">
        <v>35</v>
      </c>
      <c r="E1408" s="7" t="s">
        <v>49</v>
      </c>
      <c r="F1408" s="7" t="s">
        <v>107</v>
      </c>
      <c r="G1408" s="7" t="s">
        <v>25</v>
      </c>
      <c r="H1408">
        <v>6</v>
      </c>
      <c r="I1408">
        <v>5158.08</v>
      </c>
      <c r="J1408">
        <v>0.05</v>
      </c>
      <c r="K1408">
        <v>29401.06</v>
      </c>
      <c r="L1408">
        <v>16559.150000000001</v>
      </c>
      <c r="M1408">
        <v>12841.91</v>
      </c>
      <c r="N1408" s="7" t="s">
        <v>59</v>
      </c>
      <c r="O1408" s="9">
        <f>IFERROR(RawSalesTable_[[#This Row],[Profit]]/RawSalesTable_[[#This Row],[Revenue]],0)</f>
        <v>0.4367839118725651</v>
      </c>
    </row>
    <row r="1409" spans="1:15">
      <c r="A1409" s="7" t="s">
        <v>1559</v>
      </c>
      <c r="B1409" s="8">
        <v>45829</v>
      </c>
      <c r="C1409" s="7" t="s">
        <v>15</v>
      </c>
      <c r="D1409" s="7" t="s">
        <v>43</v>
      </c>
      <c r="E1409" s="7" t="s">
        <v>44</v>
      </c>
      <c r="F1409" s="7" t="s">
        <v>80</v>
      </c>
      <c r="G1409" s="7" t="s">
        <v>61</v>
      </c>
      <c r="H1409">
        <v>3</v>
      </c>
      <c r="I1409">
        <v>46125.51</v>
      </c>
      <c r="J1409">
        <v>0.05</v>
      </c>
      <c r="K1409">
        <v>131457.70000000001</v>
      </c>
      <c r="L1409">
        <v>90816.84</v>
      </c>
      <c r="M1409">
        <v>40640.86</v>
      </c>
      <c r="N1409" s="7" t="s">
        <v>33</v>
      </c>
      <c r="O1409" s="9">
        <f>IFERROR(RawSalesTable_[[#This Row],[Profit]]/RawSalesTable_[[#This Row],[Revenue]],0)</f>
        <v>0.30915541653322703</v>
      </c>
    </row>
    <row r="1410" spans="1:15">
      <c r="A1410" s="7" t="s">
        <v>1560</v>
      </c>
      <c r="B1410" s="8">
        <v>45662</v>
      </c>
      <c r="C1410" s="7" t="s">
        <v>22</v>
      </c>
      <c r="D1410" s="7" t="s">
        <v>23</v>
      </c>
      <c r="E1410" s="7" t="s">
        <v>49</v>
      </c>
      <c r="F1410" s="7" t="s">
        <v>57</v>
      </c>
      <c r="G1410" s="7" t="s">
        <v>32</v>
      </c>
      <c r="H1410">
        <v>4</v>
      </c>
      <c r="I1410">
        <v>11906.24</v>
      </c>
      <c r="J1410">
        <v>0.05</v>
      </c>
      <c r="K1410">
        <v>45243.71</v>
      </c>
      <c r="L1410">
        <v>25289.98</v>
      </c>
      <c r="M1410">
        <v>19953.73</v>
      </c>
      <c r="N1410" s="7" t="s">
        <v>59</v>
      </c>
      <c r="O1410" s="9">
        <f>IFERROR(RawSalesTable_[[#This Row],[Profit]]/RawSalesTable_[[#This Row],[Revenue]],0)</f>
        <v>0.4410277141286601</v>
      </c>
    </row>
    <row r="1411" spans="1:15">
      <c r="A1411" s="7" t="s">
        <v>1561</v>
      </c>
      <c r="B1411" s="8">
        <v>45733</v>
      </c>
      <c r="C1411" s="7" t="s">
        <v>15</v>
      </c>
      <c r="D1411" s="7" t="s">
        <v>63</v>
      </c>
      <c r="E1411" s="7" t="s">
        <v>30</v>
      </c>
      <c r="F1411" s="7" t="s">
        <v>31</v>
      </c>
      <c r="G1411" s="7" t="s">
        <v>32</v>
      </c>
      <c r="H1411">
        <v>2</v>
      </c>
      <c r="I1411">
        <v>134628.44</v>
      </c>
      <c r="J1411">
        <v>0.1</v>
      </c>
      <c r="K1411">
        <v>242331.19</v>
      </c>
      <c r="L1411">
        <v>198792.23</v>
      </c>
      <c r="M1411">
        <v>43538.96</v>
      </c>
      <c r="N1411" s="7" t="s">
        <v>59</v>
      </c>
      <c r="O1411" s="9">
        <f>IFERROR(RawSalesTable_[[#This Row],[Profit]]/RawSalesTable_[[#This Row],[Revenue]],0)</f>
        <v>0.17966717367252644</v>
      </c>
    </row>
    <row r="1412" spans="1:15">
      <c r="A1412" s="7" t="s">
        <v>1562</v>
      </c>
      <c r="B1412" s="8">
        <v>45806</v>
      </c>
      <c r="C1412" s="7" t="s">
        <v>15</v>
      </c>
      <c r="D1412" s="7" t="s">
        <v>63</v>
      </c>
      <c r="E1412" s="7" t="s">
        <v>44</v>
      </c>
      <c r="F1412" s="7" t="s">
        <v>53</v>
      </c>
      <c r="G1412" s="7" t="s">
        <v>70</v>
      </c>
      <c r="H1412">
        <v>1</v>
      </c>
      <c r="I1412">
        <v>8438.74</v>
      </c>
      <c r="J1412">
        <v>0.15</v>
      </c>
      <c r="K1412">
        <v>7172.93</v>
      </c>
      <c r="L1412">
        <v>4955.7</v>
      </c>
      <c r="M1412">
        <v>2217.23</v>
      </c>
      <c r="N1412" s="7" t="s">
        <v>33</v>
      </c>
      <c r="O1412" s="9">
        <f>IFERROR(RawSalesTable_[[#This Row],[Profit]]/RawSalesTable_[[#This Row],[Revenue]],0)</f>
        <v>0.30911078178652235</v>
      </c>
    </row>
    <row r="1413" spans="1:15">
      <c r="A1413" s="7" t="s">
        <v>1563</v>
      </c>
      <c r="B1413" s="8">
        <v>45969</v>
      </c>
      <c r="C1413" s="7" t="s">
        <v>28</v>
      </c>
      <c r="D1413" s="7" t="s">
        <v>56</v>
      </c>
      <c r="E1413" s="7" t="s">
        <v>17</v>
      </c>
      <c r="F1413" s="7" t="s">
        <v>114</v>
      </c>
      <c r="G1413" s="7" t="s">
        <v>47</v>
      </c>
      <c r="H1413">
        <v>2</v>
      </c>
      <c r="I1413">
        <v>51787.99</v>
      </c>
      <c r="J1413">
        <v>0.05</v>
      </c>
      <c r="K1413">
        <v>98397.18</v>
      </c>
      <c r="L1413">
        <v>75557.440000000002</v>
      </c>
      <c r="M1413">
        <v>22839.74</v>
      </c>
      <c r="N1413" s="7" t="s">
        <v>59</v>
      </c>
      <c r="O1413" s="9">
        <f>IFERROR(RawSalesTable_[[#This Row],[Profit]]/RawSalesTable_[[#This Row],[Revenue]],0)</f>
        <v>0.23211783101914102</v>
      </c>
    </row>
    <row r="1414" spans="1:15">
      <c r="A1414" s="7" t="s">
        <v>1564</v>
      </c>
      <c r="B1414" s="8">
        <v>46000</v>
      </c>
      <c r="C1414" s="7" t="s">
        <v>15</v>
      </c>
      <c r="D1414" s="7" t="s">
        <v>16</v>
      </c>
      <c r="E1414" s="7" t="s">
        <v>49</v>
      </c>
      <c r="F1414" s="7" t="s">
        <v>57</v>
      </c>
      <c r="G1414" s="7" t="s">
        <v>58</v>
      </c>
      <c r="H1414">
        <v>5</v>
      </c>
      <c r="I1414">
        <v>12220.38</v>
      </c>
      <c r="J1414">
        <v>0</v>
      </c>
      <c r="K1414">
        <v>61101.9</v>
      </c>
      <c r="L1414">
        <v>33383.08</v>
      </c>
      <c r="M1414">
        <v>27718.82</v>
      </c>
      <c r="N1414" s="7" t="s">
        <v>20</v>
      </c>
      <c r="O1414" s="9">
        <f>IFERROR(RawSalesTable_[[#This Row],[Profit]]/RawSalesTable_[[#This Row],[Revenue]],0)</f>
        <v>0.45364906819591533</v>
      </c>
    </row>
    <row r="1415" spans="1:15">
      <c r="A1415" s="7" t="s">
        <v>1565</v>
      </c>
      <c r="B1415" s="8">
        <v>45659</v>
      </c>
      <c r="C1415" s="7" t="s">
        <v>28</v>
      </c>
      <c r="D1415" s="7" t="s">
        <v>52</v>
      </c>
      <c r="E1415" s="7" t="s">
        <v>44</v>
      </c>
      <c r="F1415" s="7" t="s">
        <v>80</v>
      </c>
      <c r="G1415" s="7" t="s">
        <v>25</v>
      </c>
      <c r="H1415">
        <v>4</v>
      </c>
      <c r="I1415">
        <v>46109.82</v>
      </c>
      <c r="J1415">
        <v>0.05</v>
      </c>
      <c r="K1415">
        <v>175217.32</v>
      </c>
      <c r="L1415">
        <v>122354.35</v>
      </c>
      <c r="M1415">
        <v>52862.97</v>
      </c>
      <c r="N1415" s="7" t="s">
        <v>33</v>
      </c>
      <c r="O1415" s="9">
        <f>IFERROR(RawSalesTable_[[#This Row],[Profit]]/RawSalesTable_[[#This Row],[Revenue]],0)</f>
        <v>0.30169945528216047</v>
      </c>
    </row>
    <row r="1416" spans="1:15">
      <c r="A1416" s="7" t="s">
        <v>1566</v>
      </c>
      <c r="B1416" s="8">
        <v>45955</v>
      </c>
      <c r="C1416" s="7" t="s">
        <v>22</v>
      </c>
      <c r="D1416" s="7" t="s">
        <v>35</v>
      </c>
      <c r="E1416" s="7" t="s">
        <v>49</v>
      </c>
      <c r="F1416" s="7" t="s">
        <v>91</v>
      </c>
      <c r="G1416" s="7" t="s">
        <v>47</v>
      </c>
      <c r="H1416">
        <v>5</v>
      </c>
      <c r="I1416">
        <v>6779.66</v>
      </c>
      <c r="J1416">
        <v>0.15</v>
      </c>
      <c r="K1416">
        <v>28813.56</v>
      </c>
      <c r="L1416">
        <v>17524.509999999998</v>
      </c>
      <c r="M1416">
        <v>11289.05</v>
      </c>
      <c r="N1416" s="7" t="s">
        <v>59</v>
      </c>
      <c r="O1416" s="9">
        <f>IFERROR(RawSalesTable_[[#This Row],[Profit]]/RawSalesTable_[[#This Row],[Revenue]],0)</f>
        <v>0.39179643195773095</v>
      </c>
    </row>
    <row r="1417" spans="1:15">
      <c r="A1417" s="7" t="s">
        <v>1567</v>
      </c>
      <c r="B1417" s="8">
        <v>45877</v>
      </c>
      <c r="C1417" s="7" t="s">
        <v>22</v>
      </c>
      <c r="D1417" s="7" t="s">
        <v>23</v>
      </c>
      <c r="E1417" s="7" t="s">
        <v>49</v>
      </c>
      <c r="F1417" s="7" t="s">
        <v>57</v>
      </c>
      <c r="G1417" s="7" t="s">
        <v>19</v>
      </c>
      <c r="H1417">
        <v>3</v>
      </c>
      <c r="I1417">
        <v>11582.92</v>
      </c>
      <c r="J1417">
        <v>0</v>
      </c>
      <c r="K1417">
        <v>34748.76</v>
      </c>
      <c r="L1417">
        <v>18934.400000000001</v>
      </c>
      <c r="M1417">
        <v>15814.36</v>
      </c>
      <c r="N1417" s="7" t="s">
        <v>59</v>
      </c>
      <c r="O1417" s="9">
        <f>IFERROR(RawSalesTable_[[#This Row],[Profit]]/RawSalesTable_[[#This Row],[Revenue]],0)</f>
        <v>0.45510573614713157</v>
      </c>
    </row>
    <row r="1418" spans="1:15">
      <c r="A1418" s="7" t="s">
        <v>1568</v>
      </c>
      <c r="B1418" s="8">
        <v>45744</v>
      </c>
      <c r="C1418" s="7" t="s">
        <v>15</v>
      </c>
      <c r="D1418" s="7" t="s">
        <v>16</v>
      </c>
      <c r="E1418" s="7" t="s">
        <v>49</v>
      </c>
      <c r="F1418" s="7" t="s">
        <v>91</v>
      </c>
      <c r="G1418" s="7" t="s">
        <v>58</v>
      </c>
      <c r="H1418">
        <v>2</v>
      </c>
      <c r="I1418">
        <v>6115.07</v>
      </c>
      <c r="J1418">
        <v>0.15</v>
      </c>
      <c r="K1418">
        <v>10395.620000000001</v>
      </c>
      <c r="L1418">
        <v>7352.43</v>
      </c>
      <c r="M1418">
        <v>3043.19</v>
      </c>
      <c r="N1418" s="7" t="s">
        <v>59</v>
      </c>
      <c r="O1418" s="9">
        <f>IFERROR(RawSalesTable_[[#This Row],[Profit]]/RawSalesTable_[[#This Row],[Revenue]],0)</f>
        <v>0.29273771068969429</v>
      </c>
    </row>
    <row r="1419" spans="1:15">
      <c r="A1419" s="7" t="s">
        <v>1569</v>
      </c>
      <c r="B1419" s="8">
        <v>45935</v>
      </c>
      <c r="C1419" s="7" t="s">
        <v>28</v>
      </c>
      <c r="D1419" s="7" t="s">
        <v>52</v>
      </c>
      <c r="E1419" s="7" t="s">
        <v>49</v>
      </c>
      <c r="F1419" s="7" t="s">
        <v>1590</v>
      </c>
      <c r="G1419" s="7" t="s">
        <v>19</v>
      </c>
      <c r="H1419">
        <v>3</v>
      </c>
      <c r="I1419">
        <v>4106.88</v>
      </c>
      <c r="J1419">
        <v>0.05</v>
      </c>
      <c r="K1419">
        <v>11704.61</v>
      </c>
      <c r="L1419">
        <v>6247.49</v>
      </c>
      <c r="M1419">
        <v>5457.12</v>
      </c>
      <c r="N1419" s="7" t="s">
        <v>33</v>
      </c>
      <c r="O1419" s="9">
        <f>IFERROR(RawSalesTable_[[#This Row],[Profit]]/RawSalesTable_[[#This Row],[Revenue]],0)</f>
        <v>0.46623680754847874</v>
      </c>
    </row>
    <row r="1420" spans="1:15">
      <c r="A1420" s="7" t="s">
        <v>1570</v>
      </c>
      <c r="B1420" s="8">
        <v>45716</v>
      </c>
      <c r="C1420" s="7" t="s">
        <v>22</v>
      </c>
      <c r="D1420" s="7" t="s">
        <v>23</v>
      </c>
      <c r="E1420" s="7" t="s">
        <v>17</v>
      </c>
      <c r="F1420" s="7" t="s">
        <v>24</v>
      </c>
      <c r="G1420" s="7" t="s">
        <v>70</v>
      </c>
      <c r="H1420">
        <v>2</v>
      </c>
      <c r="I1420">
        <v>96101.95</v>
      </c>
      <c r="J1420">
        <v>0.05</v>
      </c>
      <c r="K1420">
        <v>182593.7</v>
      </c>
      <c r="L1420">
        <v>141108.17000000001</v>
      </c>
      <c r="M1420">
        <v>41485.53</v>
      </c>
      <c r="N1420" s="7" t="s">
        <v>59</v>
      </c>
      <c r="O1420" s="9">
        <f>IFERROR(RawSalesTable_[[#This Row],[Profit]]/RawSalesTable_[[#This Row],[Revenue]],0)</f>
        <v>0.22720132184188171</v>
      </c>
    </row>
    <row r="1421" spans="1:15">
      <c r="A1421" s="7" t="s">
        <v>1571</v>
      </c>
      <c r="B1421" s="8">
        <v>45840</v>
      </c>
      <c r="C1421" s="7" t="s">
        <v>22</v>
      </c>
      <c r="D1421" s="7" t="s">
        <v>37</v>
      </c>
      <c r="E1421" s="7" t="s">
        <v>49</v>
      </c>
      <c r="F1421" s="7" t="s">
        <v>91</v>
      </c>
      <c r="G1421" s="7" t="s">
        <v>19</v>
      </c>
      <c r="H1421">
        <v>8</v>
      </c>
      <c r="I1421">
        <v>6674.72</v>
      </c>
      <c r="J1421">
        <v>0.05</v>
      </c>
      <c r="K1421">
        <v>50727.87</v>
      </c>
      <c r="L1421">
        <v>29519.56</v>
      </c>
      <c r="M1421">
        <v>21208.31</v>
      </c>
      <c r="N1421" s="7" t="s">
        <v>59</v>
      </c>
      <c r="O1421" s="9">
        <f>IFERROR(RawSalesTable_[[#This Row],[Profit]]/RawSalesTable_[[#This Row],[Revenue]],0)</f>
        <v>0.41808004160237755</v>
      </c>
    </row>
    <row r="1422" spans="1:15">
      <c r="A1422" s="7" t="s">
        <v>1573</v>
      </c>
      <c r="B1422" s="8">
        <v>45832</v>
      </c>
      <c r="C1422" s="7" t="s">
        <v>22</v>
      </c>
      <c r="D1422" s="7" t="s">
        <v>35</v>
      </c>
      <c r="E1422" s="7" t="s">
        <v>44</v>
      </c>
      <c r="F1422" s="7" t="s">
        <v>45</v>
      </c>
      <c r="G1422" s="7" t="s">
        <v>25</v>
      </c>
      <c r="H1422">
        <v>8</v>
      </c>
      <c r="I1422">
        <v>30739.48</v>
      </c>
      <c r="J1422">
        <v>0.15</v>
      </c>
      <c r="K1422">
        <v>209028.46</v>
      </c>
      <c r="L1422">
        <v>151178.71</v>
      </c>
      <c r="M1422">
        <v>57849.75</v>
      </c>
      <c r="N1422" s="7" t="s">
        <v>20</v>
      </c>
      <c r="O1422" s="9">
        <f>IFERROR(RawSalesTable_[[#This Row],[Profit]]/RawSalesTable_[[#This Row],[Revenue]],0)</f>
        <v>0.27675537579906584</v>
      </c>
    </row>
    <row r="1423" spans="1:15">
      <c r="A1423" s="7" t="s">
        <v>1574</v>
      </c>
      <c r="B1423" s="8">
        <v>45958</v>
      </c>
      <c r="C1423" s="7" t="s">
        <v>22</v>
      </c>
      <c r="D1423" s="7" t="s">
        <v>37</v>
      </c>
      <c r="E1423" s="7" t="s">
        <v>49</v>
      </c>
      <c r="F1423" s="7" t="s">
        <v>1590</v>
      </c>
      <c r="G1423" s="7" t="s">
        <v>19</v>
      </c>
      <c r="H1423">
        <v>3</v>
      </c>
      <c r="I1423">
        <v>3991.78</v>
      </c>
      <c r="J1423">
        <v>0.15</v>
      </c>
      <c r="K1423">
        <v>10179.040000000001</v>
      </c>
      <c r="L1423">
        <v>6324.19</v>
      </c>
      <c r="M1423">
        <v>3854.85</v>
      </c>
      <c r="N1423" s="7" t="s">
        <v>26</v>
      </c>
      <c r="O1423" s="9">
        <f>IFERROR(RawSalesTable_[[#This Row],[Profit]]/RawSalesTable_[[#This Row],[Revenue]],0)</f>
        <v>0.37870467156038284</v>
      </c>
    </row>
    <row r="1424" spans="1:15">
      <c r="A1424" s="7" t="s">
        <v>1575</v>
      </c>
      <c r="B1424" s="8">
        <v>45676</v>
      </c>
      <c r="C1424" s="7" t="s">
        <v>15</v>
      </c>
      <c r="D1424" s="7" t="s">
        <v>63</v>
      </c>
      <c r="E1424" s="7" t="s">
        <v>49</v>
      </c>
      <c r="F1424" s="7" t="s">
        <v>107</v>
      </c>
      <c r="G1424" s="7" t="s">
        <v>70</v>
      </c>
      <c r="H1424">
        <v>6</v>
      </c>
      <c r="I1424">
        <v>5318.58</v>
      </c>
      <c r="J1424">
        <v>0</v>
      </c>
      <c r="K1424">
        <v>31911.48</v>
      </c>
      <c r="L1424">
        <v>16734.57</v>
      </c>
      <c r="M1424">
        <v>15176.91</v>
      </c>
      <c r="N1424" s="7" t="s">
        <v>26</v>
      </c>
      <c r="O1424" s="9">
        <f>IFERROR(RawSalesTable_[[#This Row],[Profit]]/RawSalesTable_[[#This Row],[Revenue]],0)</f>
        <v>0.47559404953953877</v>
      </c>
    </row>
    <row r="1425" spans="1:15">
      <c r="A1425" s="7" t="s">
        <v>1576</v>
      </c>
      <c r="B1425" s="8">
        <v>45661</v>
      </c>
      <c r="C1425" s="7" t="s">
        <v>22</v>
      </c>
      <c r="D1425" s="7" t="s">
        <v>37</v>
      </c>
      <c r="E1425" s="7" t="s">
        <v>30</v>
      </c>
      <c r="F1425" s="7" t="s">
        <v>31</v>
      </c>
      <c r="G1425" s="7" t="s">
        <v>32</v>
      </c>
      <c r="H1425">
        <v>6</v>
      </c>
      <c r="I1425">
        <v>138212.28</v>
      </c>
      <c r="J1425">
        <v>0.05</v>
      </c>
      <c r="K1425">
        <v>787810</v>
      </c>
      <c r="L1425">
        <v>619623.66</v>
      </c>
      <c r="M1425">
        <v>168186.34</v>
      </c>
      <c r="N1425" s="7" t="s">
        <v>20</v>
      </c>
      <c r="O1425" s="9">
        <f>IFERROR(RawSalesTable_[[#This Row],[Profit]]/RawSalesTable_[[#This Row],[Revenue]],0)</f>
        <v>0.21348591665503103</v>
      </c>
    </row>
    <row r="1426" spans="1:15">
      <c r="A1426" s="7" t="s">
        <v>1577</v>
      </c>
      <c r="B1426" s="8">
        <v>45832</v>
      </c>
      <c r="C1426" s="7" t="s">
        <v>22</v>
      </c>
      <c r="D1426" s="7" t="s">
        <v>23</v>
      </c>
      <c r="E1426" s="7" t="s">
        <v>17</v>
      </c>
      <c r="F1426" s="7" t="s">
        <v>75</v>
      </c>
      <c r="G1426" s="7" t="s">
        <v>19</v>
      </c>
      <c r="H1426">
        <v>3</v>
      </c>
      <c r="I1426">
        <v>184213.52</v>
      </c>
      <c r="J1426">
        <v>0.1</v>
      </c>
      <c r="K1426">
        <v>497376.5</v>
      </c>
      <c r="L1426">
        <v>442924.77</v>
      </c>
      <c r="M1426">
        <v>54451.73</v>
      </c>
      <c r="N1426" s="7" t="s">
        <v>33</v>
      </c>
      <c r="O1426" s="9">
        <f>IFERROR(RawSalesTable_[[#This Row],[Profit]]/RawSalesTable_[[#This Row],[Revenue]],0)</f>
        <v>0.10947789049140842</v>
      </c>
    </row>
    <row r="1427" spans="1:15">
      <c r="A1427" s="7" t="s">
        <v>1579</v>
      </c>
      <c r="B1427" s="8">
        <v>45913</v>
      </c>
      <c r="C1427" s="7" t="s">
        <v>28</v>
      </c>
      <c r="D1427" s="7" t="s">
        <v>52</v>
      </c>
      <c r="E1427" s="7" t="s">
        <v>30</v>
      </c>
      <c r="F1427" s="7" t="s">
        <v>38</v>
      </c>
      <c r="G1427" s="7" t="s">
        <v>58</v>
      </c>
      <c r="H1427">
        <v>7</v>
      </c>
      <c r="I1427">
        <v>29079.26</v>
      </c>
      <c r="J1427">
        <v>0.1</v>
      </c>
      <c r="K1427">
        <v>183199.34</v>
      </c>
      <c r="L1427">
        <v>125428.59</v>
      </c>
      <c r="M1427">
        <v>57770.75</v>
      </c>
      <c r="N1427" s="7" t="s">
        <v>59</v>
      </c>
      <c r="O1427" s="9">
        <f>IFERROR(RawSalesTable_[[#This Row],[Profit]]/RawSalesTable_[[#This Row],[Revenue]],0)</f>
        <v>0.3153436578974575</v>
      </c>
    </row>
    <row r="1428" spans="1:15">
      <c r="A1428" s="7" t="s">
        <v>1580</v>
      </c>
      <c r="B1428" s="8">
        <v>45926</v>
      </c>
      <c r="C1428" s="7" t="s">
        <v>28</v>
      </c>
      <c r="D1428" s="7" t="s">
        <v>52</v>
      </c>
      <c r="E1428" s="7" t="s">
        <v>17</v>
      </c>
      <c r="F1428" s="7" t="s">
        <v>18</v>
      </c>
      <c r="G1428" s="7" t="s">
        <v>19</v>
      </c>
      <c r="H1428">
        <v>6</v>
      </c>
      <c r="I1428">
        <v>13768.68</v>
      </c>
      <c r="J1428">
        <v>0</v>
      </c>
      <c r="K1428">
        <v>82612.08</v>
      </c>
      <c r="L1428">
        <v>50718.57</v>
      </c>
      <c r="M1428">
        <v>31893.51</v>
      </c>
      <c r="N1428" s="7" t="s">
        <v>59</v>
      </c>
      <c r="O1428" s="9">
        <f>IFERROR(RawSalesTable_[[#This Row],[Profit]]/RawSalesTable_[[#This Row],[Revenue]],0)</f>
        <v>0.38606351516630494</v>
      </c>
    </row>
    <row r="1429" spans="1:15">
      <c r="A1429" s="7" t="s">
        <v>1581</v>
      </c>
      <c r="B1429" s="8">
        <v>45956</v>
      </c>
      <c r="C1429" s="7" t="s">
        <v>22</v>
      </c>
      <c r="D1429" s="7" t="s">
        <v>23</v>
      </c>
      <c r="E1429" s="7" t="s">
        <v>30</v>
      </c>
      <c r="F1429" s="7" t="s">
        <v>38</v>
      </c>
      <c r="G1429" s="7" t="s">
        <v>19</v>
      </c>
      <c r="H1429">
        <v>6</v>
      </c>
      <c r="I1429">
        <v>28677.919999999998</v>
      </c>
      <c r="J1429">
        <v>0</v>
      </c>
      <c r="K1429">
        <v>172067.52</v>
      </c>
      <c r="L1429">
        <v>109117.67</v>
      </c>
      <c r="M1429">
        <v>62949.85</v>
      </c>
      <c r="N1429" s="7" t="s">
        <v>26</v>
      </c>
      <c r="O1429" s="9">
        <f>IFERROR(RawSalesTable_[[#This Row],[Profit]]/RawSalesTable_[[#This Row],[Revenue]],0)</f>
        <v>0.3658438850051422</v>
      </c>
    </row>
    <row r="1430" spans="1:15">
      <c r="A1430" s="7" t="s">
        <v>1582</v>
      </c>
      <c r="B1430" s="8">
        <v>45864</v>
      </c>
      <c r="C1430" s="7" t="s">
        <v>22</v>
      </c>
      <c r="D1430" s="7" t="s">
        <v>35</v>
      </c>
      <c r="E1430" s="7" t="s">
        <v>30</v>
      </c>
      <c r="F1430" s="7" t="s">
        <v>31</v>
      </c>
      <c r="G1430" s="7" t="s">
        <v>64</v>
      </c>
      <c r="H1430">
        <v>5</v>
      </c>
      <c r="I1430">
        <v>143776.5</v>
      </c>
      <c r="J1430">
        <v>0.15</v>
      </c>
      <c r="K1430">
        <v>611050.12</v>
      </c>
      <c r="L1430">
        <v>500368.25</v>
      </c>
      <c r="M1430">
        <v>110681.87</v>
      </c>
      <c r="N1430" s="7" t="s">
        <v>59</v>
      </c>
      <c r="O1430" s="9">
        <f>IFERROR(RawSalesTable_[[#This Row],[Profit]]/RawSalesTable_[[#This Row],[Revenue]],0)</f>
        <v>0.18113386509113197</v>
      </c>
    </row>
    <row r="1431" spans="1:15">
      <c r="A1431" s="7" t="s">
        <v>1583</v>
      </c>
      <c r="B1431" s="8">
        <v>45959</v>
      </c>
      <c r="C1431" s="7" t="s">
        <v>28</v>
      </c>
      <c r="D1431" s="7" t="s">
        <v>52</v>
      </c>
      <c r="E1431" s="7" t="s">
        <v>30</v>
      </c>
      <c r="F1431" s="7" t="s">
        <v>38</v>
      </c>
      <c r="G1431" s="7" t="s">
        <v>64</v>
      </c>
      <c r="H1431">
        <v>1</v>
      </c>
      <c r="I1431">
        <v>25431.37</v>
      </c>
      <c r="J1431">
        <v>0</v>
      </c>
      <c r="K1431">
        <v>25431.37</v>
      </c>
      <c r="L1431">
        <v>18655.72</v>
      </c>
      <c r="M1431">
        <v>6775.65</v>
      </c>
      <c r="N1431" s="7" t="s">
        <v>33</v>
      </c>
      <c r="O1431" s="9">
        <f>IFERROR(RawSalesTable_[[#This Row],[Profit]]/RawSalesTable_[[#This Row],[Revenue]],0)</f>
        <v>0.26642882392887207</v>
      </c>
    </row>
    <row r="1432" spans="1:15">
      <c r="A1432" s="7" t="s">
        <v>1584</v>
      </c>
      <c r="B1432" s="8">
        <v>45945</v>
      </c>
      <c r="C1432" s="7" t="s">
        <v>28</v>
      </c>
      <c r="D1432" s="7" t="s">
        <v>52</v>
      </c>
      <c r="E1432" s="7" t="s">
        <v>49</v>
      </c>
      <c r="F1432" s="7" t="s">
        <v>57</v>
      </c>
      <c r="G1432" s="7" t="s">
        <v>47</v>
      </c>
      <c r="H1432">
        <v>7</v>
      </c>
      <c r="I1432">
        <v>11577.21</v>
      </c>
      <c r="J1432">
        <v>0.05</v>
      </c>
      <c r="K1432">
        <v>76988.45</v>
      </c>
      <c r="L1432">
        <v>44640.800000000003</v>
      </c>
      <c r="M1432">
        <v>32347.65</v>
      </c>
      <c r="N1432" s="7" t="s">
        <v>33</v>
      </c>
      <c r="O1432" s="9">
        <f>IFERROR(RawSalesTable_[[#This Row],[Profit]]/RawSalesTable_[[#This Row],[Revenue]],0)</f>
        <v>0.42016237500560155</v>
      </c>
    </row>
    <row r="1433" spans="1:15">
      <c r="A1433" s="7" t="s">
        <v>1585</v>
      </c>
      <c r="B1433" s="8">
        <v>45744</v>
      </c>
      <c r="C1433" s="7" t="s">
        <v>28</v>
      </c>
      <c r="D1433" s="7" t="s">
        <v>52</v>
      </c>
      <c r="E1433" s="7" t="s">
        <v>44</v>
      </c>
      <c r="F1433" s="7" t="s">
        <v>80</v>
      </c>
      <c r="G1433" s="7" t="s">
        <v>47</v>
      </c>
      <c r="H1433">
        <v>1</v>
      </c>
      <c r="I1433">
        <v>42795.77</v>
      </c>
      <c r="J1433">
        <v>0.15</v>
      </c>
      <c r="K1433">
        <v>36376.400000000001</v>
      </c>
      <c r="L1433">
        <v>31606.71</v>
      </c>
      <c r="M1433">
        <v>4769.6899999999996</v>
      </c>
      <c r="N1433" s="7" t="s">
        <v>20</v>
      </c>
      <c r="O1433" s="9">
        <f>IFERROR(RawSalesTable_[[#This Row],[Profit]]/RawSalesTable_[[#This Row],[Revenue]],0)</f>
        <v>0.13112045172144576</v>
      </c>
    </row>
    <row r="1434" spans="1:15">
      <c r="A1434" s="7" t="s">
        <v>1586</v>
      </c>
      <c r="B1434" s="8">
        <v>45971</v>
      </c>
      <c r="C1434" s="7" t="s">
        <v>22</v>
      </c>
      <c r="D1434" s="7" t="s">
        <v>37</v>
      </c>
      <c r="E1434" s="7" t="s">
        <v>30</v>
      </c>
      <c r="F1434" s="7" t="s">
        <v>86</v>
      </c>
      <c r="G1434" s="7" t="s">
        <v>25</v>
      </c>
      <c r="H1434">
        <v>8</v>
      </c>
      <c r="I1434">
        <v>33251.14</v>
      </c>
      <c r="J1434">
        <v>0</v>
      </c>
      <c r="K1434">
        <v>266009.12</v>
      </c>
      <c r="L1434">
        <v>180014.51</v>
      </c>
      <c r="M1434">
        <v>85994.61</v>
      </c>
      <c r="N1434" s="7" t="s">
        <v>26</v>
      </c>
      <c r="O1434" s="9">
        <f>IFERROR(RawSalesTable_[[#This Row],[Profit]]/RawSalesTable_[[#This Row],[Revenue]],0)</f>
        <v>0.32327692373855454</v>
      </c>
    </row>
    <row r="1435" spans="1:15">
      <c r="A1435" s="7" t="s">
        <v>1587</v>
      </c>
      <c r="B1435" s="8">
        <v>45805</v>
      </c>
      <c r="C1435" s="7" t="s">
        <v>15</v>
      </c>
      <c r="D1435" s="7" t="s">
        <v>63</v>
      </c>
      <c r="E1435" s="7" t="s">
        <v>30</v>
      </c>
      <c r="F1435" s="7" t="s">
        <v>86</v>
      </c>
      <c r="G1435" s="7" t="s">
        <v>58</v>
      </c>
      <c r="H1435">
        <v>7</v>
      </c>
      <c r="I1435">
        <v>35501.25</v>
      </c>
      <c r="J1435">
        <v>0.05</v>
      </c>
      <c r="K1435">
        <v>236083.31</v>
      </c>
      <c r="L1435">
        <v>162815.98000000001</v>
      </c>
      <c r="M1435">
        <v>73267.33</v>
      </c>
      <c r="N1435" s="7" t="s">
        <v>26</v>
      </c>
      <c r="O1435" s="9">
        <f>IFERROR(RawSalesTable_[[#This Row],[Profit]]/RawSalesTable_[[#This Row],[Revenue]],0)</f>
        <v>0.31034523363807465</v>
      </c>
    </row>
    <row r="1436" spans="1:15">
      <c r="A1436" s="7" t="s">
        <v>1588</v>
      </c>
      <c r="B1436" s="8">
        <v>45755</v>
      </c>
      <c r="C1436" s="7" t="s">
        <v>15</v>
      </c>
      <c r="D1436" s="7" t="s">
        <v>16</v>
      </c>
      <c r="E1436" s="7" t="s">
        <v>49</v>
      </c>
      <c r="F1436" s="7" t="s">
        <v>57</v>
      </c>
      <c r="G1436" s="7" t="s">
        <v>58</v>
      </c>
      <c r="H1436">
        <v>8</v>
      </c>
      <c r="I1436">
        <v>10582.67</v>
      </c>
      <c r="J1436">
        <v>0</v>
      </c>
      <c r="K1436">
        <v>84661.36</v>
      </c>
      <c r="L1436">
        <v>51916.18</v>
      </c>
      <c r="M1436">
        <v>32745.18</v>
      </c>
      <c r="N1436" s="7" t="s">
        <v>26</v>
      </c>
      <c r="O1436" s="9">
        <f>IFERROR(RawSalesTable_[[#This Row],[Profit]]/RawSalesTable_[[#This Row],[Revenue]],0)</f>
        <v>0.38677833665795114</v>
      </c>
    </row>
    <row r="1437" spans="1:15">
      <c r="A1437" s="7" t="s">
        <v>1589</v>
      </c>
      <c r="B1437" s="8">
        <v>45681</v>
      </c>
      <c r="C1437" s="7" t="s">
        <v>15</v>
      </c>
      <c r="D1437" s="7" t="s">
        <v>16</v>
      </c>
      <c r="E1437" s="7" t="s">
        <v>17</v>
      </c>
      <c r="F1437" s="7" t="s">
        <v>24</v>
      </c>
      <c r="G1437" s="7" t="s">
        <v>19</v>
      </c>
      <c r="H1437">
        <v>3</v>
      </c>
      <c r="I1437">
        <v>95106.92</v>
      </c>
      <c r="J1437">
        <v>0.5</v>
      </c>
      <c r="K1437">
        <v>285320.76</v>
      </c>
      <c r="L1437">
        <v>212133.51</v>
      </c>
      <c r="M1437">
        <v>73187.25</v>
      </c>
      <c r="N1437" s="7" t="s">
        <v>20</v>
      </c>
      <c r="O1437" s="9">
        <f>IFERROR(RawSalesTable_[[#This Row],[Profit]]/RawSalesTable_[[#This Row],[Revenue]],0)</f>
        <v>0.25650867465795335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5E83B6-592F-4534-B092-CE1CFF83322B}">
  <dimension ref="E4:F10"/>
  <sheetViews>
    <sheetView workbookViewId="0">
      <selection activeCell="F7" sqref="F7"/>
    </sheetView>
  </sheetViews>
  <sheetFormatPr defaultRowHeight="14"/>
  <cols>
    <col min="5" max="5" width="28.58203125" bestFit="1" customWidth="1"/>
    <col min="6" max="6" width="31.25" bestFit="1" customWidth="1"/>
  </cols>
  <sheetData>
    <row r="4" spans="5:6" ht="35">
      <c r="E4" s="23" t="s">
        <v>1592</v>
      </c>
      <c r="F4" s="23" t="s">
        <v>1593</v>
      </c>
    </row>
    <row r="5" spans="5:6" ht="22.5">
      <c r="E5" s="10"/>
      <c r="F5" s="10"/>
    </row>
    <row r="6" spans="5:6" ht="28">
      <c r="E6" s="24" t="s">
        <v>1594</v>
      </c>
      <c r="F6" s="25">
        <f>SUM(RawSalesTable_[Revenue])</f>
        <v>255528155.60999951</v>
      </c>
    </row>
    <row r="7" spans="5:6" ht="28">
      <c r="E7" s="24" t="s">
        <v>1595</v>
      </c>
      <c r="F7" s="24">
        <f>SUM(RawSalesTable_[Profit])</f>
        <v>62309485.480000019</v>
      </c>
    </row>
    <row r="8" spans="5:6" ht="28">
      <c r="E8" s="24" t="s">
        <v>1596</v>
      </c>
      <c r="F8" s="26">
        <f>F7/F6</f>
        <v>0.24384587025744447</v>
      </c>
    </row>
    <row r="9" spans="5:6" ht="28">
      <c r="E9" s="24" t="s">
        <v>1598</v>
      </c>
      <c r="F9" s="24">
        <f>COUNTA(RawSalesTable_[Order ID])</f>
        <v>1436</v>
      </c>
    </row>
    <row r="10" spans="5:6" ht="28">
      <c r="E10" s="24" t="s">
        <v>1597</v>
      </c>
      <c r="F10" s="24">
        <f>SUM(RawSalesTable_[Units Sold])</f>
        <v>6373</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77F470-CADD-4FA9-AB84-68E450C58821}">
  <dimension ref="A4:C53"/>
  <sheetViews>
    <sheetView topLeftCell="A22" zoomScale="80" zoomScaleNormal="80" workbookViewId="0">
      <selection activeCell="B50" sqref="B50"/>
    </sheetView>
  </sheetViews>
  <sheetFormatPr defaultRowHeight="14"/>
  <cols>
    <col min="1" max="1" width="14.1640625" bestFit="1" customWidth="1"/>
    <col min="2" max="2" width="16.25" bestFit="1" customWidth="1"/>
    <col min="3" max="3" width="12.4140625" bestFit="1" customWidth="1"/>
    <col min="4" max="4" width="14.08203125" bestFit="1" customWidth="1"/>
    <col min="5" max="5" width="15.08203125" bestFit="1" customWidth="1"/>
    <col min="6" max="6" width="16.25" bestFit="1" customWidth="1"/>
    <col min="7" max="7" width="14.08203125" bestFit="1" customWidth="1"/>
    <col min="8" max="8" width="21.33203125" bestFit="1" customWidth="1"/>
    <col min="9" max="9" width="18" bestFit="1" customWidth="1"/>
  </cols>
  <sheetData>
    <row r="4" spans="1:3">
      <c r="A4" s="11" t="s">
        <v>1599</v>
      </c>
      <c r="B4" t="s">
        <v>1607</v>
      </c>
      <c r="C4" t="s">
        <v>1608</v>
      </c>
    </row>
    <row r="5" spans="1:3">
      <c r="A5" s="12" t="s">
        <v>15</v>
      </c>
      <c r="B5" s="7">
        <v>79493157.860000044</v>
      </c>
      <c r="C5" s="7">
        <v>19434954.259999983</v>
      </c>
    </row>
    <row r="6" spans="1:3">
      <c r="A6" s="12" t="s">
        <v>22</v>
      </c>
      <c r="B6" s="7">
        <v>93709201.310000017</v>
      </c>
      <c r="C6" s="7">
        <v>22791765.830000006</v>
      </c>
    </row>
    <row r="7" spans="1:3">
      <c r="A7" s="12" t="s">
        <v>28</v>
      </c>
      <c r="B7" s="7">
        <v>82325796.440000087</v>
      </c>
      <c r="C7" s="7">
        <v>20082765.389999967</v>
      </c>
    </row>
    <row r="8" spans="1:3">
      <c r="A8" s="12" t="s">
        <v>1600</v>
      </c>
      <c r="B8" s="7">
        <v>255528155.61000016</v>
      </c>
      <c r="C8" s="7">
        <v>62309485.479999959</v>
      </c>
    </row>
    <row r="17" spans="1:2">
      <c r="A17" s="11" t="s">
        <v>1599</v>
      </c>
      <c r="B17" t="s">
        <v>1609</v>
      </c>
    </row>
    <row r="18" spans="1:2">
      <c r="A18" s="12" t="s">
        <v>31</v>
      </c>
      <c r="B18" s="7">
        <v>46049743.959999979</v>
      </c>
    </row>
    <row r="19" spans="1:2">
      <c r="A19" s="12" t="s">
        <v>75</v>
      </c>
      <c r="B19" s="7">
        <v>58810126.890000015</v>
      </c>
    </row>
    <row r="20" spans="1:2">
      <c r="A20" s="12" t="s">
        <v>86</v>
      </c>
      <c r="B20" s="7">
        <v>13453894.700000001</v>
      </c>
    </row>
    <row r="21" spans="1:2">
      <c r="A21" s="12" t="s">
        <v>114</v>
      </c>
      <c r="B21" s="7">
        <v>17659356.709999997</v>
      </c>
    </row>
    <row r="22" spans="1:2">
      <c r="A22" s="12" t="s">
        <v>24</v>
      </c>
      <c r="B22" s="7">
        <v>41872832.909999982</v>
      </c>
    </row>
    <row r="23" spans="1:2">
      <c r="A23" s="12" t="s">
        <v>1600</v>
      </c>
      <c r="B23" s="7">
        <v>177845955.16999996</v>
      </c>
    </row>
    <row r="31" spans="1:2">
      <c r="A31" s="11" t="s">
        <v>1599</v>
      </c>
      <c r="B31" t="s">
        <v>1609</v>
      </c>
    </row>
    <row r="32" spans="1:2">
      <c r="A32" s="12" t="s">
        <v>64</v>
      </c>
      <c r="B32" s="7">
        <v>31564555.439999998</v>
      </c>
    </row>
    <row r="33" spans="1:2">
      <c r="A33" s="12" t="s">
        <v>47</v>
      </c>
      <c r="B33" s="7">
        <v>24502797.780000001</v>
      </c>
    </row>
    <row r="34" spans="1:2">
      <c r="A34" s="12" t="s">
        <v>25</v>
      </c>
      <c r="B34" s="7">
        <v>39684212.630000003</v>
      </c>
    </row>
    <row r="35" spans="1:2">
      <c r="A35" s="12" t="s">
        <v>32</v>
      </c>
      <c r="B35" s="7">
        <v>33899568.159999996</v>
      </c>
    </row>
    <row r="36" spans="1:2">
      <c r="A36" s="12" t="s">
        <v>58</v>
      </c>
      <c r="B36" s="7">
        <v>31826740.320000011</v>
      </c>
    </row>
    <row r="37" spans="1:2">
      <c r="A37" s="12" t="s">
        <v>19</v>
      </c>
      <c r="B37" s="7">
        <v>32684982.09999999</v>
      </c>
    </row>
    <row r="38" spans="1:2">
      <c r="A38" s="12" t="s">
        <v>61</v>
      </c>
      <c r="B38" s="7">
        <v>28693708.230000012</v>
      </c>
    </row>
    <row r="39" spans="1:2">
      <c r="A39" s="12" t="s">
        <v>70</v>
      </c>
      <c r="B39" s="7">
        <v>32671590.950000003</v>
      </c>
    </row>
    <row r="40" spans="1:2">
      <c r="A40" s="12" t="s">
        <v>1600</v>
      </c>
      <c r="B40" s="7">
        <v>255528155.61000001</v>
      </c>
    </row>
    <row r="48" spans="1:2">
      <c r="A48" s="11" t="s">
        <v>1599</v>
      </c>
      <c r="B48" t="s">
        <v>1609</v>
      </c>
    </row>
    <row r="49" spans="1:2">
      <c r="A49" s="12" t="s">
        <v>49</v>
      </c>
      <c r="B49" s="7">
        <v>10243524.379999993</v>
      </c>
    </row>
    <row r="50" spans="1:2">
      <c r="A50" s="12" t="s">
        <v>17</v>
      </c>
      <c r="B50" s="7">
        <v>123731610.38999999</v>
      </c>
    </row>
    <row r="51" spans="1:2">
      <c r="A51" s="12" t="s">
        <v>30</v>
      </c>
      <c r="B51" s="7">
        <v>82090558.170000046</v>
      </c>
    </row>
    <row r="52" spans="1:2">
      <c r="A52" s="12" t="s">
        <v>44</v>
      </c>
      <c r="B52" s="7">
        <v>39462462.66999995</v>
      </c>
    </row>
    <row r="53" spans="1:2">
      <c r="A53" s="12" t="s">
        <v>1600</v>
      </c>
      <c r="B53" s="7">
        <v>255528155.60999998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8DB19D-DAD7-4FE8-BABC-22CA42B46052}">
  <dimension ref="A1:XEZ15"/>
  <sheetViews>
    <sheetView showGridLines="0" tabSelected="1" zoomScale="50" zoomScaleNormal="50" workbookViewId="0">
      <selection activeCell="V5" sqref="V5"/>
    </sheetView>
  </sheetViews>
  <sheetFormatPr defaultRowHeight="14"/>
  <cols>
    <col min="1" max="1" width="8.6640625" style="13"/>
    <col min="2" max="2" width="31.6640625" customWidth="1"/>
    <col min="4" max="4" width="8.6640625" style="13"/>
    <col min="5" max="5" width="25.33203125" customWidth="1"/>
    <col min="7" max="7" width="8.6640625" style="13"/>
    <col min="8" max="8" width="24.08203125" customWidth="1"/>
    <col min="10" max="10" width="8.6640625" style="13"/>
    <col min="11" max="11" width="23.4140625" customWidth="1"/>
    <col min="12" max="12" width="11.33203125" customWidth="1"/>
    <col min="13" max="13" width="8.6640625" style="13"/>
    <col min="14" max="14" width="22.9140625" customWidth="1"/>
    <col min="16" max="48" width="8.6640625" style="13"/>
  </cols>
  <sheetData>
    <row r="1" spans="1:48 16380:16380" s="15" customFormat="1" ht="90.5">
      <c r="A1" s="14" t="s">
        <v>1601</v>
      </c>
      <c r="D1" s="14"/>
      <c r="G1" s="14"/>
      <c r="J1" s="14"/>
      <c r="M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row>
    <row r="4" spans="1:48 16380:16380" s="16" customFormat="1" ht="28">
      <c r="B4" s="17" t="s">
        <v>1602</v>
      </c>
      <c r="C4" s="17"/>
      <c r="E4" s="17" t="s">
        <v>1603</v>
      </c>
      <c r="F4" s="17"/>
      <c r="H4" s="17" t="s">
        <v>1604</v>
      </c>
      <c r="I4" s="17"/>
      <c r="K4" s="17" t="s">
        <v>1605</v>
      </c>
      <c r="L4" s="17"/>
      <c r="N4" s="17" t="s">
        <v>1606</v>
      </c>
      <c r="O4" s="17"/>
    </row>
    <row r="5" spans="1:48 16380:16380" s="18" customFormat="1" ht="45">
      <c r="B5" s="19">
        <f>Analysis!F6</f>
        <v>255528155.60999951</v>
      </c>
      <c r="C5" s="20"/>
      <c r="E5" s="19">
        <f>Analysis!F7</f>
        <v>62309485.480000019</v>
      </c>
      <c r="F5" s="20"/>
      <c r="H5" s="21">
        <f>Analysis!F8</f>
        <v>0.24384587025744447</v>
      </c>
      <c r="I5" s="20"/>
      <c r="K5" s="22">
        <f>Analysis!F9</f>
        <v>1436</v>
      </c>
      <c r="L5" s="20"/>
      <c r="N5" s="22">
        <f>Analysis!F10</f>
        <v>6373</v>
      </c>
      <c r="O5" s="20"/>
    </row>
    <row r="15" spans="1:48 16380:16380">
      <c r="XEZ15" s="13"/>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DC2A786-A98B-4773-834E-BD7A9A63F70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Raw_Data</vt:lpstr>
      <vt:lpstr>Clean Data</vt:lpstr>
      <vt:lpstr>Analysis</vt:lpstr>
      <vt:lpstr>Pivot_Analysis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FAHAD ALI</cp:lastModifiedBy>
  <dcterms:modified xsi:type="dcterms:W3CDTF">2026-10-03T08:43:18Z</dcterms:modified>
</cp:coreProperties>
</file>